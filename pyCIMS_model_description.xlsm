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N:\CIMS\pyCIMS\Model Description\"/>
    </mc:Choice>
  </mc:AlternateContent>
  <xr:revisionPtr revIDLastSave="0" documentId="13_ncr:1_{B35DE294-FE8F-4FCD-A4FB-0A4FB5EBBE7B}" xr6:coauthVersionLast="45" xr6:coauthVersionMax="45" xr10:uidLastSave="{00000000-0000-0000-0000-000000000000}"/>
  <bookViews>
    <workbookView xWindow="29400" yWindow="-4470" windowWidth="18000" windowHeight="9360" activeTab="3" xr2:uid="{E476153B-9FEF-4406-8A04-624F81383283}"/>
  </bookViews>
  <sheets>
    <sheet name="Lists" sheetId="16" r:id="rId1"/>
    <sheet name="Model" sheetId="102" r:id="rId2"/>
    <sheet name="Example calcs 2000" sheetId="105" r:id="rId3"/>
    <sheet name="Example calcs 2005" sheetId="108" r:id="rId4"/>
    <sheet name="Macro" sheetId="103" r:id="rId5"/>
    <sheet name="Residential" sheetId="104" r:id="rId6"/>
  </sheets>
  <functionGroups builtInGroupCount="19"/>
  <definedNames>
    <definedName name="_xlnm._FilterDatabase" localSheetId="2" hidden="1">'Example calcs 2000'!$H$4:$Z$103</definedName>
    <definedName name="_xlnm._FilterDatabase" localSheetId="3" hidden="1">'Example calcs 2005'!$H$4:$AH$103</definedName>
    <definedName name="Competition">Lists!$A$2:INDEX(Lists!$A:$A,COUNTA(Lists!$A:$A))</definedName>
    <definedName name="DemandSupply">Lists!$H$2:INDEX(Lists!$H:$H,COUNTA(Lists!$H:$H))</definedName>
    <definedName name="Fuels">Lists!$J$2:INDEX(Lists!$J:$J,COUNTA(Lists!$J:$J))</definedName>
    <definedName name="GHGs">Lists!$L$2:INDEX(Lists!$L:$L,COUNTA(Lists!$L:$L))</definedName>
    <definedName name="Regions">Lists!$D$2:INDEX(Lists!$D:$D,COUNTA(Lists!$D:$D))</definedName>
    <definedName name="Sectors">Lists!$G$2:INDEX(Lists!$G:$G,COUNTA(Lists!$G:$G))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K4" i="105" l="1"/>
  <c r="AL4" i="105"/>
  <c r="X28" i="105"/>
  <c r="X27" i="105"/>
  <c r="X23" i="105"/>
  <c r="X22" i="105"/>
  <c r="X18" i="105"/>
  <c r="X17" i="105"/>
  <c r="X13" i="105"/>
  <c r="X12" i="105"/>
  <c r="AF28" i="108"/>
  <c r="AF27" i="108"/>
  <c r="AF26" i="108"/>
  <c r="AF23" i="108"/>
  <c r="AF22" i="108"/>
  <c r="AF21" i="108"/>
  <c r="AF18" i="108"/>
  <c r="AF17" i="108"/>
  <c r="AF16" i="108"/>
  <c r="AF13" i="108"/>
  <c r="AF12" i="108"/>
  <c r="AF11" i="108"/>
  <c r="AF8" i="108"/>
  <c r="AF6" i="108"/>
  <c r="AF7" i="108"/>
  <c r="X8" i="105"/>
  <c r="X7" i="105"/>
  <c r="AO396" i="102"/>
  <c r="AP456" i="102"/>
  <c r="AQ456" i="102" s="1"/>
  <c r="AR456" i="102" s="1"/>
  <c r="AS456" i="102" s="1"/>
  <c r="AT456" i="102" s="1"/>
  <c r="AU456" i="102" s="1"/>
  <c r="AV456" i="102" s="1"/>
  <c r="AW456" i="102" s="1"/>
  <c r="AX456" i="102" s="1"/>
  <c r="AY456" i="102" s="1"/>
  <c r="AO453" i="102"/>
  <c r="AP450" i="102"/>
  <c r="AQ450" i="102" s="1"/>
  <c r="AR450" i="102" s="1"/>
  <c r="AS450" i="102" s="1"/>
  <c r="AT450" i="102" s="1"/>
  <c r="AU450" i="102" s="1"/>
  <c r="AV450" i="102" s="1"/>
  <c r="AW450" i="102" s="1"/>
  <c r="AX450" i="102" s="1"/>
  <c r="AY450" i="102" s="1"/>
  <c r="AP443" i="102"/>
  <c r="AQ443" i="102" s="1"/>
  <c r="AR443" i="102" s="1"/>
  <c r="AS443" i="102" s="1"/>
  <c r="AT443" i="102" s="1"/>
  <c r="AU443" i="102" s="1"/>
  <c r="AV443" i="102" s="1"/>
  <c r="AW443" i="102" s="1"/>
  <c r="AX443" i="102" s="1"/>
  <c r="AY443" i="102" s="1"/>
  <c r="AO439" i="102"/>
  <c r="AP436" i="102"/>
  <c r="AQ436" i="102" s="1"/>
  <c r="AR436" i="102" s="1"/>
  <c r="AS436" i="102" s="1"/>
  <c r="AT436" i="102" s="1"/>
  <c r="AU436" i="102" s="1"/>
  <c r="AV436" i="102" s="1"/>
  <c r="AW436" i="102" s="1"/>
  <c r="AX436" i="102" s="1"/>
  <c r="AY436" i="102" s="1"/>
  <c r="AQ429" i="102"/>
  <c r="AR429" i="102" s="1"/>
  <c r="AS429" i="102" s="1"/>
  <c r="AT429" i="102" s="1"/>
  <c r="AU429" i="102" s="1"/>
  <c r="AV429" i="102" s="1"/>
  <c r="AW429" i="102" s="1"/>
  <c r="AX429" i="102" s="1"/>
  <c r="AY429" i="102" s="1"/>
  <c r="AP429" i="102"/>
  <c r="AO428" i="102"/>
  <c r="AO425" i="102"/>
  <c r="AP425" i="102" s="1"/>
  <c r="AQ425" i="102" s="1"/>
  <c r="AR425" i="102" s="1"/>
  <c r="AS425" i="102" s="1"/>
  <c r="AT425" i="102" s="1"/>
  <c r="AU425" i="102" s="1"/>
  <c r="AV425" i="102" s="1"/>
  <c r="AW425" i="102" s="1"/>
  <c r="AX425" i="102" s="1"/>
  <c r="AY425" i="102" s="1"/>
  <c r="AP411" i="102"/>
  <c r="AQ411" i="102" s="1"/>
  <c r="AR411" i="102" s="1"/>
  <c r="AS411" i="102" s="1"/>
  <c r="AT411" i="102" s="1"/>
  <c r="AU411" i="102" s="1"/>
  <c r="AV411" i="102" s="1"/>
  <c r="AW411" i="102" s="1"/>
  <c r="AX411" i="102" s="1"/>
  <c r="AY411" i="102" s="1"/>
  <c r="AO406" i="102"/>
  <c r="AP401" i="102"/>
  <c r="AQ401" i="102" s="1"/>
  <c r="AR401" i="102" s="1"/>
  <c r="AS401" i="102" s="1"/>
  <c r="AT401" i="102" s="1"/>
  <c r="AU401" i="102" s="1"/>
  <c r="AV401" i="102" s="1"/>
  <c r="AW401" i="102" s="1"/>
  <c r="AX401" i="102" s="1"/>
  <c r="AY401" i="102" s="1"/>
  <c r="B463" i="102" a="1"/>
  <c r="B463" i="102" s="1"/>
  <c r="B462" i="102" a="1"/>
  <c r="B462" i="102" s="1"/>
  <c r="B461" i="102" a="1"/>
  <c r="B461" i="102" s="1"/>
  <c r="B415" i="102" a="1"/>
  <c r="B415" i="102" s="1"/>
  <c r="B414" i="102" a="1"/>
  <c r="B414" i="102" s="1"/>
  <c r="B413" i="102" a="1"/>
  <c r="B413" i="102" s="1"/>
  <c r="B389" i="102" a="1"/>
  <c r="B389" i="102" s="1"/>
  <c r="B388" i="102" a="1"/>
  <c r="B388" i="102" s="1"/>
  <c r="B382" i="102" a="1"/>
  <c r="B382" i="102" s="1"/>
  <c r="B381" i="102" a="1"/>
  <c r="B381" i="102" s="1"/>
  <c r="B380" i="102" a="1"/>
  <c r="B380" i="102" s="1"/>
  <c r="B379" i="102" a="1"/>
  <c r="B379" i="102" s="1"/>
  <c r="B378" i="102" a="1"/>
  <c r="B378" i="102" s="1"/>
  <c r="B377" i="102" a="1"/>
  <c r="B377" i="102" s="1"/>
  <c r="B376" i="102" a="1"/>
  <c r="B376" i="102" s="1"/>
  <c r="B375" i="102" a="1"/>
  <c r="B375" i="102" s="1"/>
  <c r="B374" i="102" a="1"/>
  <c r="B374" i="102" s="1"/>
  <c r="B373" i="102" a="1"/>
  <c r="B373" i="102" s="1"/>
  <c r="B372" i="102" a="1"/>
  <c r="B372" i="102" s="1"/>
  <c r="B371" i="102" a="1"/>
  <c r="B371" i="102" s="1"/>
  <c r="B370" i="102" a="1"/>
  <c r="B370" i="102" s="1"/>
  <c r="B369" i="102" a="1"/>
  <c r="B369" i="102" s="1"/>
  <c r="B368" i="102" a="1"/>
  <c r="B368" i="102" s="1"/>
  <c r="B367" i="102" a="1"/>
  <c r="B367" i="102" s="1"/>
  <c r="B366" i="102" a="1"/>
  <c r="B366" i="102" s="1"/>
  <c r="B365" i="102" a="1"/>
  <c r="B365" i="102" s="1"/>
  <c r="B364" i="102" a="1"/>
  <c r="B364" i="102" s="1"/>
  <c r="B363" i="102" a="1"/>
  <c r="B363" i="102" s="1"/>
  <c r="B362" i="102" a="1"/>
  <c r="B362" i="102" s="1"/>
  <c r="B361" i="102" a="1"/>
  <c r="B361" i="102" s="1"/>
  <c r="B360" i="102" a="1"/>
  <c r="B360" i="102" s="1"/>
  <c r="B359" i="102" a="1"/>
  <c r="B359" i="102" s="1"/>
  <c r="B358" i="102" a="1"/>
  <c r="B358" i="102" s="1"/>
  <c r="B357" i="102" a="1"/>
  <c r="B357" i="102" s="1"/>
  <c r="B356" i="102" a="1"/>
  <c r="B356" i="102" s="1"/>
  <c r="B355" i="102" a="1"/>
  <c r="B355" i="102" s="1"/>
  <c r="B354" i="102" a="1"/>
  <c r="B354" i="102" s="1"/>
  <c r="B353" i="102" a="1"/>
  <c r="B353" i="102" s="1"/>
  <c r="B352" i="102" a="1"/>
  <c r="B352" i="102" s="1"/>
  <c r="B351" i="102" a="1"/>
  <c r="B351" i="102" s="1"/>
  <c r="B350" i="102" a="1"/>
  <c r="B350" i="102" s="1"/>
  <c r="B349" i="102" a="1"/>
  <c r="B349" i="102" s="1"/>
  <c r="B348" i="102" a="1"/>
  <c r="B348" i="102" s="1"/>
  <c r="B347" i="102" a="1"/>
  <c r="B347" i="102" s="1"/>
  <c r="B346" i="102" a="1"/>
  <c r="B346" i="102" s="1"/>
  <c r="B345" i="102" a="1"/>
  <c r="B345" i="102" s="1"/>
  <c r="B344" i="102" a="1"/>
  <c r="B344" i="102" s="1"/>
  <c r="B343" i="102" a="1"/>
  <c r="B343" i="102" s="1"/>
  <c r="B342" i="102" a="1"/>
  <c r="B342" i="102" s="1"/>
  <c r="B341" i="102" a="1"/>
  <c r="B341" i="102" s="1"/>
  <c r="B340" i="102" a="1"/>
  <c r="B340" i="102" s="1"/>
  <c r="B339" i="102" a="1"/>
  <c r="B339" i="102" s="1"/>
  <c r="B338" i="102" a="1"/>
  <c r="B338" i="102" s="1"/>
  <c r="B337" i="102" a="1"/>
  <c r="B337" i="102" s="1"/>
  <c r="B336" i="102" a="1"/>
  <c r="B336" i="102" s="1"/>
  <c r="B335" i="102" a="1"/>
  <c r="B335" i="102" s="1"/>
  <c r="B334" i="102" a="1"/>
  <c r="B334" i="102" s="1"/>
  <c r="B333" i="102" a="1"/>
  <c r="B333" i="102" s="1"/>
  <c r="B332" i="102" a="1"/>
  <c r="B332" i="102" s="1"/>
  <c r="B331" i="102" a="1"/>
  <c r="B331" i="102" s="1"/>
  <c r="B330" i="102" a="1"/>
  <c r="B330" i="102" s="1"/>
  <c r="B329" i="102" a="1"/>
  <c r="B329" i="102" s="1"/>
  <c r="B328" i="102" a="1"/>
  <c r="B328" i="102" s="1"/>
  <c r="B327" i="102" a="1"/>
  <c r="B327" i="102" s="1"/>
  <c r="B326" i="102" a="1"/>
  <c r="B326" i="102" s="1"/>
  <c r="B325" i="102" a="1"/>
  <c r="B325" i="102" s="1"/>
  <c r="B324" i="102" a="1"/>
  <c r="B324" i="102" s="1"/>
  <c r="B323" i="102" a="1"/>
  <c r="B323" i="102" s="1"/>
  <c r="B322" i="102" a="1"/>
  <c r="B322" i="102" s="1"/>
  <c r="B321" i="102" a="1"/>
  <c r="B321" i="102" s="1"/>
  <c r="B320" i="102" a="1"/>
  <c r="B320" i="102" s="1"/>
  <c r="B319" i="102" a="1"/>
  <c r="B319" i="102" s="1"/>
  <c r="B318" i="102" a="1"/>
  <c r="B318" i="102" s="1"/>
  <c r="B317" i="102" a="1"/>
  <c r="B317" i="102" s="1"/>
  <c r="B316" i="102" a="1"/>
  <c r="B316" i="102" s="1"/>
  <c r="B315" i="102" a="1"/>
  <c r="B315" i="102" s="1"/>
  <c r="B314" i="102" a="1"/>
  <c r="B314" i="102" s="1"/>
  <c r="B313" i="102" a="1"/>
  <c r="B313" i="102" s="1"/>
  <c r="B312" i="102" a="1"/>
  <c r="B312" i="102" s="1"/>
  <c r="B311" i="102" a="1"/>
  <c r="B311" i="102" s="1"/>
  <c r="B310" i="102" a="1"/>
  <c r="B310" i="102" s="1"/>
  <c r="B309" i="102" a="1"/>
  <c r="B309" i="102" s="1"/>
  <c r="B308" i="102" a="1"/>
  <c r="B308" i="102" s="1"/>
  <c r="B307" i="102" a="1"/>
  <c r="B307" i="102" s="1"/>
  <c r="B306" i="102" a="1"/>
  <c r="B306" i="102" s="1"/>
  <c r="B305" i="102" a="1"/>
  <c r="B305" i="102" s="1"/>
  <c r="B304" i="102" a="1"/>
  <c r="B304" i="102" s="1"/>
  <c r="B303" i="102" a="1"/>
  <c r="B303" i="102" s="1"/>
  <c r="B302" i="102" a="1"/>
  <c r="B302" i="102" s="1"/>
  <c r="B301" i="102" a="1"/>
  <c r="B301" i="102" s="1"/>
  <c r="B300" i="102" a="1"/>
  <c r="B300" i="102" s="1"/>
  <c r="B299" i="102" a="1"/>
  <c r="B299" i="102" s="1"/>
  <c r="B298" i="102" a="1"/>
  <c r="B298" i="102" s="1"/>
  <c r="B297" i="102" a="1"/>
  <c r="B297" i="102" s="1"/>
  <c r="B296" i="102" a="1"/>
  <c r="B296" i="102" s="1"/>
  <c r="B295" i="102" a="1"/>
  <c r="B295" i="102" s="1"/>
  <c r="B294" i="102" a="1"/>
  <c r="B294" i="102" s="1"/>
  <c r="B293" i="102" a="1"/>
  <c r="B293" i="102" s="1"/>
  <c r="B292" i="102" a="1"/>
  <c r="B292" i="102" s="1"/>
  <c r="B291" i="102" a="1"/>
  <c r="B291" i="102" s="1"/>
  <c r="B290" i="102" a="1"/>
  <c r="B290" i="102" s="1"/>
  <c r="B289" i="102" a="1"/>
  <c r="B289" i="102" s="1"/>
  <c r="B288" i="102" a="1"/>
  <c r="B288" i="102" s="1"/>
  <c r="B287" i="102" a="1"/>
  <c r="B287" i="102" s="1"/>
  <c r="B286" i="102" a="1"/>
  <c r="B286" i="102" s="1"/>
  <c r="B285" i="102" a="1"/>
  <c r="B285" i="102" s="1"/>
  <c r="B284" i="102" a="1"/>
  <c r="B284" i="102" s="1"/>
  <c r="B283" i="102" a="1"/>
  <c r="B283" i="102" s="1"/>
  <c r="B282" i="102" a="1"/>
  <c r="B282" i="102" s="1"/>
  <c r="B281" i="102" a="1"/>
  <c r="B281" i="102" s="1"/>
  <c r="B280" i="102" a="1"/>
  <c r="B280" i="102" s="1"/>
  <c r="B279" i="102" a="1"/>
  <c r="B279" i="102" s="1"/>
  <c r="B278" i="102" a="1"/>
  <c r="B278" i="102" s="1"/>
  <c r="B277" i="102" a="1"/>
  <c r="B277" i="102" s="1"/>
  <c r="B276" i="102" a="1"/>
  <c r="B276" i="102" s="1"/>
  <c r="B275" i="102" a="1"/>
  <c r="B275" i="102" s="1"/>
  <c r="B274" i="102" a="1"/>
  <c r="B274" i="102" s="1"/>
  <c r="B273" i="102" a="1"/>
  <c r="B273" i="102" s="1"/>
  <c r="B272" i="102" a="1"/>
  <c r="B272" i="102" s="1"/>
  <c r="B271" i="102" a="1"/>
  <c r="B271" i="102" s="1"/>
  <c r="B270" i="102" a="1"/>
  <c r="B270" i="102" s="1"/>
  <c r="B269" i="102" a="1"/>
  <c r="B269" i="102" s="1"/>
  <c r="B268" i="102" a="1"/>
  <c r="B268" i="102" s="1"/>
  <c r="B267" i="102" a="1"/>
  <c r="B267" i="102" s="1"/>
  <c r="B266" i="102" a="1"/>
  <c r="B266" i="102" s="1"/>
  <c r="B265" i="102" a="1"/>
  <c r="B265" i="102" s="1"/>
  <c r="B264" i="102" a="1"/>
  <c r="B264" i="102" s="1"/>
  <c r="B263" i="102" a="1"/>
  <c r="B263" i="102" s="1"/>
  <c r="B262" i="102" a="1"/>
  <c r="B262" i="102" s="1"/>
  <c r="B261" i="102" a="1"/>
  <c r="B261" i="102" s="1"/>
  <c r="B260" i="102" a="1"/>
  <c r="B260" i="102" s="1"/>
  <c r="B259" i="102" a="1"/>
  <c r="B259" i="102" s="1"/>
  <c r="B258" i="102" a="1"/>
  <c r="B258" i="102" s="1"/>
  <c r="B257" i="102" a="1"/>
  <c r="B257" i="102" s="1"/>
  <c r="B256" i="102" a="1"/>
  <c r="B256" i="102" s="1"/>
  <c r="B255" i="102" a="1"/>
  <c r="B255" i="102" s="1"/>
  <c r="B254" i="102" a="1"/>
  <c r="B254" i="102" s="1"/>
  <c r="B253" i="102" a="1"/>
  <c r="B253" i="102" s="1"/>
  <c r="B252" i="102" a="1"/>
  <c r="B252" i="102" s="1"/>
  <c r="B251" i="102" a="1"/>
  <c r="B251" i="102" s="1"/>
  <c r="B250" i="102" a="1"/>
  <c r="B250" i="102" s="1"/>
  <c r="B249" i="102" a="1"/>
  <c r="B249" i="102" s="1"/>
  <c r="B248" i="102" a="1"/>
  <c r="B248" i="102" s="1"/>
  <c r="B247" i="102" a="1"/>
  <c r="B247" i="102" s="1"/>
  <c r="B246" i="102" a="1"/>
  <c r="B246" i="102" s="1"/>
  <c r="B245" i="102" a="1"/>
  <c r="B245" i="102" s="1"/>
  <c r="B244" i="102" a="1"/>
  <c r="B244" i="102" s="1"/>
  <c r="B243" i="102" a="1"/>
  <c r="B243" i="102" s="1"/>
  <c r="B242" i="102" a="1"/>
  <c r="B242" i="102" s="1"/>
  <c r="B241" i="102" a="1"/>
  <c r="B241" i="102" s="1"/>
  <c r="B240" i="102" a="1"/>
  <c r="B240" i="102" s="1"/>
  <c r="B239" i="102" a="1"/>
  <c r="B239" i="102" s="1"/>
  <c r="B238" i="102" a="1"/>
  <c r="B238" i="102" s="1"/>
  <c r="B237" i="102" a="1"/>
  <c r="B237" i="102" s="1"/>
  <c r="B236" i="102" a="1"/>
  <c r="B236" i="102" s="1"/>
  <c r="B235" i="102" a="1"/>
  <c r="B235" i="102" s="1"/>
  <c r="B234" i="102" a="1"/>
  <c r="B234" i="102" s="1"/>
  <c r="B233" i="102" a="1"/>
  <c r="B233" i="102" s="1"/>
  <c r="B232" i="102" a="1"/>
  <c r="B232" i="102" s="1"/>
  <c r="B231" i="102" a="1"/>
  <c r="B231" i="102" s="1"/>
  <c r="B230" i="102" a="1"/>
  <c r="B230" i="102" s="1"/>
  <c r="B229" i="102" a="1"/>
  <c r="B229" i="102" s="1"/>
  <c r="B228" i="102" a="1"/>
  <c r="B228" i="102" s="1"/>
  <c r="B227" i="102" a="1"/>
  <c r="B227" i="102" s="1"/>
  <c r="B226" i="102" a="1"/>
  <c r="B226" i="102" s="1"/>
  <c r="B225" i="102" a="1"/>
  <c r="B225" i="102" s="1"/>
  <c r="B224" i="102" a="1"/>
  <c r="B224" i="102" s="1"/>
  <c r="B223" i="102" a="1"/>
  <c r="B223" i="102" s="1"/>
  <c r="B222" i="102" a="1"/>
  <c r="B222" i="102" s="1"/>
  <c r="B221" i="102" a="1"/>
  <c r="B221" i="102" s="1"/>
  <c r="B220" i="102" a="1"/>
  <c r="B220" i="102" s="1"/>
  <c r="B219" i="102" a="1"/>
  <c r="B219" i="102" s="1"/>
  <c r="B218" i="102" a="1"/>
  <c r="B218" i="102" s="1"/>
  <c r="B217" i="102" a="1"/>
  <c r="B217" i="102" s="1"/>
  <c r="B216" i="102" a="1"/>
  <c r="B216" i="102" s="1"/>
  <c r="B215" i="102" a="1"/>
  <c r="B215" i="102" s="1"/>
  <c r="B214" i="102" a="1"/>
  <c r="B214" i="102" s="1"/>
  <c r="B213" i="102" a="1"/>
  <c r="B213" i="102" s="1"/>
  <c r="B212" i="102" a="1"/>
  <c r="B212" i="102" s="1"/>
  <c r="B211" i="102" a="1"/>
  <c r="B211" i="102" s="1"/>
  <c r="B210" i="102" a="1"/>
  <c r="B210" i="102" s="1"/>
  <c r="B209" i="102" a="1"/>
  <c r="B209" i="102" s="1"/>
  <c r="B208" i="102" a="1"/>
  <c r="B208" i="102" s="1"/>
  <c r="B207" i="102" a="1"/>
  <c r="B207" i="102" s="1"/>
  <c r="B206" i="102" a="1"/>
  <c r="B206" i="102" s="1"/>
  <c r="B205" i="102" a="1"/>
  <c r="B205" i="102" s="1"/>
  <c r="B204" i="102" a="1"/>
  <c r="B204" i="102" s="1"/>
  <c r="B203" i="102" a="1"/>
  <c r="B203" i="102" s="1"/>
  <c r="B202" i="102" a="1"/>
  <c r="B202" i="102" s="1"/>
  <c r="B201" i="102" a="1"/>
  <c r="B201" i="102" s="1"/>
  <c r="B200" i="102" a="1"/>
  <c r="B200" i="102" s="1"/>
  <c r="B199" i="102" a="1"/>
  <c r="B199" i="102" s="1"/>
  <c r="B198" i="102" a="1"/>
  <c r="B198" i="102" s="1"/>
  <c r="B197" i="102" a="1"/>
  <c r="B197" i="102" s="1"/>
  <c r="B196" i="102" a="1"/>
  <c r="B196" i="102" s="1"/>
  <c r="B195" i="102" a="1"/>
  <c r="B195" i="102" s="1"/>
  <c r="B194" i="102" a="1"/>
  <c r="B194" i="102" s="1"/>
  <c r="B193" i="102" a="1"/>
  <c r="B193" i="102" s="1"/>
  <c r="B192" i="102" a="1"/>
  <c r="B192" i="102" s="1"/>
  <c r="B191" i="102" a="1"/>
  <c r="B191" i="102" s="1"/>
  <c r="B190" i="102" a="1"/>
  <c r="B190" i="102" s="1"/>
  <c r="B189" i="102" a="1"/>
  <c r="B189" i="102" s="1"/>
  <c r="B188" i="102" a="1"/>
  <c r="B188" i="102" s="1"/>
  <c r="B187" i="102" a="1"/>
  <c r="B187" i="102" s="1"/>
  <c r="B186" i="102" a="1"/>
  <c r="B186" i="102" s="1"/>
  <c r="B185" i="102" a="1"/>
  <c r="B185" i="102" s="1"/>
  <c r="B184" i="102" a="1"/>
  <c r="B184" i="102" s="1"/>
  <c r="B183" i="102" a="1"/>
  <c r="B183" i="102" s="1"/>
  <c r="B182" i="102" a="1"/>
  <c r="B182" i="102" s="1"/>
  <c r="B181" i="102" a="1"/>
  <c r="B181" i="102" s="1"/>
  <c r="B180" i="102" a="1"/>
  <c r="B180" i="102" s="1"/>
  <c r="B179" i="102" a="1"/>
  <c r="B179" i="102" s="1"/>
  <c r="B178" i="102" a="1"/>
  <c r="B178" i="102" s="1"/>
  <c r="B177" i="102" a="1"/>
  <c r="B177" i="102" s="1"/>
  <c r="B176" i="102" a="1"/>
  <c r="B176" i="102" s="1"/>
  <c r="B175" i="102" a="1"/>
  <c r="B175" i="102" s="1"/>
  <c r="B174" i="102" a="1"/>
  <c r="B174" i="102" s="1"/>
  <c r="B173" i="102" a="1"/>
  <c r="B173" i="102" s="1"/>
  <c r="B172" i="102" a="1"/>
  <c r="B172" i="102" s="1"/>
  <c r="B171" i="102" a="1"/>
  <c r="B171" i="102" s="1"/>
  <c r="B170" i="102" a="1"/>
  <c r="B170" i="102" s="1"/>
  <c r="B169" i="102" a="1"/>
  <c r="B169" i="102" s="1"/>
  <c r="B168" i="102" a="1"/>
  <c r="B168" i="102" s="1"/>
  <c r="B167" i="102" a="1"/>
  <c r="B167" i="102" s="1"/>
  <c r="B166" i="102" a="1"/>
  <c r="B166" i="102" s="1"/>
  <c r="B165" i="102" a="1"/>
  <c r="B165" i="102" s="1"/>
  <c r="B164" i="102" a="1"/>
  <c r="B164" i="102" s="1"/>
  <c r="B163" i="102" a="1"/>
  <c r="B163" i="102" s="1"/>
  <c r="B162" i="102" a="1"/>
  <c r="B162" i="102" s="1"/>
  <c r="B161" i="102" a="1"/>
  <c r="B161" i="102" s="1"/>
  <c r="B160" i="102" a="1"/>
  <c r="B160" i="102" s="1"/>
  <c r="B159" i="102" a="1"/>
  <c r="B159" i="102" s="1"/>
  <c r="B158" i="102" a="1"/>
  <c r="B158" i="102" s="1"/>
  <c r="B157" i="102" a="1"/>
  <c r="B157" i="102" s="1"/>
  <c r="B156" i="102" a="1"/>
  <c r="B156" i="102" s="1"/>
  <c r="B155" i="102" a="1"/>
  <c r="B155" i="102" s="1"/>
  <c r="B154" i="102" a="1"/>
  <c r="B154" i="102" s="1"/>
  <c r="B153" i="102" a="1"/>
  <c r="B153" i="102" s="1"/>
  <c r="B152" i="102" a="1"/>
  <c r="B152" i="102" s="1"/>
  <c r="B151" i="102" a="1"/>
  <c r="B151" i="102" s="1"/>
  <c r="B150" i="102" a="1"/>
  <c r="B150" i="102" s="1"/>
  <c r="B149" i="102" a="1"/>
  <c r="B149" i="102" s="1"/>
  <c r="B148" i="102" a="1"/>
  <c r="B148" i="102" s="1"/>
  <c r="B147" i="102" a="1"/>
  <c r="B147" i="102" s="1"/>
  <c r="B146" i="102" a="1"/>
  <c r="B146" i="102" s="1"/>
  <c r="B145" i="102" a="1"/>
  <c r="B145" i="102" s="1"/>
  <c r="B144" i="102" a="1"/>
  <c r="B144" i="102" s="1"/>
  <c r="B143" i="102" a="1"/>
  <c r="B143" i="102" s="1"/>
  <c r="B142" i="102" a="1"/>
  <c r="B142" i="102" s="1"/>
  <c r="B141" i="102" a="1"/>
  <c r="B141" i="102" s="1"/>
  <c r="B140" i="102" a="1"/>
  <c r="B140" i="102" s="1"/>
  <c r="B139" i="102" a="1"/>
  <c r="B139" i="102" s="1"/>
  <c r="B138" i="102" a="1"/>
  <c r="B138" i="102" s="1"/>
  <c r="B137" i="102" a="1"/>
  <c r="B137" i="102" s="1"/>
  <c r="B136" i="102" a="1"/>
  <c r="B136" i="102" s="1"/>
  <c r="B135" i="102" a="1"/>
  <c r="B135" i="102" s="1"/>
  <c r="B134" i="102" a="1"/>
  <c r="B134" i="102" s="1"/>
  <c r="B133" i="102" a="1"/>
  <c r="B133" i="102" s="1"/>
  <c r="B132" i="102" a="1"/>
  <c r="B132" i="102" s="1"/>
  <c r="B131" i="102" a="1"/>
  <c r="B131" i="102" s="1"/>
  <c r="B130" i="102" a="1"/>
  <c r="B130" i="102" s="1"/>
  <c r="B129" i="102" a="1"/>
  <c r="B129" i="102" s="1"/>
  <c r="B128" i="102" a="1"/>
  <c r="B128" i="102" s="1"/>
  <c r="B127" i="102" a="1"/>
  <c r="B127" i="102" s="1"/>
  <c r="B126" i="102" a="1"/>
  <c r="B126" i="102" s="1"/>
  <c r="B125" i="102" a="1"/>
  <c r="B125" i="102" s="1"/>
  <c r="B124" i="102" a="1"/>
  <c r="B124" i="102" s="1"/>
  <c r="B123" i="102" a="1"/>
  <c r="B123" i="102" s="1"/>
  <c r="B122" i="102" a="1"/>
  <c r="B122" i="102" s="1"/>
  <c r="B121" i="102" a="1"/>
  <c r="B121" i="102" s="1"/>
  <c r="B120" i="102" a="1"/>
  <c r="B120" i="102" s="1"/>
  <c r="B119" i="102" a="1"/>
  <c r="B119" i="102" s="1"/>
  <c r="B118" i="102" a="1"/>
  <c r="B118" i="102" s="1"/>
  <c r="B117" i="102" a="1"/>
  <c r="B117" i="102" s="1"/>
  <c r="B116" i="102" a="1"/>
  <c r="B116" i="102" s="1"/>
  <c r="B115" i="102" a="1"/>
  <c r="B115" i="102" s="1"/>
  <c r="B114" i="102" a="1"/>
  <c r="B114" i="102" s="1"/>
  <c r="B113" i="102" a="1"/>
  <c r="B113" i="102" s="1"/>
  <c r="B112" i="102" a="1"/>
  <c r="B112" i="102" s="1"/>
  <c r="B111" i="102" a="1"/>
  <c r="B111" i="102" s="1"/>
  <c r="B110" i="102" a="1"/>
  <c r="B110" i="102" s="1"/>
  <c r="B109" i="102" a="1"/>
  <c r="B109" i="102" s="1"/>
  <c r="B108" i="102" a="1"/>
  <c r="B108" i="102" s="1"/>
  <c r="B107" i="102" a="1"/>
  <c r="B107" i="102" s="1"/>
  <c r="B106" i="102" a="1"/>
  <c r="B106" i="102" s="1"/>
  <c r="B105" i="102" a="1"/>
  <c r="B105" i="102" s="1"/>
  <c r="B104" i="102" a="1"/>
  <c r="B104" i="102" s="1"/>
  <c r="B103" i="102" a="1"/>
  <c r="B103" i="102" s="1"/>
  <c r="B102" i="102" a="1"/>
  <c r="B102" i="102" s="1"/>
  <c r="B101" i="102" a="1"/>
  <c r="B101" i="102" s="1"/>
  <c r="B100" i="102" a="1"/>
  <c r="B100" i="102" s="1"/>
  <c r="B99" i="102" a="1"/>
  <c r="B99" i="102" s="1"/>
  <c r="B98" i="102" a="1"/>
  <c r="B98" i="102" s="1"/>
  <c r="B97" i="102" a="1"/>
  <c r="B97" i="102" s="1"/>
  <c r="B96" i="102" a="1"/>
  <c r="B96" i="102" s="1"/>
  <c r="B95" i="102" a="1"/>
  <c r="B95" i="102" s="1"/>
  <c r="B94" i="102" a="1"/>
  <c r="B94" i="102" s="1"/>
  <c r="B93" i="102" a="1"/>
  <c r="B93" i="102" s="1"/>
  <c r="B92" i="102" a="1"/>
  <c r="B92" i="102" s="1"/>
  <c r="B91" i="102" a="1"/>
  <c r="B91" i="102" s="1"/>
  <c r="B90" i="102" a="1"/>
  <c r="B90" i="102" s="1"/>
  <c r="B89" i="102" a="1"/>
  <c r="B89" i="102" s="1"/>
  <c r="B88" i="102" a="1"/>
  <c r="B88" i="102" s="1"/>
  <c r="B87" i="102" a="1"/>
  <c r="B87" i="102" s="1"/>
  <c r="B86" i="102" a="1"/>
  <c r="B86" i="102" s="1"/>
  <c r="B85" i="102" a="1"/>
  <c r="B85" i="102" s="1"/>
  <c r="B84" i="102" a="1"/>
  <c r="B84" i="102" s="1"/>
  <c r="B83" i="102" a="1"/>
  <c r="B83" i="102" s="1"/>
  <c r="B82" i="102" a="1"/>
  <c r="B82" i="102" s="1"/>
  <c r="B81" i="102" a="1"/>
  <c r="B81" i="102" s="1"/>
  <c r="B80" i="102" a="1"/>
  <c r="B80" i="102" s="1"/>
  <c r="B79" i="102" a="1"/>
  <c r="B79" i="102" s="1"/>
  <c r="B78" i="102" a="1"/>
  <c r="B78" i="102" s="1"/>
  <c r="B77" i="102" a="1"/>
  <c r="B77" i="102" s="1"/>
  <c r="B76" i="102" a="1"/>
  <c r="B76" i="102" s="1"/>
  <c r="B75" i="102" a="1"/>
  <c r="B75" i="102" s="1"/>
  <c r="B74" i="102" a="1"/>
  <c r="B74" i="102" s="1"/>
  <c r="B73" i="102" a="1"/>
  <c r="B73" i="102" s="1"/>
  <c r="B72" i="102" a="1"/>
  <c r="B72" i="102" s="1"/>
  <c r="B71" i="102" a="1"/>
  <c r="B71" i="102" s="1"/>
  <c r="B70" i="102" a="1"/>
  <c r="B70" i="102" s="1"/>
  <c r="B69" i="102" a="1"/>
  <c r="B69" i="102" s="1"/>
  <c r="B68" i="102" a="1"/>
  <c r="B68" i="102" s="1"/>
  <c r="B67" i="102" a="1"/>
  <c r="B67" i="102" s="1"/>
  <c r="B66" i="102" a="1"/>
  <c r="B66" i="102" s="1"/>
  <c r="B65" i="102" a="1"/>
  <c r="B65" i="102" s="1"/>
  <c r="B64" i="102" a="1"/>
  <c r="B64" i="102" s="1"/>
  <c r="B63" i="102" a="1"/>
  <c r="B63" i="102" s="1"/>
  <c r="B62" i="102" a="1"/>
  <c r="B62" i="102" s="1"/>
  <c r="B61" i="102" a="1"/>
  <c r="B61" i="102" s="1"/>
  <c r="B60" i="102" a="1"/>
  <c r="B60" i="102" s="1"/>
  <c r="B59" i="102" a="1"/>
  <c r="B59" i="102" s="1"/>
  <c r="B58" i="102" a="1"/>
  <c r="B58" i="102" s="1"/>
  <c r="B57" i="102" a="1"/>
  <c r="B57" i="102" s="1"/>
  <c r="B56" i="102" a="1"/>
  <c r="B56" i="102" s="1"/>
  <c r="B55" i="102" a="1"/>
  <c r="B55" i="102" s="1"/>
  <c r="B54" i="102" a="1"/>
  <c r="B54" i="102" s="1"/>
  <c r="B53" i="102" a="1"/>
  <c r="B53" i="102" s="1"/>
  <c r="B52" i="102" a="1"/>
  <c r="B52" i="102" s="1"/>
  <c r="B51" i="102" a="1"/>
  <c r="B51" i="102" s="1"/>
  <c r="B50" i="102" a="1"/>
  <c r="B50" i="102" s="1"/>
  <c r="B49" i="102" a="1"/>
  <c r="B49" i="102" s="1"/>
  <c r="B48" i="102" a="1"/>
  <c r="B48" i="102" s="1"/>
  <c r="B47" i="102" a="1"/>
  <c r="B47" i="102" s="1"/>
  <c r="B46" i="102" a="1"/>
  <c r="B46" i="102" s="1"/>
  <c r="B45" i="102" a="1"/>
  <c r="B45" i="102" s="1"/>
  <c r="B44" i="102" a="1"/>
  <c r="B44" i="102" s="1"/>
  <c r="B43" i="102" a="1"/>
  <c r="B43" i="102" s="1"/>
  <c r="B42" i="102" a="1"/>
  <c r="B42" i="102" s="1"/>
  <c r="B41" i="102" a="1"/>
  <c r="B41" i="102" s="1"/>
  <c r="B40" i="102" a="1"/>
  <c r="B40" i="102" s="1"/>
  <c r="B39" i="102" a="1"/>
  <c r="B39" i="102" s="1"/>
  <c r="B38" i="102" a="1"/>
  <c r="B38" i="102" s="1"/>
  <c r="B37" i="102" a="1"/>
  <c r="B37" i="102" s="1"/>
  <c r="B36" i="102" a="1"/>
  <c r="B36" i="102" s="1"/>
  <c r="B35" i="102" a="1"/>
  <c r="B35" i="102" s="1"/>
  <c r="B34" i="102" a="1"/>
  <c r="B34" i="102" s="1"/>
  <c r="B33" i="102" a="1"/>
  <c r="B33" i="102" s="1"/>
  <c r="B32" i="102" a="1"/>
  <c r="B32" i="102" s="1"/>
  <c r="B31" i="102" a="1"/>
  <c r="B31" i="102" s="1"/>
  <c r="B30" i="102" a="1"/>
  <c r="B30" i="102" s="1"/>
  <c r="B29" i="102" a="1"/>
  <c r="B29" i="102" s="1"/>
  <c r="B28" i="102" a="1"/>
  <c r="B28" i="102" s="1"/>
  <c r="B27" i="102" a="1"/>
  <c r="B27" i="102" s="1"/>
  <c r="B26" i="102" a="1"/>
  <c r="B26" i="102" s="1"/>
  <c r="B25" i="102" a="1"/>
  <c r="B25" i="102" s="1"/>
  <c r="B24" i="102" a="1"/>
  <c r="B24" i="102" s="1"/>
  <c r="B23" i="102" a="1"/>
  <c r="B23" i="102" s="1"/>
  <c r="B22" i="102" a="1"/>
  <c r="B22" i="102" s="1"/>
  <c r="B21" i="102" a="1"/>
  <c r="B21" i="102" s="1"/>
  <c r="B20" i="102" a="1"/>
  <c r="B20" i="102" s="1"/>
  <c r="B19" i="102" a="1"/>
  <c r="B19" i="102" s="1"/>
  <c r="B18" i="102" a="1"/>
  <c r="B18" i="102" s="1"/>
  <c r="B17" i="102" a="1"/>
  <c r="B17" i="102" s="1"/>
  <c r="B16" i="102" a="1"/>
  <c r="B16" i="102" s="1"/>
  <c r="B15" i="102" a="1"/>
  <c r="B15" i="102" s="1"/>
  <c r="B14" i="102" a="1"/>
  <c r="B14" i="102" s="1"/>
  <c r="B13" i="102" a="1"/>
  <c r="B13" i="102" s="1"/>
  <c r="B12" i="102" a="1"/>
  <c r="B12" i="102" s="1"/>
  <c r="B11" i="102" a="1"/>
  <c r="B11" i="102" s="1"/>
  <c r="B10" i="102" a="1"/>
  <c r="B10" i="102" s="1"/>
  <c r="B9" i="102" a="1"/>
  <c r="B9" i="102" s="1"/>
  <c r="B8" i="102" a="1"/>
  <c r="B8" i="102" s="1"/>
  <c r="B7" i="102" a="1"/>
  <c r="B7" i="102" s="1"/>
  <c r="B6" i="102" a="1"/>
  <c r="B6" i="102" s="1"/>
  <c r="B5" i="102" a="1"/>
  <c r="B5" i="102" s="1"/>
  <c r="B4" i="102" a="1"/>
  <c r="B4" i="102" s="1"/>
  <c r="B3" i="102" a="1"/>
  <c r="B3" i="102" s="1"/>
  <c r="AJ462" i="102"/>
  <c r="AJ461" i="102"/>
  <c r="AJ415" i="102"/>
  <c r="AJ414" i="102"/>
  <c r="AJ413" i="102"/>
  <c r="AJ389" i="102"/>
  <c r="AJ388" i="102"/>
  <c r="AJ382" i="102"/>
  <c r="AJ381" i="102"/>
  <c r="AJ380" i="102"/>
  <c r="AJ379" i="102"/>
  <c r="AJ378" i="102"/>
  <c r="AJ377" i="102"/>
  <c r="AJ376" i="102"/>
  <c r="AJ375" i="102"/>
  <c r="AJ374" i="102"/>
  <c r="AJ373" i="102"/>
  <c r="AJ372" i="102"/>
  <c r="AJ371" i="102"/>
  <c r="AJ370" i="102"/>
  <c r="AJ369" i="102"/>
  <c r="AJ368" i="102"/>
  <c r="AJ367" i="102"/>
  <c r="AJ366" i="102"/>
  <c r="AJ365" i="102"/>
  <c r="AJ364" i="102"/>
  <c r="AJ363" i="102"/>
  <c r="AJ362" i="102"/>
  <c r="AJ361" i="102"/>
  <c r="AJ360" i="102"/>
  <c r="AJ359" i="102"/>
  <c r="AJ358" i="102"/>
  <c r="AJ357" i="102"/>
  <c r="AJ356" i="102"/>
  <c r="AJ355" i="102"/>
  <c r="AJ354" i="102"/>
  <c r="AJ353" i="102"/>
  <c r="AJ352" i="102"/>
  <c r="AJ351" i="102"/>
  <c r="AJ350" i="102"/>
  <c r="AJ349" i="102"/>
  <c r="AJ348" i="102"/>
  <c r="AJ347" i="102"/>
  <c r="AJ346" i="102"/>
  <c r="AJ345" i="102"/>
  <c r="AJ344" i="102"/>
  <c r="AJ343" i="102"/>
  <c r="AJ342" i="102"/>
  <c r="AJ341" i="102"/>
  <c r="AJ340" i="102"/>
  <c r="AJ339" i="102"/>
  <c r="AJ338" i="102"/>
  <c r="AJ337" i="102"/>
  <c r="AJ336" i="102"/>
  <c r="AJ335" i="102"/>
  <c r="AJ334" i="102"/>
  <c r="AJ333" i="102"/>
  <c r="AJ332" i="102"/>
  <c r="AJ331" i="102"/>
  <c r="AJ330" i="102"/>
  <c r="AJ329" i="102"/>
  <c r="AJ328" i="102"/>
  <c r="AJ327" i="102"/>
  <c r="AJ326" i="102"/>
  <c r="AJ325" i="102"/>
  <c r="AJ324" i="102"/>
  <c r="AJ323" i="102"/>
  <c r="AJ322" i="102"/>
  <c r="AJ321" i="102"/>
  <c r="AJ320" i="102"/>
  <c r="AJ319" i="102"/>
  <c r="AJ318" i="102"/>
  <c r="AJ317" i="102"/>
  <c r="AJ316" i="102"/>
  <c r="AJ315" i="102"/>
  <c r="AJ314" i="102"/>
  <c r="AJ313" i="102"/>
  <c r="AJ312" i="102"/>
  <c r="AJ311" i="102"/>
  <c r="AJ310" i="102"/>
  <c r="AJ309" i="102"/>
  <c r="AJ308" i="102"/>
  <c r="AJ307" i="102"/>
  <c r="AJ306" i="102"/>
  <c r="AJ305" i="102"/>
  <c r="AJ304" i="102"/>
  <c r="AJ303" i="102"/>
  <c r="AJ302" i="102"/>
  <c r="AJ301" i="102"/>
  <c r="AJ300" i="102"/>
  <c r="AJ299" i="102"/>
  <c r="AJ298" i="102"/>
  <c r="AJ297" i="102"/>
  <c r="AJ296" i="102"/>
  <c r="AJ295" i="102"/>
  <c r="AJ294" i="102"/>
  <c r="AJ293" i="102"/>
  <c r="AJ292" i="102"/>
  <c r="AJ291" i="102"/>
  <c r="AJ290" i="102"/>
  <c r="AJ289" i="102"/>
  <c r="AJ288" i="102"/>
  <c r="AJ287" i="102"/>
  <c r="AJ286" i="102"/>
  <c r="AJ285" i="102"/>
  <c r="AJ284" i="102"/>
  <c r="AJ283" i="102"/>
  <c r="AJ282" i="102"/>
  <c r="AJ281" i="102"/>
  <c r="AJ280" i="102"/>
  <c r="AJ279" i="102"/>
  <c r="AJ278" i="102"/>
  <c r="AJ277" i="102"/>
  <c r="AJ276" i="102"/>
  <c r="AJ275" i="102"/>
  <c r="AJ274" i="102"/>
  <c r="AJ273" i="102"/>
  <c r="AJ272" i="102"/>
  <c r="AJ271" i="102"/>
  <c r="AJ270" i="102"/>
  <c r="AJ269" i="102"/>
  <c r="AJ268" i="102"/>
  <c r="AJ267" i="102"/>
  <c r="AJ266" i="102"/>
  <c r="AJ265" i="102"/>
  <c r="AJ264" i="102"/>
  <c r="AJ263" i="102"/>
  <c r="AJ262" i="102"/>
  <c r="AJ261" i="102"/>
  <c r="AJ260" i="102"/>
  <c r="AJ259" i="102"/>
  <c r="AJ258" i="102"/>
  <c r="AJ257" i="102"/>
  <c r="AJ256" i="102"/>
  <c r="AJ255" i="102"/>
  <c r="AJ254" i="102"/>
  <c r="AJ253" i="102"/>
  <c r="AJ252" i="102"/>
  <c r="AJ251" i="102"/>
  <c r="AJ250" i="102"/>
  <c r="AJ249" i="102"/>
  <c r="AJ248" i="102"/>
  <c r="AJ247" i="102"/>
  <c r="AJ246" i="102"/>
  <c r="AJ245" i="102"/>
  <c r="AJ244" i="102"/>
  <c r="AJ243" i="102"/>
  <c r="AJ242" i="102"/>
  <c r="AJ241" i="102"/>
  <c r="AJ240" i="102"/>
  <c r="AJ239" i="102"/>
  <c r="AJ238" i="102"/>
  <c r="AJ237" i="102"/>
  <c r="AJ236" i="102"/>
  <c r="AJ235" i="102"/>
  <c r="AJ234" i="102"/>
  <c r="AJ233" i="102"/>
  <c r="AJ232" i="102"/>
  <c r="AJ231" i="102"/>
  <c r="AJ230" i="102"/>
  <c r="AJ229" i="102"/>
  <c r="AJ228" i="102"/>
  <c r="AJ227" i="102"/>
  <c r="AJ226" i="102"/>
  <c r="AJ225" i="102"/>
  <c r="AJ224" i="102"/>
  <c r="AJ223" i="102"/>
  <c r="AJ222" i="102"/>
  <c r="AJ221" i="102"/>
  <c r="AJ220" i="102"/>
  <c r="AJ219" i="102"/>
  <c r="AJ218" i="102"/>
  <c r="AJ217" i="102"/>
  <c r="AJ216" i="102"/>
  <c r="AJ215" i="102"/>
  <c r="AJ214" i="102"/>
  <c r="AJ213" i="102"/>
  <c r="AJ212" i="102"/>
  <c r="AJ211" i="102"/>
  <c r="AJ210" i="102"/>
  <c r="AJ209" i="102"/>
  <c r="AJ208" i="102"/>
  <c r="AJ207" i="102"/>
  <c r="AJ206" i="102"/>
  <c r="AJ205" i="102"/>
  <c r="AJ204" i="102"/>
  <c r="AJ203" i="102"/>
  <c r="AJ202" i="102"/>
  <c r="AJ201" i="102"/>
  <c r="AJ200" i="102"/>
  <c r="AJ199" i="102"/>
  <c r="AJ198" i="102"/>
  <c r="AJ197" i="102"/>
  <c r="AJ196" i="102"/>
  <c r="AJ195" i="102"/>
  <c r="AJ194" i="102"/>
  <c r="AJ193" i="102"/>
  <c r="AJ192" i="102"/>
  <c r="AJ191" i="102"/>
  <c r="AJ190" i="102"/>
  <c r="AJ189" i="102"/>
  <c r="AJ188" i="102"/>
  <c r="AJ187" i="102"/>
  <c r="AJ186" i="102"/>
  <c r="AJ185" i="102"/>
  <c r="AJ184" i="102"/>
  <c r="AJ183" i="102"/>
  <c r="AJ182" i="102"/>
  <c r="AJ181" i="102"/>
  <c r="AJ180" i="102"/>
  <c r="AJ179" i="102"/>
  <c r="AJ178" i="102"/>
  <c r="AJ177" i="102"/>
  <c r="AJ176" i="102"/>
  <c r="AJ175" i="102"/>
  <c r="AJ174" i="102"/>
  <c r="AJ173" i="102"/>
  <c r="AJ172" i="102"/>
  <c r="AJ171" i="102"/>
  <c r="AJ170" i="102"/>
  <c r="AJ169" i="102"/>
  <c r="AJ168" i="102"/>
  <c r="AJ167" i="102"/>
  <c r="AJ166" i="102"/>
  <c r="AJ165" i="102"/>
  <c r="AJ164" i="102"/>
  <c r="AJ163" i="102"/>
  <c r="AJ162" i="102"/>
  <c r="AJ161" i="102"/>
  <c r="AJ160" i="102"/>
  <c r="AJ159" i="102"/>
  <c r="AJ158" i="102"/>
  <c r="AJ157" i="102"/>
  <c r="AJ156" i="102"/>
  <c r="AJ155" i="102"/>
  <c r="AJ154" i="102"/>
  <c r="AJ153" i="102"/>
  <c r="AJ152" i="102"/>
  <c r="AJ151" i="102"/>
  <c r="AJ150" i="102"/>
  <c r="AJ149" i="102"/>
  <c r="AJ148" i="102"/>
  <c r="AJ147" i="102"/>
  <c r="AJ146" i="102"/>
  <c r="AJ145" i="102"/>
  <c r="AJ144" i="102"/>
  <c r="AJ143" i="102"/>
  <c r="AJ142" i="102"/>
  <c r="AJ141" i="102"/>
  <c r="AJ140" i="102"/>
  <c r="AJ139" i="102"/>
  <c r="AJ138" i="102"/>
  <c r="AJ137" i="102"/>
  <c r="AJ136" i="102"/>
  <c r="AJ135" i="102"/>
  <c r="AJ134" i="102"/>
  <c r="AJ133" i="102"/>
  <c r="AJ132" i="102"/>
  <c r="AJ131" i="102"/>
  <c r="AJ130" i="102"/>
  <c r="AJ129" i="102"/>
  <c r="AJ128" i="102"/>
  <c r="AJ127" i="102"/>
  <c r="AJ126" i="102"/>
  <c r="AJ125" i="102"/>
  <c r="AJ124" i="102"/>
  <c r="AJ123" i="102"/>
  <c r="AJ122" i="102"/>
  <c r="AJ121" i="102"/>
  <c r="AJ120" i="102"/>
  <c r="AJ119" i="102"/>
  <c r="AJ118" i="102"/>
  <c r="AJ117" i="102"/>
  <c r="AJ116" i="102"/>
  <c r="AJ115" i="102"/>
  <c r="AJ114" i="102"/>
  <c r="AJ113" i="102"/>
  <c r="AJ112" i="102"/>
  <c r="AJ111" i="102"/>
  <c r="AJ110" i="102"/>
  <c r="AJ109" i="102"/>
  <c r="AJ108" i="102"/>
  <c r="AJ107" i="102"/>
  <c r="AJ106" i="102"/>
  <c r="AJ105" i="102"/>
  <c r="AJ104" i="102"/>
  <c r="AJ103" i="102"/>
  <c r="AJ102" i="102"/>
  <c r="AJ101" i="102"/>
  <c r="AJ100" i="102"/>
  <c r="AJ99" i="102"/>
  <c r="AJ98" i="102"/>
  <c r="AJ97" i="102"/>
  <c r="AJ96" i="102"/>
  <c r="AJ95" i="102"/>
  <c r="AJ94" i="102"/>
  <c r="AJ93" i="102"/>
  <c r="AJ92" i="102"/>
  <c r="AJ91" i="102"/>
  <c r="AJ90" i="102"/>
  <c r="AJ89" i="102"/>
  <c r="AJ88" i="102"/>
  <c r="AJ87" i="102"/>
  <c r="AJ86" i="102"/>
  <c r="AJ85" i="102"/>
  <c r="AJ84" i="102"/>
  <c r="AJ83" i="102"/>
  <c r="AJ82" i="102"/>
  <c r="AJ81" i="102"/>
  <c r="AJ80" i="102"/>
  <c r="AJ79" i="102"/>
  <c r="AJ78" i="102"/>
  <c r="AJ77" i="102"/>
  <c r="AJ76" i="102"/>
  <c r="AJ75" i="102"/>
  <c r="AJ74" i="102"/>
  <c r="AJ73" i="102"/>
  <c r="AJ72" i="102"/>
  <c r="AJ71" i="102"/>
  <c r="AJ70" i="102"/>
  <c r="AJ69" i="102"/>
  <c r="AJ68" i="102"/>
  <c r="AJ67" i="102"/>
  <c r="AJ66" i="102"/>
  <c r="AJ65" i="102"/>
  <c r="AJ64" i="102"/>
  <c r="AJ63" i="102"/>
  <c r="AJ62" i="102"/>
  <c r="AJ61" i="102"/>
  <c r="AJ60" i="102"/>
  <c r="AJ59" i="102"/>
  <c r="AJ58" i="102"/>
  <c r="AJ57" i="102"/>
  <c r="AJ56" i="102"/>
  <c r="AJ55" i="102"/>
  <c r="AJ54" i="102"/>
  <c r="AJ53" i="102"/>
  <c r="AJ52" i="102"/>
  <c r="AJ51" i="102"/>
  <c r="AJ50" i="102"/>
  <c r="AJ49" i="102"/>
  <c r="AJ48" i="102"/>
  <c r="AJ47" i="102"/>
  <c r="AJ46" i="102"/>
  <c r="AJ45" i="102"/>
  <c r="AJ44" i="102"/>
  <c r="AJ43" i="102"/>
  <c r="AJ42" i="102"/>
  <c r="AJ41" i="102"/>
  <c r="AJ40" i="102"/>
  <c r="AJ39" i="102"/>
  <c r="AJ38" i="102"/>
  <c r="AJ37" i="102"/>
  <c r="AJ36" i="102"/>
  <c r="AJ35" i="102"/>
  <c r="AJ34" i="102"/>
  <c r="AJ33" i="102"/>
  <c r="AJ32" i="102"/>
  <c r="AJ31" i="102"/>
  <c r="AJ30" i="102"/>
  <c r="AJ29" i="102"/>
  <c r="AJ28" i="102"/>
  <c r="AJ27" i="102"/>
  <c r="AJ26" i="102"/>
  <c r="AJ25" i="102"/>
  <c r="AJ24" i="102"/>
  <c r="AJ23" i="102"/>
  <c r="AJ22" i="102"/>
  <c r="AJ21" i="102"/>
  <c r="AJ20" i="102"/>
  <c r="AJ19" i="102"/>
  <c r="AJ18" i="102"/>
  <c r="AJ17" i="102"/>
  <c r="AJ16" i="102"/>
  <c r="AJ15" i="102"/>
  <c r="AJ14" i="102"/>
  <c r="AJ13" i="102"/>
  <c r="AJ12" i="102"/>
  <c r="AJ11" i="102"/>
  <c r="AJ10" i="102"/>
  <c r="AJ9" i="102"/>
  <c r="AJ8" i="102"/>
  <c r="AJ7" i="102"/>
  <c r="AJ6" i="102"/>
  <c r="AJ5" i="102"/>
  <c r="AJ4" i="102"/>
  <c r="H103" i="108"/>
  <c r="F103" i="108"/>
  <c r="H102" i="108"/>
  <c r="F102" i="108"/>
  <c r="H101" i="108"/>
  <c r="F101" i="108"/>
  <c r="H100" i="108"/>
  <c r="F100" i="108"/>
  <c r="H99" i="108"/>
  <c r="F99" i="108"/>
  <c r="H98" i="108"/>
  <c r="F98" i="108"/>
  <c r="H97" i="108"/>
  <c r="F97" i="108"/>
  <c r="H96" i="108"/>
  <c r="F96" i="108"/>
  <c r="H95" i="108"/>
  <c r="F95" i="108"/>
  <c r="H94" i="108"/>
  <c r="F94" i="108"/>
  <c r="H93" i="108"/>
  <c r="F93" i="108"/>
  <c r="H92" i="108"/>
  <c r="F92" i="108"/>
  <c r="H91" i="108"/>
  <c r="F91" i="108"/>
  <c r="H90" i="108"/>
  <c r="F90" i="108"/>
  <c r="H89" i="108"/>
  <c r="F89" i="108"/>
  <c r="H88" i="108"/>
  <c r="F88" i="108"/>
  <c r="H87" i="108"/>
  <c r="F87" i="108"/>
  <c r="H86" i="108"/>
  <c r="F86" i="108"/>
  <c r="H85" i="108"/>
  <c r="F85" i="108"/>
  <c r="H84" i="108"/>
  <c r="F84" i="108"/>
  <c r="H83" i="108"/>
  <c r="F83" i="108"/>
  <c r="H82" i="108"/>
  <c r="F82" i="108"/>
  <c r="H81" i="108"/>
  <c r="F81" i="108"/>
  <c r="H80" i="108"/>
  <c r="F80" i="108"/>
  <c r="H79" i="108"/>
  <c r="F79" i="108"/>
  <c r="H78" i="108"/>
  <c r="F78" i="108"/>
  <c r="H77" i="108"/>
  <c r="F77" i="108"/>
  <c r="H76" i="108"/>
  <c r="F76" i="108"/>
  <c r="H75" i="108"/>
  <c r="F75" i="108"/>
  <c r="H74" i="108"/>
  <c r="F74" i="108"/>
  <c r="H73" i="108"/>
  <c r="F73" i="108"/>
  <c r="H72" i="108"/>
  <c r="F72" i="108"/>
  <c r="H71" i="108"/>
  <c r="F71" i="108"/>
  <c r="H70" i="108"/>
  <c r="F70" i="108"/>
  <c r="H69" i="108"/>
  <c r="F69" i="108"/>
  <c r="H68" i="108"/>
  <c r="F68" i="108"/>
  <c r="H67" i="108"/>
  <c r="F67" i="108"/>
  <c r="H66" i="108"/>
  <c r="F66" i="108"/>
  <c r="H65" i="108"/>
  <c r="F65" i="108"/>
  <c r="H64" i="108"/>
  <c r="F64" i="108"/>
  <c r="H63" i="108"/>
  <c r="F63" i="108"/>
  <c r="H62" i="108"/>
  <c r="F62" i="108"/>
  <c r="H61" i="108"/>
  <c r="F61" i="108"/>
  <c r="H60" i="108"/>
  <c r="F60" i="108"/>
  <c r="H59" i="108"/>
  <c r="F59" i="108"/>
  <c r="H58" i="108"/>
  <c r="F58" i="108"/>
  <c r="H57" i="108"/>
  <c r="F57" i="108"/>
  <c r="H56" i="108"/>
  <c r="F56" i="108"/>
  <c r="H55" i="108"/>
  <c r="F55" i="108"/>
  <c r="H54" i="108"/>
  <c r="F54" i="108"/>
  <c r="F53" i="108"/>
  <c r="F52" i="108"/>
  <c r="F51" i="108"/>
  <c r="F50" i="108"/>
  <c r="F49" i="108"/>
  <c r="F48" i="108"/>
  <c r="F47" i="108"/>
  <c r="F46" i="108"/>
  <c r="F45" i="108"/>
  <c r="F44" i="108"/>
  <c r="F43" i="108"/>
  <c r="F42" i="108"/>
  <c r="F41" i="108"/>
  <c r="F40" i="108"/>
  <c r="F39" i="108"/>
  <c r="F38" i="108"/>
  <c r="F37" i="108"/>
  <c r="F36" i="108"/>
  <c r="F35" i="108"/>
  <c r="F34" i="108"/>
  <c r="F33" i="108"/>
  <c r="F32" i="108"/>
  <c r="F31" i="108"/>
  <c r="F30" i="108"/>
  <c r="F29" i="108"/>
  <c r="H28" i="108"/>
  <c r="F28" i="108"/>
  <c r="H27" i="108"/>
  <c r="F27" i="108"/>
  <c r="H26" i="108"/>
  <c r="F26" i="108"/>
  <c r="H25" i="108"/>
  <c r="F25" i="108"/>
  <c r="H24" i="108"/>
  <c r="F24" i="108"/>
  <c r="H23" i="108"/>
  <c r="F23" i="108"/>
  <c r="H22" i="108"/>
  <c r="F22" i="108"/>
  <c r="H21" i="108"/>
  <c r="F21" i="108"/>
  <c r="H20" i="108"/>
  <c r="F20" i="108"/>
  <c r="H19" i="108"/>
  <c r="F19" i="108"/>
  <c r="H18" i="108"/>
  <c r="F18" i="108"/>
  <c r="H17" i="108"/>
  <c r="F17" i="108"/>
  <c r="H16" i="108"/>
  <c r="F16" i="108"/>
  <c r="H15" i="108"/>
  <c r="F15" i="108"/>
  <c r="H14" i="108"/>
  <c r="F14" i="108"/>
  <c r="H13" i="108"/>
  <c r="F13" i="108"/>
  <c r="H12" i="108"/>
  <c r="F12" i="108"/>
  <c r="H11" i="108"/>
  <c r="F11" i="108"/>
  <c r="H10" i="108"/>
  <c r="F10" i="108"/>
  <c r="H9" i="108"/>
  <c r="F9" i="108"/>
  <c r="H8" i="108"/>
  <c r="F8" i="108"/>
  <c r="H7" i="108"/>
  <c r="F7" i="108"/>
  <c r="H6" i="108"/>
  <c r="F6" i="108"/>
  <c r="H5" i="108"/>
  <c r="F5" i="108"/>
  <c r="H4" i="108"/>
  <c r="F4" i="108"/>
  <c r="H103" i="105"/>
  <c r="F103" i="105"/>
  <c r="H102" i="105"/>
  <c r="F102" i="105"/>
  <c r="H101" i="105"/>
  <c r="F101" i="105"/>
  <c r="H100" i="105"/>
  <c r="F100" i="105"/>
  <c r="H99" i="105"/>
  <c r="F99" i="105"/>
  <c r="H98" i="105"/>
  <c r="F98" i="105"/>
  <c r="H97" i="105"/>
  <c r="F97" i="105"/>
  <c r="H96" i="105"/>
  <c r="F96" i="105"/>
  <c r="H95" i="105"/>
  <c r="F95" i="105"/>
  <c r="H94" i="105"/>
  <c r="F94" i="105"/>
  <c r="H93" i="105"/>
  <c r="F93" i="105"/>
  <c r="H92" i="105"/>
  <c r="F92" i="105"/>
  <c r="H91" i="105"/>
  <c r="F91" i="105"/>
  <c r="H90" i="105"/>
  <c r="F90" i="105"/>
  <c r="H89" i="105"/>
  <c r="F89" i="105"/>
  <c r="H88" i="105"/>
  <c r="F88" i="105"/>
  <c r="H87" i="105"/>
  <c r="F87" i="105"/>
  <c r="H86" i="105"/>
  <c r="F86" i="105"/>
  <c r="H85" i="105"/>
  <c r="F85" i="105"/>
  <c r="H84" i="105"/>
  <c r="F84" i="105"/>
  <c r="H83" i="105"/>
  <c r="F83" i="105"/>
  <c r="H82" i="105"/>
  <c r="F82" i="105"/>
  <c r="H81" i="105"/>
  <c r="F81" i="105"/>
  <c r="H80" i="105"/>
  <c r="F80" i="105"/>
  <c r="H79" i="105"/>
  <c r="F79" i="105"/>
  <c r="H78" i="105"/>
  <c r="F78" i="105"/>
  <c r="H77" i="105"/>
  <c r="F77" i="105"/>
  <c r="H76" i="105"/>
  <c r="F76" i="105"/>
  <c r="H75" i="105"/>
  <c r="F75" i="105"/>
  <c r="H74" i="105"/>
  <c r="F74" i="105"/>
  <c r="H73" i="105"/>
  <c r="F73" i="105"/>
  <c r="H72" i="105"/>
  <c r="F72" i="105"/>
  <c r="H71" i="105"/>
  <c r="F71" i="105"/>
  <c r="H70" i="105"/>
  <c r="F70" i="105"/>
  <c r="H69" i="105"/>
  <c r="F69" i="105"/>
  <c r="H68" i="105"/>
  <c r="F68" i="105"/>
  <c r="H67" i="105"/>
  <c r="F67" i="105"/>
  <c r="H66" i="105"/>
  <c r="F66" i="105"/>
  <c r="H65" i="105"/>
  <c r="F65" i="105"/>
  <c r="H64" i="105"/>
  <c r="F64" i="105"/>
  <c r="H63" i="105"/>
  <c r="F63" i="105"/>
  <c r="H62" i="105"/>
  <c r="F62" i="105"/>
  <c r="H61" i="105"/>
  <c r="F61" i="105"/>
  <c r="H60" i="105"/>
  <c r="F60" i="105"/>
  <c r="H59" i="105"/>
  <c r="F59" i="105"/>
  <c r="H58" i="105"/>
  <c r="F58" i="105"/>
  <c r="H57" i="105"/>
  <c r="F57" i="105"/>
  <c r="H56" i="105"/>
  <c r="F56" i="105"/>
  <c r="H55" i="105"/>
  <c r="F55" i="105"/>
  <c r="H54" i="105"/>
  <c r="F54" i="105"/>
  <c r="F53" i="105"/>
  <c r="F52" i="105"/>
  <c r="F51" i="105"/>
  <c r="F50" i="105"/>
  <c r="F49" i="105"/>
  <c r="F48" i="105"/>
  <c r="F47" i="105"/>
  <c r="F46" i="105"/>
  <c r="F45" i="105"/>
  <c r="F44" i="105"/>
  <c r="F43" i="105"/>
  <c r="F42" i="105"/>
  <c r="F41" i="105"/>
  <c r="F40" i="105"/>
  <c r="F39" i="105"/>
  <c r="F38" i="105"/>
  <c r="F37" i="105"/>
  <c r="F36" i="105"/>
  <c r="F35" i="105"/>
  <c r="F34" i="105"/>
  <c r="F33" i="105"/>
  <c r="F32" i="105"/>
  <c r="F31" i="105"/>
  <c r="F30" i="105"/>
  <c r="F29" i="105"/>
  <c r="H28" i="105"/>
  <c r="F28" i="105"/>
  <c r="H27" i="105"/>
  <c r="F27" i="105"/>
  <c r="H26" i="105"/>
  <c r="F26" i="105"/>
  <c r="H25" i="105"/>
  <c r="F25" i="105"/>
  <c r="H24" i="105"/>
  <c r="F24" i="105"/>
  <c r="H23" i="105"/>
  <c r="F23" i="105"/>
  <c r="H22" i="105"/>
  <c r="F22" i="105"/>
  <c r="H21" i="105"/>
  <c r="F21" i="105"/>
  <c r="H20" i="105"/>
  <c r="F20" i="105"/>
  <c r="H19" i="105"/>
  <c r="F19" i="105"/>
  <c r="H18" i="105"/>
  <c r="F18" i="105"/>
  <c r="H17" i="105"/>
  <c r="F17" i="105"/>
  <c r="H16" i="105"/>
  <c r="F16" i="105"/>
  <c r="H15" i="105"/>
  <c r="F15" i="105"/>
  <c r="H14" i="105"/>
  <c r="F14" i="105"/>
  <c r="H13" i="105"/>
  <c r="F13" i="105"/>
  <c r="H12" i="105"/>
  <c r="F12" i="105"/>
  <c r="H11" i="105"/>
  <c r="F11" i="105"/>
  <c r="H10" i="105"/>
  <c r="F10" i="105"/>
  <c r="H9" i="105"/>
  <c r="F9" i="105"/>
  <c r="H8" i="105"/>
  <c r="F8" i="105"/>
  <c r="H7" i="105"/>
  <c r="F7" i="105"/>
  <c r="H6" i="105"/>
  <c r="F6" i="105"/>
  <c r="H5" i="105"/>
  <c r="F5" i="105"/>
  <c r="F4" i="105"/>
  <c r="AP172" i="102"/>
  <c r="AS13" i="108" s="1"/>
  <c r="AW13" i="108"/>
  <c r="AV13" i="108"/>
  <c r="AW12" i="108"/>
  <c r="AV12" i="108"/>
  <c r="AW11" i="108"/>
  <c r="AV11" i="108"/>
  <c r="AW8" i="108"/>
  <c r="AV8" i="108"/>
  <c r="AW6" i="108"/>
  <c r="AV6" i="108"/>
  <c r="AW5" i="108"/>
  <c r="AV5" i="108"/>
  <c r="AW4" i="108"/>
  <c r="AV4" i="108"/>
  <c r="AU13" i="108"/>
  <c r="AT13" i="108"/>
  <c r="AR13" i="108"/>
  <c r="AU12" i="108"/>
  <c r="AT12" i="108"/>
  <c r="AR12" i="108"/>
  <c r="AU11" i="108"/>
  <c r="AT11" i="108"/>
  <c r="AR11" i="108"/>
  <c r="AR9" i="108"/>
  <c r="AU8" i="108"/>
  <c r="AT8" i="108"/>
  <c r="AR8" i="108"/>
  <c r="AU6" i="108"/>
  <c r="AT6" i="108"/>
  <c r="AR6" i="108"/>
  <c r="AU5" i="108"/>
  <c r="AT5" i="108"/>
  <c r="AR5" i="108"/>
  <c r="AU4" i="108"/>
  <c r="AT4" i="108"/>
  <c r="AR4" i="108"/>
  <c r="AI103" i="108"/>
  <c r="AI102" i="108"/>
  <c r="AI101" i="108"/>
  <c r="AI100" i="108"/>
  <c r="AI99" i="108"/>
  <c r="AI98" i="108"/>
  <c r="AI97" i="108"/>
  <c r="AI96" i="108"/>
  <c r="AI95" i="108"/>
  <c r="AI94" i="108"/>
  <c r="AI93" i="108"/>
  <c r="AI92" i="108"/>
  <c r="AI91" i="108"/>
  <c r="AI90" i="108"/>
  <c r="AI89" i="108"/>
  <c r="AI88" i="108"/>
  <c r="AI87" i="108"/>
  <c r="AI86" i="108"/>
  <c r="AI85" i="108"/>
  <c r="AI84" i="108"/>
  <c r="AI83" i="108"/>
  <c r="AI82" i="108"/>
  <c r="AI81" i="108"/>
  <c r="AI80" i="108"/>
  <c r="AI79" i="108"/>
  <c r="AI78" i="108"/>
  <c r="AI77" i="108"/>
  <c r="AI76" i="108"/>
  <c r="AI75" i="108"/>
  <c r="AI74" i="108"/>
  <c r="AI73" i="108"/>
  <c r="AI72" i="108"/>
  <c r="AI71" i="108"/>
  <c r="AI70" i="108"/>
  <c r="AI69" i="108"/>
  <c r="AI68" i="108"/>
  <c r="AI67" i="108"/>
  <c r="AI66" i="108"/>
  <c r="AI65" i="108"/>
  <c r="AI64" i="108"/>
  <c r="AI63" i="108"/>
  <c r="AI62" i="108"/>
  <c r="AI61" i="108"/>
  <c r="AI60" i="108"/>
  <c r="AI59" i="108"/>
  <c r="AI58" i="108"/>
  <c r="AI57" i="108"/>
  <c r="AI56" i="108"/>
  <c r="AI55" i="108"/>
  <c r="AI54" i="108"/>
  <c r="AI53" i="108"/>
  <c r="AI52" i="108"/>
  <c r="AI51" i="108"/>
  <c r="AI50" i="108"/>
  <c r="AI49" i="108"/>
  <c r="AI48" i="108"/>
  <c r="AI47" i="108"/>
  <c r="AI46" i="108"/>
  <c r="AI45" i="108"/>
  <c r="AI44" i="108"/>
  <c r="AI43" i="108"/>
  <c r="AI42" i="108"/>
  <c r="AI41" i="108"/>
  <c r="AI40" i="108"/>
  <c r="AI39" i="108"/>
  <c r="AI38" i="108"/>
  <c r="AI37" i="108"/>
  <c r="AI36" i="108"/>
  <c r="AI35" i="108"/>
  <c r="AI34" i="108"/>
  <c r="AI33" i="108"/>
  <c r="AI32" i="108"/>
  <c r="AI31" i="108"/>
  <c r="AI30" i="108"/>
  <c r="AI29" i="108"/>
  <c r="AI28" i="108"/>
  <c r="AI27" i="108"/>
  <c r="AI26" i="108"/>
  <c r="AI25" i="108"/>
  <c r="AI24" i="108"/>
  <c r="AI23" i="108"/>
  <c r="AI22" i="108"/>
  <c r="AI21" i="108"/>
  <c r="AI20" i="108"/>
  <c r="AI19" i="108"/>
  <c r="AI18" i="108"/>
  <c r="AI17" i="108"/>
  <c r="AI16" i="108"/>
  <c r="AI15" i="108"/>
  <c r="AI14" i="108"/>
  <c r="AI13" i="108"/>
  <c r="AI12" i="108"/>
  <c r="AI11" i="108"/>
  <c r="AI10" i="108"/>
  <c r="AI9" i="108"/>
  <c r="AI8" i="108"/>
  <c r="AI7" i="108"/>
  <c r="AI6" i="108"/>
  <c r="AI5" i="108"/>
  <c r="AI4" i="108"/>
  <c r="R103" i="108"/>
  <c r="R102" i="108"/>
  <c r="R101" i="108"/>
  <c r="R100" i="108"/>
  <c r="R99" i="108"/>
  <c r="R98" i="108"/>
  <c r="R97" i="108"/>
  <c r="R96" i="108"/>
  <c r="R95" i="108"/>
  <c r="R94" i="108"/>
  <c r="R93" i="108"/>
  <c r="R92" i="108"/>
  <c r="R91" i="108"/>
  <c r="R90" i="108"/>
  <c r="R89" i="108"/>
  <c r="R88" i="108"/>
  <c r="R87" i="108"/>
  <c r="R86" i="108"/>
  <c r="R85" i="108"/>
  <c r="R84" i="108"/>
  <c r="R83" i="108"/>
  <c r="R82" i="108"/>
  <c r="R81" i="108"/>
  <c r="R80" i="108"/>
  <c r="R79" i="108"/>
  <c r="R78" i="108"/>
  <c r="R77" i="108"/>
  <c r="R76" i="108"/>
  <c r="R75" i="108"/>
  <c r="R74" i="108"/>
  <c r="R73" i="108"/>
  <c r="R72" i="108"/>
  <c r="R71" i="108"/>
  <c r="R70" i="108"/>
  <c r="R69" i="108"/>
  <c r="R68" i="108"/>
  <c r="R67" i="108"/>
  <c r="R66" i="108"/>
  <c r="R65" i="108"/>
  <c r="R64" i="108"/>
  <c r="R63" i="108"/>
  <c r="R62" i="108"/>
  <c r="R61" i="108"/>
  <c r="R60" i="108"/>
  <c r="R59" i="108"/>
  <c r="R58" i="108"/>
  <c r="R57" i="108"/>
  <c r="R56" i="108"/>
  <c r="R55" i="108"/>
  <c r="R54" i="108"/>
  <c r="R53" i="108"/>
  <c r="R52" i="108"/>
  <c r="R51" i="108"/>
  <c r="R50" i="108"/>
  <c r="R49" i="108"/>
  <c r="R48" i="108"/>
  <c r="R47" i="108"/>
  <c r="R46" i="108"/>
  <c r="R45" i="108"/>
  <c r="R44" i="108"/>
  <c r="R43" i="108"/>
  <c r="R42" i="108"/>
  <c r="R41" i="108"/>
  <c r="R40" i="108"/>
  <c r="R39" i="108"/>
  <c r="R38" i="108"/>
  <c r="R37" i="108"/>
  <c r="R36" i="108"/>
  <c r="R35" i="108"/>
  <c r="R34" i="108"/>
  <c r="R33" i="108"/>
  <c r="R32" i="108"/>
  <c r="R31" i="108"/>
  <c r="R30" i="108"/>
  <c r="R29" i="108"/>
  <c r="R28" i="108"/>
  <c r="R27" i="108"/>
  <c r="R26" i="108"/>
  <c r="R25" i="108"/>
  <c r="R24" i="108"/>
  <c r="R23" i="108"/>
  <c r="R22" i="108"/>
  <c r="R21" i="108"/>
  <c r="R20" i="108"/>
  <c r="R19" i="108"/>
  <c r="R18" i="108"/>
  <c r="R17" i="108"/>
  <c r="R16" i="108"/>
  <c r="R15" i="108"/>
  <c r="R14" i="108"/>
  <c r="R13" i="108"/>
  <c r="R12" i="108"/>
  <c r="R11" i="108"/>
  <c r="R10" i="108"/>
  <c r="R9" i="108"/>
  <c r="R8" i="108"/>
  <c r="R7" i="108"/>
  <c r="R6" i="108"/>
  <c r="R5" i="108"/>
  <c r="R4" i="108"/>
  <c r="Z5" i="108"/>
  <c r="Z6" i="108"/>
  <c r="Z7" i="108"/>
  <c r="Z8" i="108"/>
  <c r="Z9" i="108"/>
  <c r="Z10" i="108"/>
  <c r="Z11" i="108"/>
  <c r="Z12" i="108"/>
  <c r="Z13" i="108"/>
  <c r="Z14" i="108"/>
  <c r="Z15" i="108"/>
  <c r="Z16" i="108"/>
  <c r="Z17" i="108"/>
  <c r="Z18" i="108"/>
  <c r="Z19" i="108"/>
  <c r="Z20" i="108"/>
  <c r="Z21" i="108"/>
  <c r="Z22" i="108"/>
  <c r="Z23" i="108"/>
  <c r="Z24" i="108"/>
  <c r="Z25" i="108"/>
  <c r="Z26" i="108"/>
  <c r="Z27" i="108"/>
  <c r="Z28" i="108"/>
  <c r="Z29" i="108"/>
  <c r="Z30" i="108"/>
  <c r="Z31" i="108"/>
  <c r="Z32" i="108"/>
  <c r="Z33" i="108"/>
  <c r="Z34" i="108"/>
  <c r="Z35" i="108"/>
  <c r="Z36" i="108"/>
  <c r="Z37" i="108"/>
  <c r="Z38" i="108"/>
  <c r="Z39" i="108"/>
  <c r="Z40" i="108"/>
  <c r="Z41" i="108"/>
  <c r="Z42" i="108"/>
  <c r="Z43" i="108"/>
  <c r="Z44" i="108"/>
  <c r="Z45" i="108"/>
  <c r="Z46" i="108"/>
  <c r="Z47" i="108"/>
  <c r="Z48" i="108"/>
  <c r="Z49" i="108"/>
  <c r="Z50" i="108"/>
  <c r="Z51" i="108"/>
  <c r="Z52" i="108"/>
  <c r="Z53" i="108"/>
  <c r="Z54" i="108"/>
  <c r="Z55" i="108"/>
  <c r="Z56" i="108"/>
  <c r="Z57" i="108"/>
  <c r="Z58" i="108"/>
  <c r="Z59" i="108"/>
  <c r="Z60" i="108"/>
  <c r="Z61" i="108"/>
  <c r="Z62" i="108"/>
  <c r="Z63" i="108"/>
  <c r="Z64" i="108"/>
  <c r="Z65" i="108"/>
  <c r="Z66" i="108"/>
  <c r="Z67" i="108"/>
  <c r="Z68" i="108"/>
  <c r="Z69" i="108"/>
  <c r="Z70" i="108"/>
  <c r="Z71" i="108"/>
  <c r="Z72" i="108"/>
  <c r="Z73" i="108"/>
  <c r="Z74" i="108"/>
  <c r="Z75" i="108"/>
  <c r="Z76" i="108"/>
  <c r="Z77" i="108"/>
  <c r="Z78" i="108"/>
  <c r="Z79" i="108"/>
  <c r="Z80" i="108"/>
  <c r="Z81" i="108"/>
  <c r="Z82" i="108"/>
  <c r="Z83" i="108"/>
  <c r="Z84" i="108"/>
  <c r="Z85" i="108"/>
  <c r="Z86" i="108"/>
  <c r="Z87" i="108"/>
  <c r="Z88" i="108"/>
  <c r="Z89" i="108"/>
  <c r="Z90" i="108"/>
  <c r="Z91" i="108"/>
  <c r="Z92" i="108"/>
  <c r="Z93" i="108"/>
  <c r="Z94" i="108"/>
  <c r="Z95" i="108"/>
  <c r="Z96" i="108"/>
  <c r="Z97" i="108"/>
  <c r="Z98" i="108"/>
  <c r="Z99" i="108"/>
  <c r="Z100" i="108"/>
  <c r="Z101" i="108"/>
  <c r="Z102" i="108"/>
  <c r="Z103" i="108"/>
  <c r="AP205" i="102"/>
  <c r="AQ205" i="102" s="1"/>
  <c r="AR205" i="102" s="1"/>
  <c r="AS205" i="102" s="1"/>
  <c r="AT205" i="102" s="1"/>
  <c r="AU205" i="102" s="1"/>
  <c r="AV205" i="102" s="1"/>
  <c r="AW205" i="102" s="1"/>
  <c r="AX205" i="102" s="1"/>
  <c r="AY205" i="102" s="1"/>
  <c r="AP192" i="102"/>
  <c r="AQ192" i="102" s="1"/>
  <c r="AR192" i="102" s="1"/>
  <c r="AS192" i="102" s="1"/>
  <c r="AT192" i="102" s="1"/>
  <c r="AU192" i="102" s="1"/>
  <c r="AV192" i="102" s="1"/>
  <c r="AW192" i="102" s="1"/>
  <c r="AX192" i="102" s="1"/>
  <c r="AY192" i="102" s="1"/>
  <c r="AP179" i="102"/>
  <c r="AQ179" i="102" s="1"/>
  <c r="AR179" i="102" s="1"/>
  <c r="AS179" i="102" s="1"/>
  <c r="AT179" i="102" s="1"/>
  <c r="AU179" i="102" s="1"/>
  <c r="AV179" i="102" s="1"/>
  <c r="AW179" i="102" s="1"/>
  <c r="AX179" i="102" s="1"/>
  <c r="AY179" i="102" s="1"/>
  <c r="AP165" i="102"/>
  <c r="AQ165" i="102" s="1"/>
  <c r="AR165" i="102" s="1"/>
  <c r="AS165" i="102" s="1"/>
  <c r="AT165" i="102" s="1"/>
  <c r="AU165" i="102" s="1"/>
  <c r="AV165" i="102" s="1"/>
  <c r="AW165" i="102" s="1"/>
  <c r="AX165" i="102" s="1"/>
  <c r="AY165" i="102" s="1"/>
  <c r="AP199" i="102"/>
  <c r="AP186" i="102"/>
  <c r="AQ186" i="102" s="1"/>
  <c r="AR186" i="102" s="1"/>
  <c r="AS186" i="102" s="1"/>
  <c r="AT186" i="102" s="1"/>
  <c r="AU186" i="102" s="1"/>
  <c r="AV186" i="102" s="1"/>
  <c r="AW186" i="102" s="1"/>
  <c r="AX186" i="102" s="1"/>
  <c r="AY186" i="102" s="1"/>
  <c r="AP130" i="102"/>
  <c r="AQ130" i="102" s="1"/>
  <c r="AR130" i="102" s="1"/>
  <c r="AS130" i="102" s="1"/>
  <c r="AT130" i="102" s="1"/>
  <c r="AU130" i="102" s="1"/>
  <c r="AV130" i="102" s="1"/>
  <c r="AW130" i="102" s="1"/>
  <c r="AX130" i="102" s="1"/>
  <c r="AY130" i="102" s="1"/>
  <c r="AP148" i="102"/>
  <c r="AQ148" i="102" s="1"/>
  <c r="AR148" i="102" s="1"/>
  <c r="AS148" i="102" s="1"/>
  <c r="AT148" i="102" s="1"/>
  <c r="AU148" i="102" s="1"/>
  <c r="AV148" i="102" s="1"/>
  <c r="AW148" i="102" s="1"/>
  <c r="AX148" i="102" s="1"/>
  <c r="AY148" i="102" s="1"/>
  <c r="AP138" i="102"/>
  <c r="AQ138" i="102" s="1"/>
  <c r="AR138" i="102" s="1"/>
  <c r="AS138" i="102" s="1"/>
  <c r="AT138" i="102" s="1"/>
  <c r="AU138" i="102" s="1"/>
  <c r="AV138" i="102" s="1"/>
  <c r="AW138" i="102" s="1"/>
  <c r="AX138" i="102" s="1"/>
  <c r="AY138" i="102" s="1"/>
  <c r="AP112" i="102"/>
  <c r="AQ112" i="102" s="1"/>
  <c r="AR112" i="102" s="1"/>
  <c r="AS112" i="102" s="1"/>
  <c r="AT112" i="102" s="1"/>
  <c r="AU112" i="102" s="1"/>
  <c r="AV112" i="102" s="1"/>
  <c r="AW112" i="102" s="1"/>
  <c r="AX112" i="102" s="1"/>
  <c r="AY112" i="102" s="1"/>
  <c r="AP99" i="102"/>
  <c r="AQ99" i="102" s="1"/>
  <c r="AR99" i="102" s="1"/>
  <c r="AS99" i="102" s="1"/>
  <c r="AT99" i="102" s="1"/>
  <c r="AU99" i="102" s="1"/>
  <c r="AV99" i="102" s="1"/>
  <c r="AW99" i="102" s="1"/>
  <c r="AX99" i="102" s="1"/>
  <c r="AY99" i="102" s="1"/>
  <c r="AP86" i="102"/>
  <c r="AQ86" i="102" s="1"/>
  <c r="AR86" i="102" s="1"/>
  <c r="AS86" i="102" s="1"/>
  <c r="AT86" i="102" s="1"/>
  <c r="AU86" i="102" s="1"/>
  <c r="AV86" i="102" s="1"/>
  <c r="AW86" i="102" s="1"/>
  <c r="AX86" i="102" s="1"/>
  <c r="AY86" i="102" s="1"/>
  <c r="AP118" i="102"/>
  <c r="AQ118" i="102" s="1"/>
  <c r="AR118" i="102" s="1"/>
  <c r="AS118" i="102" s="1"/>
  <c r="AT118" i="102" s="1"/>
  <c r="AU118" i="102" s="1"/>
  <c r="AV118" i="102" s="1"/>
  <c r="AW118" i="102" s="1"/>
  <c r="AX118" i="102" s="1"/>
  <c r="AY118" i="102" s="1"/>
  <c r="AP117" i="102"/>
  <c r="AQ117" i="102" s="1"/>
  <c r="AR117" i="102" s="1"/>
  <c r="AS117" i="102" s="1"/>
  <c r="AT117" i="102" s="1"/>
  <c r="AU117" i="102" s="1"/>
  <c r="AV117" i="102" s="1"/>
  <c r="AW117" i="102" s="1"/>
  <c r="AX117" i="102" s="1"/>
  <c r="AY117" i="102" s="1"/>
  <c r="AP105" i="102"/>
  <c r="AQ105" i="102" s="1"/>
  <c r="AR105" i="102" s="1"/>
  <c r="AS105" i="102" s="1"/>
  <c r="AT105" i="102" s="1"/>
  <c r="AU105" i="102" s="1"/>
  <c r="AV105" i="102" s="1"/>
  <c r="AW105" i="102" s="1"/>
  <c r="AX105" i="102" s="1"/>
  <c r="AY105" i="102" s="1"/>
  <c r="AP104" i="102"/>
  <c r="AQ104" i="102" s="1"/>
  <c r="AR104" i="102" s="1"/>
  <c r="AS104" i="102" s="1"/>
  <c r="AT104" i="102" s="1"/>
  <c r="AU104" i="102" s="1"/>
  <c r="AV104" i="102" s="1"/>
  <c r="AW104" i="102" s="1"/>
  <c r="AX104" i="102" s="1"/>
  <c r="AY104" i="102" s="1"/>
  <c r="AP92" i="102"/>
  <c r="AQ92" i="102" s="1"/>
  <c r="AR92" i="102" s="1"/>
  <c r="AS92" i="102" s="1"/>
  <c r="AT92" i="102" s="1"/>
  <c r="AU92" i="102" s="1"/>
  <c r="AV92" i="102" s="1"/>
  <c r="AW92" i="102" s="1"/>
  <c r="AX92" i="102" s="1"/>
  <c r="AY92" i="102" s="1"/>
  <c r="AP91" i="102"/>
  <c r="AQ91" i="102" s="1"/>
  <c r="AR91" i="102" s="1"/>
  <c r="AS91" i="102" s="1"/>
  <c r="AT91" i="102" s="1"/>
  <c r="AU91" i="102" s="1"/>
  <c r="AV91" i="102" s="1"/>
  <c r="AW91" i="102" s="1"/>
  <c r="AX91" i="102" s="1"/>
  <c r="AY91" i="102" s="1"/>
  <c r="AP79" i="102"/>
  <c r="AQ79" i="102" s="1"/>
  <c r="AR79" i="102" s="1"/>
  <c r="AS79" i="102" s="1"/>
  <c r="AT79" i="102" s="1"/>
  <c r="AU79" i="102" s="1"/>
  <c r="AV79" i="102" s="1"/>
  <c r="AW79" i="102" s="1"/>
  <c r="AX79" i="102" s="1"/>
  <c r="AY79" i="102" s="1"/>
  <c r="AP78" i="102"/>
  <c r="S85" i="108" s="1"/>
  <c r="AP66" i="102"/>
  <c r="AQ66" i="102" s="1"/>
  <c r="AR66" i="102" s="1"/>
  <c r="AS66" i="102" s="1"/>
  <c r="AT66" i="102" s="1"/>
  <c r="AU66" i="102" s="1"/>
  <c r="AV66" i="102" s="1"/>
  <c r="AW66" i="102" s="1"/>
  <c r="AX66" i="102" s="1"/>
  <c r="AY66" i="102" s="1"/>
  <c r="AP65" i="102"/>
  <c r="S91" i="108" s="1"/>
  <c r="S99" i="108"/>
  <c r="S64" i="108"/>
  <c r="S56" i="108"/>
  <c r="S29" i="108"/>
  <c r="S8" i="108"/>
  <c r="AN6" i="105"/>
  <c r="AM6" i="105"/>
  <c r="AL6" i="105"/>
  <c r="AK6" i="105"/>
  <c r="AJ6" i="105"/>
  <c r="AI6" i="105"/>
  <c r="AN5" i="105"/>
  <c r="AM5" i="105"/>
  <c r="AL5" i="105"/>
  <c r="AK5" i="105"/>
  <c r="AJ5" i="105"/>
  <c r="AI5" i="105"/>
  <c r="AN4" i="105"/>
  <c r="AM4" i="105"/>
  <c r="AJ4" i="105"/>
  <c r="AI4" i="105"/>
  <c r="AK103" i="108"/>
  <c r="AA103" i="108"/>
  <c r="AK102" i="108"/>
  <c r="AA102" i="108"/>
  <c r="AJ101" i="108"/>
  <c r="AA101" i="108"/>
  <c r="AJ100" i="108"/>
  <c r="AA100" i="108"/>
  <c r="AB99" i="108"/>
  <c r="AK98" i="108"/>
  <c r="AA98" i="108"/>
  <c r="AK97" i="108"/>
  <c r="AA97" i="108"/>
  <c r="AJ96" i="108"/>
  <c r="AA96" i="108"/>
  <c r="AJ95" i="108"/>
  <c r="AA95" i="108"/>
  <c r="AB94" i="108"/>
  <c r="AK93" i="108"/>
  <c r="AA93" i="108"/>
  <c r="AK92" i="108"/>
  <c r="AA92" i="108"/>
  <c r="AJ91" i="108"/>
  <c r="AA91" i="108"/>
  <c r="AJ90" i="108"/>
  <c r="AA90" i="108"/>
  <c r="AB89" i="108"/>
  <c r="AK88" i="108"/>
  <c r="AA88" i="108"/>
  <c r="AK87" i="108"/>
  <c r="AA87" i="108"/>
  <c r="AJ86" i="108"/>
  <c r="AA86" i="108"/>
  <c r="AJ85" i="108"/>
  <c r="AA85" i="108"/>
  <c r="AB84" i="108"/>
  <c r="AK83" i="108"/>
  <c r="AA83" i="108"/>
  <c r="AK82" i="108"/>
  <c r="AA82" i="108"/>
  <c r="AJ81" i="108"/>
  <c r="AA81" i="108"/>
  <c r="AJ80" i="108"/>
  <c r="AA80" i="108"/>
  <c r="AB79" i="108"/>
  <c r="AK78" i="108"/>
  <c r="AA78" i="108"/>
  <c r="AK77" i="108"/>
  <c r="AA77" i="108"/>
  <c r="AJ76" i="108"/>
  <c r="AA76" i="108"/>
  <c r="AJ75" i="108"/>
  <c r="AA75" i="108"/>
  <c r="AB74" i="108"/>
  <c r="AK73" i="108"/>
  <c r="AA73" i="108"/>
  <c r="AK72" i="108"/>
  <c r="AA72" i="108"/>
  <c r="AJ71" i="108"/>
  <c r="AA71" i="108"/>
  <c r="AJ70" i="108"/>
  <c r="AA70" i="108"/>
  <c r="AB69" i="108"/>
  <c r="AK68" i="108"/>
  <c r="AA68" i="108"/>
  <c r="AK67" i="108"/>
  <c r="AA67" i="108"/>
  <c r="AJ66" i="108"/>
  <c r="AA66" i="108"/>
  <c r="AJ65" i="108"/>
  <c r="AA65" i="108"/>
  <c r="AB64" i="108"/>
  <c r="AK63" i="108"/>
  <c r="AA63" i="108"/>
  <c r="AK62" i="108"/>
  <c r="AA62" i="108"/>
  <c r="AJ61" i="108"/>
  <c r="AA61" i="108"/>
  <c r="AJ60" i="108"/>
  <c r="AA60" i="108"/>
  <c r="AB59" i="108"/>
  <c r="AK58" i="108"/>
  <c r="AA58" i="108"/>
  <c r="AK57" i="108"/>
  <c r="AA57" i="108"/>
  <c r="AJ56" i="108"/>
  <c r="AA56" i="108"/>
  <c r="AJ55" i="108"/>
  <c r="AA55" i="108"/>
  <c r="AB54" i="108"/>
  <c r="AK53" i="108"/>
  <c r="AA53" i="108"/>
  <c r="AK52" i="108"/>
  <c r="AA52" i="108"/>
  <c r="AJ51" i="108"/>
  <c r="AA51" i="108"/>
  <c r="AJ50" i="108"/>
  <c r="AA50" i="108"/>
  <c r="AB49" i="108"/>
  <c r="AK48" i="108"/>
  <c r="AA48" i="108"/>
  <c r="AK47" i="108"/>
  <c r="AA47" i="108"/>
  <c r="AJ46" i="108"/>
  <c r="AA46" i="108"/>
  <c r="AJ45" i="108"/>
  <c r="AA45" i="108"/>
  <c r="AB44" i="108"/>
  <c r="AK43" i="108"/>
  <c r="AA43" i="108"/>
  <c r="AK42" i="108"/>
  <c r="AA42" i="108"/>
  <c r="AJ41" i="108"/>
  <c r="AA41" i="108"/>
  <c r="AJ40" i="108"/>
  <c r="AA40" i="108"/>
  <c r="AB39" i="108"/>
  <c r="AK38" i="108"/>
  <c r="AA38" i="108"/>
  <c r="AK37" i="108"/>
  <c r="AA37" i="108"/>
  <c r="AJ36" i="108"/>
  <c r="AA36" i="108"/>
  <c r="AJ35" i="108"/>
  <c r="AA35" i="108"/>
  <c r="AB34" i="108"/>
  <c r="AK33" i="108"/>
  <c r="AA33" i="108"/>
  <c r="AK32" i="108"/>
  <c r="AA32" i="108"/>
  <c r="AJ31" i="108"/>
  <c r="AA31" i="108"/>
  <c r="AJ30" i="108"/>
  <c r="AA30" i="108"/>
  <c r="AB29" i="108"/>
  <c r="AK28" i="108"/>
  <c r="AA28" i="108"/>
  <c r="AK27" i="108"/>
  <c r="AA27" i="108"/>
  <c r="AJ26" i="108"/>
  <c r="AA26" i="108"/>
  <c r="AJ25" i="108"/>
  <c r="AA25" i="108"/>
  <c r="AB24" i="108"/>
  <c r="AK23" i="108"/>
  <c r="AA23" i="108"/>
  <c r="AK22" i="108"/>
  <c r="AA22" i="108"/>
  <c r="AJ21" i="108"/>
  <c r="AA21" i="108"/>
  <c r="AJ20" i="108"/>
  <c r="AA20" i="108"/>
  <c r="AB19" i="108"/>
  <c r="AK18" i="108"/>
  <c r="AA18" i="108"/>
  <c r="AK17" i="108"/>
  <c r="AA17" i="108"/>
  <c r="AJ16" i="108"/>
  <c r="AA16" i="108"/>
  <c r="AJ15" i="108"/>
  <c r="AA15" i="108"/>
  <c r="AB14" i="108"/>
  <c r="AK13" i="108"/>
  <c r="AA13" i="108"/>
  <c r="AK12" i="108"/>
  <c r="AA12" i="108"/>
  <c r="AJ11" i="108"/>
  <c r="AA11" i="108"/>
  <c r="AJ10" i="108"/>
  <c r="AA10" i="108"/>
  <c r="AB9" i="108"/>
  <c r="AK8" i="108"/>
  <c r="AA8" i="108"/>
  <c r="AK7" i="108"/>
  <c r="AA7" i="108"/>
  <c r="AJ6" i="108"/>
  <c r="AA6" i="108"/>
  <c r="AJ5" i="108"/>
  <c r="AA5" i="108"/>
  <c r="AB4" i="108"/>
  <c r="X103" i="105"/>
  <c r="X102" i="105"/>
  <c r="X101" i="105"/>
  <c r="X100" i="105"/>
  <c r="X98" i="105"/>
  <c r="X97" i="105"/>
  <c r="X96" i="105"/>
  <c r="X95" i="105"/>
  <c r="X93" i="105"/>
  <c r="X92" i="105"/>
  <c r="X91" i="105"/>
  <c r="X90" i="105"/>
  <c r="X88" i="105"/>
  <c r="X87" i="105"/>
  <c r="X86" i="105"/>
  <c r="X85" i="105"/>
  <c r="X83" i="105"/>
  <c r="X82" i="105"/>
  <c r="X81" i="105"/>
  <c r="X80" i="105"/>
  <c r="X78" i="105"/>
  <c r="X77" i="105"/>
  <c r="X76" i="105"/>
  <c r="X75" i="105"/>
  <c r="X73" i="105"/>
  <c r="X72" i="105"/>
  <c r="X71" i="105"/>
  <c r="X70" i="105"/>
  <c r="X68" i="105"/>
  <c r="X67" i="105"/>
  <c r="X66" i="105"/>
  <c r="X65" i="105"/>
  <c r="X63" i="105"/>
  <c r="X62" i="105"/>
  <c r="X61" i="105"/>
  <c r="X60" i="105"/>
  <c r="X58" i="105"/>
  <c r="X57" i="105"/>
  <c r="X56" i="105"/>
  <c r="X55" i="105"/>
  <c r="X53" i="105"/>
  <c r="X52" i="105"/>
  <c r="X51" i="105"/>
  <c r="X50" i="105"/>
  <c r="X48" i="105"/>
  <c r="X47" i="105"/>
  <c r="X46" i="105"/>
  <c r="X45" i="105"/>
  <c r="X43" i="105"/>
  <c r="X42" i="105"/>
  <c r="X41" i="105"/>
  <c r="X40" i="105"/>
  <c r="X38" i="105"/>
  <c r="X37" i="105"/>
  <c r="X36" i="105"/>
  <c r="X35" i="105"/>
  <c r="X33" i="105"/>
  <c r="X32" i="105"/>
  <c r="X31" i="105"/>
  <c r="X30" i="105"/>
  <c r="Y99" i="105"/>
  <c r="AD99" i="108" s="1"/>
  <c r="Y94" i="105"/>
  <c r="AD94" i="108" s="1"/>
  <c r="Y89" i="105"/>
  <c r="AD89" i="108" s="1"/>
  <c r="Y84" i="105"/>
  <c r="AD84" i="108" s="1"/>
  <c r="Y79" i="105"/>
  <c r="AD79" i="108" s="1"/>
  <c r="Y74" i="105"/>
  <c r="AD74" i="108" s="1"/>
  <c r="Y69" i="105"/>
  <c r="AD69" i="108" s="1"/>
  <c r="Y64" i="105"/>
  <c r="AD64" i="108" s="1"/>
  <c r="Y59" i="105"/>
  <c r="AD59" i="108" s="1"/>
  <c r="Y54" i="105"/>
  <c r="AD54" i="108" s="1"/>
  <c r="Y49" i="105"/>
  <c r="AD49" i="108" s="1"/>
  <c r="Y44" i="105"/>
  <c r="AD44" i="108" s="1"/>
  <c r="Y39" i="105"/>
  <c r="AD39" i="108" s="1"/>
  <c r="Y34" i="105"/>
  <c r="AD34" i="108" s="1"/>
  <c r="Y29" i="105"/>
  <c r="AD29" i="108" s="1"/>
  <c r="Y24" i="105"/>
  <c r="AD24" i="108" s="1"/>
  <c r="Y19" i="105"/>
  <c r="AD19" i="108" s="1"/>
  <c r="Y14" i="105"/>
  <c r="AD14" i="108" s="1"/>
  <c r="Y9" i="105"/>
  <c r="AD9" i="108" s="1"/>
  <c r="Y4" i="105"/>
  <c r="AD4" i="108" s="1"/>
  <c r="R99" i="105"/>
  <c r="R94" i="105"/>
  <c r="R89" i="105"/>
  <c r="R84" i="105"/>
  <c r="R79" i="105"/>
  <c r="R74" i="105"/>
  <c r="R69" i="105"/>
  <c r="R64" i="105"/>
  <c r="R59" i="105"/>
  <c r="R54" i="105"/>
  <c r="R49" i="105"/>
  <c r="R44" i="105"/>
  <c r="R39" i="105"/>
  <c r="R34" i="105"/>
  <c r="R29" i="105"/>
  <c r="R24" i="105"/>
  <c r="R19" i="105"/>
  <c r="R14" i="105"/>
  <c r="R9" i="105"/>
  <c r="R4" i="105"/>
  <c r="M103" i="105"/>
  <c r="M102" i="105"/>
  <c r="M101" i="105"/>
  <c r="M100" i="105"/>
  <c r="M99" i="105"/>
  <c r="M98" i="105"/>
  <c r="M97" i="105"/>
  <c r="M96" i="105"/>
  <c r="M95" i="105"/>
  <c r="M94" i="105"/>
  <c r="M93" i="105"/>
  <c r="M92" i="105"/>
  <c r="M91" i="105"/>
  <c r="M90" i="105"/>
  <c r="M89" i="105"/>
  <c r="M88" i="105"/>
  <c r="M87" i="105"/>
  <c r="M86" i="105"/>
  <c r="M85" i="105"/>
  <c r="M84" i="105"/>
  <c r="M83" i="105"/>
  <c r="M82" i="105"/>
  <c r="M81" i="105"/>
  <c r="M80" i="105"/>
  <c r="M79" i="105"/>
  <c r="M78" i="105"/>
  <c r="M77" i="105"/>
  <c r="M76" i="105"/>
  <c r="M75" i="105"/>
  <c r="M74" i="105"/>
  <c r="M73" i="105"/>
  <c r="M72" i="105"/>
  <c r="M71" i="105"/>
  <c r="M70" i="105"/>
  <c r="M69" i="105"/>
  <c r="M68" i="105"/>
  <c r="M67" i="105"/>
  <c r="M66" i="105"/>
  <c r="M65" i="105"/>
  <c r="M64" i="105"/>
  <c r="M63" i="105"/>
  <c r="M62" i="105"/>
  <c r="M61" i="105"/>
  <c r="M60" i="105"/>
  <c r="M59" i="105"/>
  <c r="M58" i="105"/>
  <c r="M57" i="105"/>
  <c r="M56" i="105"/>
  <c r="M55" i="105"/>
  <c r="M54" i="105"/>
  <c r="M53" i="105"/>
  <c r="M52" i="105"/>
  <c r="M51" i="105"/>
  <c r="M50" i="105"/>
  <c r="M49" i="105"/>
  <c r="M48" i="105"/>
  <c r="M47" i="105"/>
  <c r="M46" i="105"/>
  <c r="M45" i="105"/>
  <c r="M44" i="105"/>
  <c r="M43" i="105"/>
  <c r="M42" i="105"/>
  <c r="M41" i="105"/>
  <c r="M40" i="105"/>
  <c r="M39" i="105"/>
  <c r="M38" i="105"/>
  <c r="M37" i="105"/>
  <c r="M36" i="105"/>
  <c r="M35" i="105"/>
  <c r="M34" i="105"/>
  <c r="M33" i="105"/>
  <c r="M32" i="105"/>
  <c r="M31" i="105"/>
  <c r="M30" i="105"/>
  <c r="M29" i="105"/>
  <c r="M28" i="105"/>
  <c r="M27" i="105"/>
  <c r="M26" i="105"/>
  <c r="M25" i="105"/>
  <c r="M24" i="105"/>
  <c r="M23" i="105"/>
  <c r="M22" i="105"/>
  <c r="M21" i="105"/>
  <c r="M20" i="105"/>
  <c r="M19" i="105"/>
  <c r="M18" i="105"/>
  <c r="M17" i="105"/>
  <c r="M16" i="105"/>
  <c r="M15" i="105"/>
  <c r="M14" i="105"/>
  <c r="M13" i="105"/>
  <c r="M12" i="105"/>
  <c r="M11" i="105"/>
  <c r="M10" i="105"/>
  <c r="M9" i="105"/>
  <c r="M8" i="105"/>
  <c r="M7" i="105"/>
  <c r="M6" i="105"/>
  <c r="M5" i="105"/>
  <c r="M4" i="105"/>
  <c r="AN12" i="105"/>
  <c r="AM12" i="105"/>
  <c r="AL12" i="105"/>
  <c r="AK12" i="105"/>
  <c r="AJ12" i="105"/>
  <c r="AI12" i="105"/>
  <c r="AN11" i="105"/>
  <c r="AM11" i="105"/>
  <c r="AL11" i="105"/>
  <c r="AK11" i="105"/>
  <c r="AJ11" i="105"/>
  <c r="AI11" i="105"/>
  <c r="AN13" i="105"/>
  <c r="AM13" i="105"/>
  <c r="AL13" i="105"/>
  <c r="AK13" i="105"/>
  <c r="AJ13" i="105"/>
  <c r="AI13" i="105"/>
  <c r="AI9" i="105"/>
  <c r="AN8" i="105"/>
  <c r="AM8" i="105"/>
  <c r="AL8" i="105"/>
  <c r="AK8" i="105"/>
  <c r="AJ8" i="105"/>
  <c r="AI8" i="105"/>
  <c r="U25" i="105"/>
  <c r="U20" i="105"/>
  <c r="U15" i="105"/>
  <c r="U10" i="105"/>
  <c r="U5" i="105"/>
  <c r="S6" i="108" l="1"/>
  <c r="S30" i="108"/>
  <c r="S75" i="108"/>
  <c r="S7" i="108"/>
  <c r="S51" i="108"/>
  <c r="S83" i="108"/>
  <c r="S26" i="108"/>
  <c r="S52" i="108"/>
  <c r="S79" i="108"/>
  <c r="S4" i="108"/>
  <c r="S25" i="108"/>
  <c r="S33" i="108"/>
  <c r="S57" i="108"/>
  <c r="S80" i="108"/>
  <c r="S32" i="108"/>
  <c r="S55" i="108"/>
  <c r="S74" i="108"/>
  <c r="S82" i="108"/>
  <c r="S59" i="108"/>
  <c r="S103" i="108"/>
  <c r="S98" i="108"/>
  <c r="S100" i="108"/>
  <c r="S28" i="108"/>
  <c r="S53" i="108"/>
  <c r="S76" i="108"/>
  <c r="S24" i="108"/>
  <c r="S49" i="108"/>
  <c r="S78" i="108"/>
  <c r="S102" i="108"/>
  <c r="S68" i="108"/>
  <c r="S92" i="108"/>
  <c r="S5" i="108"/>
  <c r="S15" i="108"/>
  <c r="S27" i="108"/>
  <c r="S31" i="108"/>
  <c r="S50" i="108"/>
  <c r="S54" i="108"/>
  <c r="S58" i="108"/>
  <c r="S69" i="108"/>
  <c r="S77" i="108"/>
  <c r="S81" i="108"/>
  <c r="S97" i="108"/>
  <c r="S101" i="108"/>
  <c r="S19" i="108"/>
  <c r="S44" i="108"/>
  <c r="S23" i="108"/>
  <c r="S16" i="108"/>
  <c r="S40" i="108"/>
  <c r="S47" i="108"/>
  <c r="S48" i="108"/>
  <c r="S63" i="108"/>
  <c r="S70" i="108"/>
  <c r="S12" i="108"/>
  <c r="S20" i="108"/>
  <c r="S73" i="108"/>
  <c r="S94" i="108"/>
  <c r="AS8" i="108"/>
  <c r="AQ199" i="102"/>
  <c r="AR199" i="102" s="1"/>
  <c r="AS199" i="102" s="1"/>
  <c r="AT199" i="102" s="1"/>
  <c r="AU199" i="102" s="1"/>
  <c r="AV199" i="102" s="1"/>
  <c r="AW199" i="102" s="1"/>
  <c r="AX199" i="102" s="1"/>
  <c r="AY199" i="102" s="1"/>
  <c r="AS12" i="108"/>
  <c r="AS4" i="108"/>
  <c r="AS11" i="108"/>
  <c r="S21" i="108"/>
  <c r="S45" i="108"/>
  <c r="S71" i="108"/>
  <c r="S95" i="108"/>
  <c r="AS5" i="108"/>
  <c r="AQ5" i="108" s="1"/>
  <c r="AQ172" i="102"/>
  <c r="AR172" i="102" s="1"/>
  <c r="AS172" i="102" s="1"/>
  <c r="AT172" i="102" s="1"/>
  <c r="AU172" i="102" s="1"/>
  <c r="AV172" i="102" s="1"/>
  <c r="AW172" i="102" s="1"/>
  <c r="AX172" i="102" s="1"/>
  <c r="AY172" i="102" s="1"/>
  <c r="S22" i="108"/>
  <c r="S35" i="108"/>
  <c r="S46" i="108"/>
  <c r="S72" i="108"/>
  <c r="S86" i="108"/>
  <c r="S96" i="108"/>
  <c r="AS6" i="108"/>
  <c r="AQ6" i="108" s="1"/>
  <c r="Z4" i="108"/>
  <c r="S9" i="108"/>
  <c r="S13" i="108"/>
  <c r="S36" i="108"/>
  <c r="S60" i="108"/>
  <c r="S87" i="108"/>
  <c r="AQ78" i="102"/>
  <c r="AR78" i="102" s="1"/>
  <c r="AS78" i="102" s="1"/>
  <c r="AT78" i="102" s="1"/>
  <c r="AU78" i="102" s="1"/>
  <c r="AV78" i="102" s="1"/>
  <c r="AW78" i="102" s="1"/>
  <c r="AX78" i="102" s="1"/>
  <c r="AY78" i="102" s="1"/>
  <c r="S10" i="108"/>
  <c r="S37" i="108"/>
  <c r="S61" i="108"/>
  <c r="S84" i="108"/>
  <c r="S88" i="108"/>
  <c r="S11" i="108"/>
  <c r="S34" i="108"/>
  <c r="S38" i="108"/>
  <c r="S62" i="108"/>
  <c r="AH5" i="105"/>
  <c r="AQ4" i="108"/>
  <c r="AH4" i="105"/>
  <c r="AH6" i="105"/>
  <c r="AQ65" i="102"/>
  <c r="AR65" i="102" s="1"/>
  <c r="AS65" i="102" s="1"/>
  <c r="AT65" i="102" s="1"/>
  <c r="AU65" i="102" s="1"/>
  <c r="AV65" i="102" s="1"/>
  <c r="AW65" i="102" s="1"/>
  <c r="AX65" i="102" s="1"/>
  <c r="AY65" i="102" s="1"/>
  <c r="S17" i="108"/>
  <c r="S41" i="108"/>
  <c r="S65" i="108"/>
  <c r="S89" i="108"/>
  <c r="S93" i="108"/>
  <c r="S14" i="108"/>
  <c r="S18" i="108"/>
  <c r="S42" i="108"/>
  <c r="S66" i="108"/>
  <c r="S90" i="108"/>
  <c r="S39" i="108"/>
  <c r="S43" i="108"/>
  <c r="S67" i="108"/>
  <c r="AO161" i="102"/>
  <c r="AP161" i="102" s="1"/>
  <c r="AQ161" i="102" s="1"/>
  <c r="AR161" i="102" s="1"/>
  <c r="AS161" i="102" s="1"/>
  <c r="AT161" i="102" s="1"/>
  <c r="AU161" i="102" s="1"/>
  <c r="AV161" i="102" s="1"/>
  <c r="AW161" i="102" s="1"/>
  <c r="AX161" i="102" s="1"/>
  <c r="AY161" i="102" s="1"/>
  <c r="AO164" i="102"/>
  <c r="AD99" i="105"/>
  <c r="AD94" i="105"/>
  <c r="AD89" i="105"/>
  <c r="AD84" i="105"/>
  <c r="AD79" i="105"/>
  <c r="AD74" i="105"/>
  <c r="AD69" i="105"/>
  <c r="AD64" i="105"/>
  <c r="AD59" i="105"/>
  <c r="AD54" i="105"/>
  <c r="AD49" i="105"/>
  <c r="AD44" i="105"/>
  <c r="AD39" i="105"/>
  <c r="AD34" i="105"/>
  <c r="AD29" i="105"/>
  <c r="AD24" i="105"/>
  <c r="AD19" i="105"/>
  <c r="AD14" i="105"/>
  <c r="AD9" i="105"/>
  <c r="AD4" i="105"/>
  <c r="AB103" i="105"/>
  <c r="AB102" i="105"/>
  <c r="AA101" i="105"/>
  <c r="AA100" i="105"/>
  <c r="AB98" i="105"/>
  <c r="AB97" i="105"/>
  <c r="AA96" i="105"/>
  <c r="AA95" i="105"/>
  <c r="AB93" i="105"/>
  <c r="AB92" i="105"/>
  <c r="AA91" i="105"/>
  <c r="AA90" i="105"/>
  <c r="AB88" i="105"/>
  <c r="AB87" i="105"/>
  <c r="AA86" i="105"/>
  <c r="AA85" i="105"/>
  <c r="AB83" i="105"/>
  <c r="AB82" i="105"/>
  <c r="AA81" i="105"/>
  <c r="AA80" i="105"/>
  <c r="AB78" i="105"/>
  <c r="AB77" i="105"/>
  <c r="AA76" i="105"/>
  <c r="AA75" i="105"/>
  <c r="AB73" i="105"/>
  <c r="AB72" i="105"/>
  <c r="AA71" i="105"/>
  <c r="AA70" i="105"/>
  <c r="AB68" i="105"/>
  <c r="AB67" i="105"/>
  <c r="AA66" i="105"/>
  <c r="AA65" i="105"/>
  <c r="AB63" i="105"/>
  <c r="AB62" i="105"/>
  <c r="AA61" i="105"/>
  <c r="AA60" i="105"/>
  <c r="AB58" i="105"/>
  <c r="AB57" i="105"/>
  <c r="AA56" i="105"/>
  <c r="AA55" i="105"/>
  <c r="AB53" i="105"/>
  <c r="AB52" i="105"/>
  <c r="AA51" i="105"/>
  <c r="AA50" i="105"/>
  <c r="AB48" i="105"/>
  <c r="AB47" i="105"/>
  <c r="AA46" i="105"/>
  <c r="AA45" i="105"/>
  <c r="AB43" i="105"/>
  <c r="AB42" i="105"/>
  <c r="AA41" i="105"/>
  <c r="AA40" i="105"/>
  <c r="AB38" i="105"/>
  <c r="AB37" i="105"/>
  <c r="AA36" i="105"/>
  <c r="AA35" i="105"/>
  <c r="AB33" i="105"/>
  <c r="AB32" i="105"/>
  <c r="AA31" i="105"/>
  <c r="AA30" i="105"/>
  <c r="AB28" i="105"/>
  <c r="AB27" i="105"/>
  <c r="AA26" i="105"/>
  <c r="AA25" i="105"/>
  <c r="AB23" i="105"/>
  <c r="AB22" i="105"/>
  <c r="AA21" i="105"/>
  <c r="AA20" i="105"/>
  <c r="AB18" i="105"/>
  <c r="AB17" i="105"/>
  <c r="AA16" i="105"/>
  <c r="AA15" i="105"/>
  <c r="AB13" i="105"/>
  <c r="AB12" i="105"/>
  <c r="AA11" i="105"/>
  <c r="AA10" i="105"/>
  <c r="AB8" i="105"/>
  <c r="AB7" i="105"/>
  <c r="U103" i="105"/>
  <c r="U102" i="105"/>
  <c r="U101" i="105"/>
  <c r="U100" i="105"/>
  <c r="V99" i="105"/>
  <c r="U98" i="105"/>
  <c r="U97" i="105"/>
  <c r="U96" i="105"/>
  <c r="U95" i="105"/>
  <c r="V94" i="105"/>
  <c r="U93" i="105"/>
  <c r="U92" i="105"/>
  <c r="U91" i="105"/>
  <c r="U90" i="105"/>
  <c r="V89" i="105"/>
  <c r="U88" i="105"/>
  <c r="U87" i="105"/>
  <c r="U86" i="105"/>
  <c r="U85" i="105"/>
  <c r="V84" i="105"/>
  <c r="U83" i="105"/>
  <c r="U82" i="105"/>
  <c r="U81" i="105"/>
  <c r="U80" i="105"/>
  <c r="V79" i="105"/>
  <c r="U78" i="105"/>
  <c r="U77" i="105"/>
  <c r="U76" i="105"/>
  <c r="U75" i="105"/>
  <c r="V74" i="105"/>
  <c r="U73" i="105"/>
  <c r="U72" i="105"/>
  <c r="U71" i="105"/>
  <c r="U70" i="105"/>
  <c r="V69" i="105"/>
  <c r="U68" i="105"/>
  <c r="U67" i="105"/>
  <c r="U66" i="105"/>
  <c r="U65" i="105"/>
  <c r="V64" i="105"/>
  <c r="U63" i="105"/>
  <c r="U62" i="105"/>
  <c r="U61" i="105"/>
  <c r="U60" i="105"/>
  <c r="V59" i="105"/>
  <c r="U58" i="105"/>
  <c r="U57" i="105"/>
  <c r="U56" i="105"/>
  <c r="U55" i="105"/>
  <c r="V54" i="105"/>
  <c r="U53" i="105"/>
  <c r="U52" i="105"/>
  <c r="U51" i="105"/>
  <c r="U50" i="105"/>
  <c r="V49" i="105"/>
  <c r="U48" i="105"/>
  <c r="U47" i="105"/>
  <c r="U46" i="105"/>
  <c r="U45" i="105"/>
  <c r="V44" i="105"/>
  <c r="U43" i="105"/>
  <c r="U42" i="105"/>
  <c r="U41" i="105"/>
  <c r="U40" i="105"/>
  <c r="V39" i="105"/>
  <c r="U38" i="105"/>
  <c r="U37" i="105"/>
  <c r="U36" i="105"/>
  <c r="U35" i="105"/>
  <c r="V34" i="105"/>
  <c r="U33" i="105"/>
  <c r="U32" i="105"/>
  <c r="U31" i="105"/>
  <c r="U30" i="105"/>
  <c r="V29" i="105"/>
  <c r="U28" i="105"/>
  <c r="U27" i="105"/>
  <c r="U26" i="105"/>
  <c r="V24" i="105"/>
  <c r="U23" i="105"/>
  <c r="U22" i="105"/>
  <c r="U21" i="105"/>
  <c r="V19" i="105"/>
  <c r="U18" i="105"/>
  <c r="U17" i="105"/>
  <c r="U16" i="105"/>
  <c r="V14" i="105"/>
  <c r="U13" i="105"/>
  <c r="U12" i="105"/>
  <c r="U11" i="105"/>
  <c r="V9" i="105"/>
  <c r="AA6" i="105"/>
  <c r="AA5" i="105"/>
  <c r="U8" i="105"/>
  <c r="U7" i="105"/>
  <c r="U6" i="105"/>
  <c r="V4" i="105"/>
  <c r="P5" i="105"/>
  <c r="P6" i="105"/>
  <c r="P7" i="105"/>
  <c r="P8" i="105"/>
  <c r="P9" i="105"/>
  <c r="P10" i="105"/>
  <c r="P11" i="105"/>
  <c r="P12" i="105"/>
  <c r="P13" i="105"/>
  <c r="P14" i="105"/>
  <c r="P15" i="105"/>
  <c r="P16" i="105"/>
  <c r="P17" i="105"/>
  <c r="P18" i="105"/>
  <c r="P19" i="105"/>
  <c r="P20" i="105"/>
  <c r="P21" i="105"/>
  <c r="P22" i="105"/>
  <c r="P23" i="105"/>
  <c r="P24" i="105"/>
  <c r="P25" i="105"/>
  <c r="P26" i="105"/>
  <c r="P27" i="105"/>
  <c r="P28" i="105"/>
  <c r="P29" i="105"/>
  <c r="P30" i="105"/>
  <c r="P31" i="105"/>
  <c r="P32" i="105"/>
  <c r="P33" i="105"/>
  <c r="P34" i="105"/>
  <c r="P35" i="105"/>
  <c r="P36" i="105"/>
  <c r="P37" i="105"/>
  <c r="P38" i="105"/>
  <c r="P39" i="105"/>
  <c r="P40" i="105"/>
  <c r="P41" i="105"/>
  <c r="P42" i="105"/>
  <c r="P43" i="105"/>
  <c r="P44" i="105"/>
  <c r="P45" i="105"/>
  <c r="P46" i="105"/>
  <c r="P47" i="105"/>
  <c r="P48" i="105"/>
  <c r="P49" i="105"/>
  <c r="P50" i="105"/>
  <c r="P51" i="105"/>
  <c r="P52" i="105"/>
  <c r="P53" i="105"/>
  <c r="P54" i="105"/>
  <c r="P55" i="105"/>
  <c r="P56" i="105"/>
  <c r="P57" i="105"/>
  <c r="P58" i="105"/>
  <c r="P59" i="105"/>
  <c r="P60" i="105"/>
  <c r="P61" i="105"/>
  <c r="P62" i="105"/>
  <c r="P63" i="105"/>
  <c r="P64" i="105"/>
  <c r="P65" i="105"/>
  <c r="P66" i="105"/>
  <c r="P67" i="105"/>
  <c r="P68" i="105"/>
  <c r="P69" i="105"/>
  <c r="P70" i="105"/>
  <c r="P71" i="105"/>
  <c r="P72" i="105"/>
  <c r="P73" i="105"/>
  <c r="P74" i="105"/>
  <c r="P75" i="105"/>
  <c r="P76" i="105"/>
  <c r="P77" i="105"/>
  <c r="P78" i="105"/>
  <c r="P79" i="105"/>
  <c r="P80" i="105"/>
  <c r="P81" i="105"/>
  <c r="P82" i="105"/>
  <c r="P83" i="105"/>
  <c r="P84" i="105"/>
  <c r="P85" i="105"/>
  <c r="P86" i="105"/>
  <c r="P87" i="105"/>
  <c r="P88" i="105"/>
  <c r="P89" i="105"/>
  <c r="P90" i="105"/>
  <c r="P91" i="105"/>
  <c r="P92" i="105"/>
  <c r="P93" i="105"/>
  <c r="P94" i="105"/>
  <c r="P95" i="105"/>
  <c r="P96" i="105"/>
  <c r="P97" i="105"/>
  <c r="P98" i="105"/>
  <c r="P99" i="105"/>
  <c r="P100" i="105"/>
  <c r="P101" i="105"/>
  <c r="P102" i="105"/>
  <c r="P103" i="105"/>
  <c r="P4" i="105"/>
  <c r="H4" i="105"/>
  <c r="AO16" i="102"/>
  <c r="AY41" i="102"/>
  <c r="AX41" i="102"/>
  <c r="AW41" i="102"/>
  <c r="AV41" i="102"/>
  <c r="AU41" i="102"/>
  <c r="AT41" i="102"/>
  <c r="AS41" i="102"/>
  <c r="AR41" i="102"/>
  <c r="AQ41" i="102"/>
  <c r="AP41" i="102"/>
  <c r="AO41" i="102"/>
  <c r="AY40" i="102"/>
  <c r="AX40" i="102"/>
  <c r="AW40" i="102"/>
  <c r="AV40" i="102"/>
  <c r="AU40" i="102"/>
  <c r="AT40" i="102"/>
  <c r="AS40" i="102"/>
  <c r="AR40" i="102"/>
  <c r="AQ40" i="102"/>
  <c r="AP40" i="102"/>
  <c r="AO40" i="102"/>
  <c r="AY39" i="102"/>
  <c r="AX39" i="102"/>
  <c r="AW39" i="102"/>
  <c r="AV39" i="102"/>
  <c r="AU39" i="102"/>
  <c r="AT39" i="102"/>
  <c r="AS39" i="102"/>
  <c r="AR39" i="102"/>
  <c r="AQ39" i="102"/>
  <c r="AP39" i="102"/>
  <c r="AO39" i="102"/>
  <c r="AY38" i="102"/>
  <c r="AX38" i="102"/>
  <c r="AW38" i="102"/>
  <c r="AV38" i="102"/>
  <c r="AU38" i="102"/>
  <c r="AT38" i="102"/>
  <c r="AS38" i="102"/>
  <c r="AR38" i="102"/>
  <c r="AQ38" i="102"/>
  <c r="AP38" i="102"/>
  <c r="AO38" i="102"/>
  <c r="P91" i="104"/>
  <c r="O91" i="104"/>
  <c r="N91" i="104"/>
  <c r="M91" i="104"/>
  <c r="L91" i="104"/>
  <c r="K91" i="104"/>
  <c r="J91" i="104"/>
  <c r="I91" i="104"/>
  <c r="H91" i="104"/>
  <c r="G91" i="104"/>
  <c r="F91" i="104"/>
  <c r="P90" i="104"/>
  <c r="O90" i="104"/>
  <c r="N90" i="104"/>
  <c r="M90" i="104"/>
  <c r="L90" i="104"/>
  <c r="K90" i="104"/>
  <c r="J90" i="104"/>
  <c r="I90" i="104"/>
  <c r="H90" i="104"/>
  <c r="G90" i="104"/>
  <c r="F90" i="104"/>
  <c r="P89" i="104"/>
  <c r="O89" i="104"/>
  <c r="N89" i="104"/>
  <c r="M89" i="104"/>
  <c r="L89" i="104"/>
  <c r="K89" i="104"/>
  <c r="J89" i="104"/>
  <c r="I89" i="104"/>
  <c r="H89" i="104"/>
  <c r="G89" i="104"/>
  <c r="F89" i="104"/>
  <c r="P88" i="104"/>
  <c r="O88" i="104"/>
  <c r="N88" i="104"/>
  <c r="M88" i="104"/>
  <c r="L88" i="104"/>
  <c r="K88" i="104"/>
  <c r="J88" i="104"/>
  <c r="I88" i="104"/>
  <c r="H88" i="104"/>
  <c r="G88" i="104"/>
  <c r="F88" i="104"/>
  <c r="P87" i="104"/>
  <c r="O87" i="104"/>
  <c r="N87" i="104"/>
  <c r="M87" i="104"/>
  <c r="L87" i="104"/>
  <c r="K87" i="104"/>
  <c r="J87" i="104"/>
  <c r="I87" i="104"/>
  <c r="H87" i="104"/>
  <c r="G87" i="104"/>
  <c r="F87" i="104"/>
  <c r="P86" i="104"/>
  <c r="O86" i="104"/>
  <c r="N86" i="104"/>
  <c r="M86" i="104"/>
  <c r="L86" i="104"/>
  <c r="K86" i="104"/>
  <c r="J86" i="104"/>
  <c r="I86" i="104"/>
  <c r="H86" i="104"/>
  <c r="G86" i="104"/>
  <c r="F86" i="104"/>
  <c r="P85" i="104"/>
  <c r="O85" i="104"/>
  <c r="N85" i="104"/>
  <c r="M85" i="104"/>
  <c r="L85" i="104"/>
  <c r="K85" i="104"/>
  <c r="J85" i="104"/>
  <c r="I85" i="104"/>
  <c r="H85" i="104"/>
  <c r="G85" i="104"/>
  <c r="F85" i="104"/>
  <c r="P84" i="104"/>
  <c r="O84" i="104"/>
  <c r="N84" i="104"/>
  <c r="M84" i="104"/>
  <c r="L84" i="104"/>
  <c r="K84" i="104"/>
  <c r="J84" i="104"/>
  <c r="I84" i="104"/>
  <c r="H84" i="104"/>
  <c r="G84" i="104"/>
  <c r="F84" i="104"/>
  <c r="P83" i="104"/>
  <c r="O83" i="104"/>
  <c r="N83" i="104"/>
  <c r="M83" i="104"/>
  <c r="L83" i="104"/>
  <c r="K83" i="104"/>
  <c r="J83" i="104"/>
  <c r="I83" i="104"/>
  <c r="H83" i="104"/>
  <c r="G83" i="104"/>
  <c r="F83" i="104"/>
  <c r="P82" i="104"/>
  <c r="O82" i="104"/>
  <c r="N82" i="104"/>
  <c r="M82" i="104"/>
  <c r="L82" i="104"/>
  <c r="K82" i="104"/>
  <c r="J82" i="104"/>
  <c r="I82" i="104"/>
  <c r="H82" i="104"/>
  <c r="G82" i="104"/>
  <c r="F82" i="104"/>
  <c r="P81" i="104"/>
  <c r="O81" i="104"/>
  <c r="N81" i="104"/>
  <c r="M81" i="104"/>
  <c r="L81" i="104"/>
  <c r="K81" i="104"/>
  <c r="J81" i="104"/>
  <c r="I81" i="104"/>
  <c r="H81" i="104"/>
  <c r="G81" i="104"/>
  <c r="F81" i="104"/>
  <c r="P80" i="104"/>
  <c r="O80" i="104"/>
  <c r="N80" i="104"/>
  <c r="M80" i="104"/>
  <c r="L80" i="104"/>
  <c r="K80" i="104"/>
  <c r="J80" i="104"/>
  <c r="I80" i="104"/>
  <c r="H80" i="104"/>
  <c r="G80" i="104"/>
  <c r="F80" i="104"/>
  <c r="P79" i="104"/>
  <c r="O79" i="104"/>
  <c r="N79" i="104"/>
  <c r="M79" i="104"/>
  <c r="L79" i="104"/>
  <c r="K79" i="104"/>
  <c r="J79" i="104"/>
  <c r="I79" i="104"/>
  <c r="H79" i="104"/>
  <c r="G79" i="104"/>
  <c r="F79" i="104"/>
  <c r="P78" i="104"/>
  <c r="O78" i="104"/>
  <c r="N78" i="104"/>
  <c r="M78" i="104"/>
  <c r="L78" i="104"/>
  <c r="K78" i="104"/>
  <c r="J78" i="104"/>
  <c r="I78" i="104"/>
  <c r="H78" i="104"/>
  <c r="G78" i="104"/>
  <c r="F78" i="104"/>
  <c r="P77" i="104"/>
  <c r="O77" i="104"/>
  <c r="N77" i="104"/>
  <c r="M77" i="104"/>
  <c r="L77" i="104"/>
  <c r="K77" i="104"/>
  <c r="J77" i="104"/>
  <c r="I77" i="104"/>
  <c r="H77" i="104"/>
  <c r="G77" i="104"/>
  <c r="F77" i="104"/>
  <c r="P76" i="104"/>
  <c r="O76" i="104"/>
  <c r="N76" i="104"/>
  <c r="M76" i="104"/>
  <c r="L76" i="104"/>
  <c r="K76" i="104"/>
  <c r="J76" i="104"/>
  <c r="I76" i="104"/>
  <c r="H76" i="104"/>
  <c r="G76" i="104"/>
  <c r="F76" i="104"/>
  <c r="P75" i="104"/>
  <c r="O75" i="104"/>
  <c r="N75" i="104"/>
  <c r="M75" i="104"/>
  <c r="L75" i="104"/>
  <c r="K75" i="104"/>
  <c r="J75" i="104"/>
  <c r="I75" i="104"/>
  <c r="H75" i="104"/>
  <c r="G75" i="104"/>
  <c r="F75" i="104"/>
  <c r="P74" i="104"/>
  <c r="O74" i="104"/>
  <c r="N74" i="104"/>
  <c r="M74" i="104"/>
  <c r="L74" i="104"/>
  <c r="K74" i="104"/>
  <c r="J74" i="104"/>
  <c r="I74" i="104"/>
  <c r="H74" i="104"/>
  <c r="G74" i="104"/>
  <c r="F74" i="104"/>
  <c r="P73" i="104"/>
  <c r="O73" i="104"/>
  <c r="N73" i="104"/>
  <c r="M73" i="104"/>
  <c r="L73" i="104"/>
  <c r="K73" i="104"/>
  <c r="J73" i="104"/>
  <c r="I73" i="104"/>
  <c r="H73" i="104"/>
  <c r="G73" i="104"/>
  <c r="F73" i="104"/>
  <c r="P72" i="104"/>
  <c r="O72" i="104"/>
  <c r="N72" i="104"/>
  <c r="M72" i="104"/>
  <c r="L72" i="104"/>
  <c r="K72" i="104"/>
  <c r="J72" i="104"/>
  <c r="I72" i="104"/>
  <c r="H72" i="104"/>
  <c r="G72" i="104"/>
  <c r="F72" i="104"/>
  <c r="P71" i="104"/>
  <c r="O71" i="104"/>
  <c r="N71" i="104"/>
  <c r="M71" i="104"/>
  <c r="L71" i="104"/>
  <c r="K71" i="104"/>
  <c r="J71" i="104"/>
  <c r="I71" i="104"/>
  <c r="H71" i="104"/>
  <c r="G71" i="104"/>
  <c r="F71" i="104"/>
  <c r="P70" i="104"/>
  <c r="O70" i="104"/>
  <c r="N70" i="104"/>
  <c r="M70" i="104"/>
  <c r="L70" i="104"/>
  <c r="K70" i="104"/>
  <c r="J70" i="104"/>
  <c r="I70" i="104"/>
  <c r="H70" i="104"/>
  <c r="G70" i="104"/>
  <c r="F70" i="104"/>
  <c r="P69" i="104"/>
  <c r="O69" i="104"/>
  <c r="N69" i="104"/>
  <c r="M69" i="104"/>
  <c r="L69" i="104"/>
  <c r="K69" i="104"/>
  <c r="J69" i="104"/>
  <c r="I69" i="104"/>
  <c r="H69" i="104"/>
  <c r="G69" i="104"/>
  <c r="F69" i="104"/>
  <c r="P68" i="104"/>
  <c r="O68" i="104"/>
  <c r="N68" i="104"/>
  <c r="M68" i="104"/>
  <c r="L68" i="104"/>
  <c r="K68" i="104"/>
  <c r="J68" i="104"/>
  <c r="I68" i="104"/>
  <c r="H68" i="104"/>
  <c r="G68" i="104"/>
  <c r="F68" i="104"/>
  <c r="P67" i="104"/>
  <c r="O67" i="104"/>
  <c r="N67" i="104"/>
  <c r="M67" i="104"/>
  <c r="L67" i="104"/>
  <c r="K67" i="104"/>
  <c r="J67" i="104"/>
  <c r="I67" i="104"/>
  <c r="H67" i="104"/>
  <c r="G67" i="104"/>
  <c r="F67" i="104"/>
  <c r="P66" i="104"/>
  <c r="O66" i="104"/>
  <c r="N66" i="104"/>
  <c r="M66" i="104"/>
  <c r="L66" i="104"/>
  <c r="K66" i="104"/>
  <c r="J66" i="104"/>
  <c r="I66" i="104"/>
  <c r="H66" i="104"/>
  <c r="G66" i="104"/>
  <c r="F66" i="104"/>
  <c r="P65" i="104"/>
  <c r="O65" i="104"/>
  <c r="N65" i="104"/>
  <c r="M65" i="104"/>
  <c r="L65" i="104"/>
  <c r="K65" i="104"/>
  <c r="J65" i="104"/>
  <c r="I65" i="104"/>
  <c r="H65" i="104"/>
  <c r="G65" i="104"/>
  <c r="F65" i="104"/>
  <c r="P64" i="104"/>
  <c r="O64" i="104"/>
  <c r="N64" i="104"/>
  <c r="M64" i="104"/>
  <c r="L64" i="104"/>
  <c r="K64" i="104"/>
  <c r="J64" i="104"/>
  <c r="I64" i="104"/>
  <c r="H64" i="104"/>
  <c r="G64" i="104"/>
  <c r="F64" i="104"/>
  <c r="P63" i="104"/>
  <c r="O63" i="104"/>
  <c r="N63" i="104"/>
  <c r="M63" i="104"/>
  <c r="L63" i="104"/>
  <c r="K63" i="104"/>
  <c r="J63" i="104"/>
  <c r="I63" i="104"/>
  <c r="H63" i="104"/>
  <c r="G63" i="104"/>
  <c r="F63" i="104"/>
  <c r="P62" i="104"/>
  <c r="O62" i="104"/>
  <c r="N62" i="104"/>
  <c r="M62" i="104"/>
  <c r="L62" i="104"/>
  <c r="K62" i="104"/>
  <c r="J62" i="104"/>
  <c r="I62" i="104"/>
  <c r="H62" i="104"/>
  <c r="G62" i="104"/>
  <c r="F62" i="104"/>
  <c r="P61" i="104"/>
  <c r="O61" i="104"/>
  <c r="N61" i="104"/>
  <c r="M61" i="104"/>
  <c r="L61" i="104"/>
  <c r="K61" i="104"/>
  <c r="J61" i="104"/>
  <c r="I61" i="104"/>
  <c r="H61" i="104"/>
  <c r="G61" i="104"/>
  <c r="F61" i="104"/>
  <c r="P60" i="104"/>
  <c r="O60" i="104"/>
  <c r="N60" i="104"/>
  <c r="M60" i="104"/>
  <c r="L60" i="104"/>
  <c r="K60" i="104"/>
  <c r="J60" i="104"/>
  <c r="I60" i="104"/>
  <c r="H60" i="104"/>
  <c r="G60" i="104"/>
  <c r="F60" i="104"/>
  <c r="P59" i="104"/>
  <c r="O59" i="104"/>
  <c r="N59" i="104"/>
  <c r="M59" i="104"/>
  <c r="L59" i="104"/>
  <c r="K59" i="104"/>
  <c r="J59" i="104"/>
  <c r="I59" i="104"/>
  <c r="H59" i="104"/>
  <c r="G59" i="104"/>
  <c r="F59" i="104"/>
  <c r="P58" i="104"/>
  <c r="O58" i="104"/>
  <c r="N58" i="104"/>
  <c r="M58" i="104"/>
  <c r="L58" i="104"/>
  <c r="K58" i="104"/>
  <c r="J58" i="104"/>
  <c r="I58" i="104"/>
  <c r="H58" i="104"/>
  <c r="G58" i="104"/>
  <c r="F58" i="104"/>
  <c r="P57" i="104"/>
  <c r="O57" i="104"/>
  <c r="N57" i="104"/>
  <c r="M57" i="104"/>
  <c r="L57" i="104"/>
  <c r="K57" i="104"/>
  <c r="J57" i="104"/>
  <c r="I57" i="104"/>
  <c r="H57" i="104"/>
  <c r="G57" i="104"/>
  <c r="F57" i="104"/>
  <c r="P56" i="104"/>
  <c r="O56" i="104"/>
  <c r="N56" i="104"/>
  <c r="M56" i="104"/>
  <c r="L56" i="104"/>
  <c r="K56" i="104"/>
  <c r="J56" i="104"/>
  <c r="I56" i="104"/>
  <c r="H56" i="104"/>
  <c r="G56" i="104"/>
  <c r="F56" i="104"/>
  <c r="P55" i="104"/>
  <c r="O55" i="104"/>
  <c r="N55" i="104"/>
  <c r="M55" i="104"/>
  <c r="L55" i="104"/>
  <c r="K55" i="104"/>
  <c r="J55" i="104"/>
  <c r="I55" i="104"/>
  <c r="H55" i="104"/>
  <c r="G55" i="104"/>
  <c r="F55" i="104"/>
  <c r="P54" i="104"/>
  <c r="O54" i="104"/>
  <c r="N54" i="104"/>
  <c r="M54" i="104"/>
  <c r="L54" i="104"/>
  <c r="K54" i="104"/>
  <c r="J54" i="104"/>
  <c r="I54" i="104"/>
  <c r="H54" i="104"/>
  <c r="G54" i="104"/>
  <c r="F54" i="104"/>
  <c r="P53" i="104"/>
  <c r="O53" i="104"/>
  <c r="N53" i="104"/>
  <c r="M53" i="104"/>
  <c r="L53" i="104"/>
  <c r="K53" i="104"/>
  <c r="J53" i="104"/>
  <c r="I53" i="104"/>
  <c r="H53" i="104"/>
  <c r="G53" i="104"/>
  <c r="F53" i="104"/>
  <c r="P52" i="104"/>
  <c r="O52" i="104"/>
  <c r="N52" i="104"/>
  <c r="M52" i="104"/>
  <c r="L52" i="104"/>
  <c r="K52" i="104"/>
  <c r="J52" i="104"/>
  <c r="I52" i="104"/>
  <c r="H52" i="104"/>
  <c r="G52" i="104"/>
  <c r="F52" i="104"/>
  <c r="P51" i="104"/>
  <c r="O51" i="104"/>
  <c r="N51" i="104"/>
  <c r="M51" i="104"/>
  <c r="L51" i="104"/>
  <c r="K51" i="104"/>
  <c r="J51" i="104"/>
  <c r="I51" i="104"/>
  <c r="H51" i="104"/>
  <c r="G51" i="104"/>
  <c r="F51" i="104"/>
  <c r="P50" i="104"/>
  <c r="O50" i="104"/>
  <c r="N50" i="104"/>
  <c r="M50" i="104"/>
  <c r="L50" i="104"/>
  <c r="K50" i="104"/>
  <c r="J50" i="104"/>
  <c r="I50" i="104"/>
  <c r="H50" i="104"/>
  <c r="G50" i="104"/>
  <c r="F50" i="104"/>
  <c r="P49" i="104"/>
  <c r="O49" i="104"/>
  <c r="N49" i="104"/>
  <c r="M49" i="104"/>
  <c r="L49" i="104"/>
  <c r="K49" i="104"/>
  <c r="J49" i="104"/>
  <c r="I49" i="104"/>
  <c r="H49" i="104"/>
  <c r="G49" i="104"/>
  <c r="F49" i="104"/>
  <c r="P48" i="104"/>
  <c r="O48" i="104"/>
  <c r="N48" i="104"/>
  <c r="M48" i="104"/>
  <c r="L48" i="104"/>
  <c r="K48" i="104"/>
  <c r="J48" i="104"/>
  <c r="I48" i="104"/>
  <c r="H48" i="104"/>
  <c r="G48" i="104"/>
  <c r="F48" i="104"/>
  <c r="P47" i="104"/>
  <c r="O47" i="104"/>
  <c r="N47" i="104"/>
  <c r="M47" i="104"/>
  <c r="L47" i="104"/>
  <c r="K47" i="104"/>
  <c r="J47" i="104"/>
  <c r="I47" i="104"/>
  <c r="H47" i="104"/>
  <c r="G47" i="104"/>
  <c r="F47" i="104"/>
  <c r="P46" i="104"/>
  <c r="O46" i="104"/>
  <c r="N46" i="104"/>
  <c r="M46" i="104"/>
  <c r="L46" i="104"/>
  <c r="K46" i="104"/>
  <c r="J46" i="104"/>
  <c r="I46" i="104"/>
  <c r="H46" i="104"/>
  <c r="G46" i="104"/>
  <c r="F46" i="104"/>
  <c r="P45" i="104"/>
  <c r="O45" i="104"/>
  <c r="N45" i="104"/>
  <c r="M45" i="104"/>
  <c r="L45" i="104"/>
  <c r="K45" i="104"/>
  <c r="J45" i="104"/>
  <c r="I45" i="104"/>
  <c r="H45" i="104"/>
  <c r="G45" i="104"/>
  <c r="F45" i="104"/>
  <c r="P44" i="104"/>
  <c r="O44" i="104"/>
  <c r="N44" i="104"/>
  <c r="M44" i="104"/>
  <c r="L44" i="104"/>
  <c r="K44" i="104"/>
  <c r="J44" i="104"/>
  <c r="I44" i="104"/>
  <c r="H44" i="104"/>
  <c r="G44" i="104"/>
  <c r="F44" i="104"/>
  <c r="P43" i="104"/>
  <c r="O43" i="104"/>
  <c r="N43" i="104"/>
  <c r="M43" i="104"/>
  <c r="L43" i="104"/>
  <c r="K43" i="104"/>
  <c r="J43" i="104"/>
  <c r="I43" i="104"/>
  <c r="H43" i="104"/>
  <c r="G43" i="104"/>
  <c r="F43" i="104"/>
  <c r="P42" i="104"/>
  <c r="O42" i="104"/>
  <c r="N42" i="104"/>
  <c r="M42" i="104"/>
  <c r="L42" i="104"/>
  <c r="K42" i="104"/>
  <c r="J42" i="104"/>
  <c r="I42" i="104"/>
  <c r="H42" i="104"/>
  <c r="G42" i="104"/>
  <c r="F42" i="104"/>
  <c r="P41" i="104"/>
  <c r="O41" i="104"/>
  <c r="N41" i="104"/>
  <c r="M41" i="104"/>
  <c r="L41" i="104"/>
  <c r="K41" i="104"/>
  <c r="J41" i="104"/>
  <c r="I41" i="104"/>
  <c r="H41" i="104"/>
  <c r="G41" i="104"/>
  <c r="F41" i="104"/>
  <c r="P40" i="104"/>
  <c r="O40" i="104"/>
  <c r="N40" i="104"/>
  <c r="M40" i="104"/>
  <c r="L40" i="104"/>
  <c r="K40" i="104"/>
  <c r="J40" i="104"/>
  <c r="I40" i="104"/>
  <c r="H40" i="104"/>
  <c r="G40" i="104"/>
  <c r="F40" i="104"/>
  <c r="P39" i="104"/>
  <c r="O39" i="104"/>
  <c r="N39" i="104"/>
  <c r="M39" i="104"/>
  <c r="L39" i="104"/>
  <c r="K39" i="104"/>
  <c r="J39" i="104"/>
  <c r="I39" i="104"/>
  <c r="H39" i="104"/>
  <c r="G39" i="104"/>
  <c r="F39" i="104"/>
  <c r="P38" i="104"/>
  <c r="O38" i="104"/>
  <c r="N38" i="104"/>
  <c r="M38" i="104"/>
  <c r="L38" i="104"/>
  <c r="K38" i="104"/>
  <c r="J38" i="104"/>
  <c r="I38" i="104"/>
  <c r="H38" i="104"/>
  <c r="G38" i="104"/>
  <c r="F38" i="104"/>
  <c r="P37" i="104"/>
  <c r="O37" i="104"/>
  <c r="N37" i="104"/>
  <c r="M37" i="104"/>
  <c r="L37" i="104"/>
  <c r="K37" i="104"/>
  <c r="J37" i="104"/>
  <c r="I37" i="104"/>
  <c r="H37" i="104"/>
  <c r="G37" i="104"/>
  <c r="F37" i="104"/>
  <c r="P36" i="104"/>
  <c r="O36" i="104"/>
  <c r="N36" i="104"/>
  <c r="M36" i="104"/>
  <c r="L36" i="104"/>
  <c r="K36" i="104"/>
  <c r="J36" i="104"/>
  <c r="I36" i="104"/>
  <c r="H36" i="104"/>
  <c r="G36" i="104"/>
  <c r="F36" i="104"/>
  <c r="AO360" i="102"/>
  <c r="AO354" i="102"/>
  <c r="AO346" i="102"/>
  <c r="AO189" i="102"/>
  <c r="AX11" i="108" s="1"/>
  <c r="AO202" i="102"/>
  <c r="AX12" i="108" s="1"/>
  <c r="D98" i="105" l="1"/>
  <c r="D97" i="105"/>
  <c r="D96" i="105"/>
  <c r="D95" i="105"/>
  <c r="D82" i="105"/>
  <c r="D81" i="105"/>
  <c r="D80" i="105"/>
  <c r="D79" i="105"/>
  <c r="D66" i="105"/>
  <c r="D65" i="105"/>
  <c r="D64" i="105"/>
  <c r="D63" i="105"/>
  <c r="D51" i="105"/>
  <c r="D50" i="105"/>
  <c r="D103" i="105"/>
  <c r="D90" i="105"/>
  <c r="D89" i="105"/>
  <c r="D88" i="105"/>
  <c r="D87" i="105"/>
  <c r="D74" i="105"/>
  <c r="D73" i="105"/>
  <c r="D72" i="105"/>
  <c r="D71" i="105"/>
  <c r="D58" i="105"/>
  <c r="D57" i="105"/>
  <c r="D56" i="105"/>
  <c r="D55" i="105"/>
  <c r="D53" i="105"/>
  <c r="D101" i="105"/>
  <c r="D92" i="105"/>
  <c r="D83" i="105"/>
  <c r="D78" i="105"/>
  <c r="D69" i="105"/>
  <c r="D60" i="105"/>
  <c r="D41" i="105"/>
  <c r="D36" i="105"/>
  <c r="D29" i="105"/>
  <c r="D18" i="105"/>
  <c r="D17" i="105"/>
  <c r="D12" i="105"/>
  <c r="D11" i="105"/>
  <c r="D91" i="105"/>
  <c r="D52" i="105"/>
  <c r="D46" i="105"/>
  <c r="D34" i="105"/>
  <c r="D22" i="105"/>
  <c r="D20" i="105"/>
  <c r="D102" i="105"/>
  <c r="D93" i="105"/>
  <c r="D84" i="105"/>
  <c r="D75" i="105"/>
  <c r="D70" i="105"/>
  <c r="D61" i="105"/>
  <c r="D48" i="105"/>
  <c r="D43" i="105"/>
  <c r="D42" i="105"/>
  <c r="D37" i="105"/>
  <c r="D31" i="105"/>
  <c r="D30" i="105"/>
  <c r="D28" i="105"/>
  <c r="D27" i="105"/>
  <c r="D16" i="105"/>
  <c r="D15" i="105"/>
  <c r="D10" i="105"/>
  <c r="D9" i="105"/>
  <c r="D8" i="105"/>
  <c r="D7" i="105"/>
  <c r="D4" i="105"/>
  <c r="D99" i="105"/>
  <c r="D94" i="105"/>
  <c r="D85" i="105"/>
  <c r="D76" i="105"/>
  <c r="D67" i="105"/>
  <c r="D62" i="105"/>
  <c r="D49" i="105"/>
  <c r="D45" i="105"/>
  <c r="D44" i="105"/>
  <c r="D39" i="105"/>
  <c r="D38" i="105"/>
  <c r="D33" i="105"/>
  <c r="D32" i="105"/>
  <c r="D26" i="105"/>
  <c r="D25" i="105"/>
  <c r="D24" i="105"/>
  <c r="D23" i="105"/>
  <c r="D6" i="105"/>
  <c r="D5" i="105"/>
  <c r="D100" i="105"/>
  <c r="D86" i="105"/>
  <c r="D77" i="105"/>
  <c r="D68" i="105"/>
  <c r="D59" i="105"/>
  <c r="D54" i="105"/>
  <c r="D47" i="105"/>
  <c r="D40" i="105"/>
  <c r="D35" i="105"/>
  <c r="D21" i="105"/>
  <c r="D19" i="105"/>
  <c r="D14" i="105"/>
  <c r="D13" i="105"/>
  <c r="O102" i="108"/>
  <c r="O78" i="108"/>
  <c r="O74" i="108"/>
  <c r="O50" i="108"/>
  <c r="O26" i="108"/>
  <c r="O101" i="108"/>
  <c r="O77" i="108"/>
  <c r="O53" i="108"/>
  <c r="O49" i="108"/>
  <c r="O25" i="108"/>
  <c r="O100" i="108"/>
  <c r="O76" i="108"/>
  <c r="O52" i="108"/>
  <c r="O28" i="108"/>
  <c r="O24" i="108"/>
  <c r="O103" i="108"/>
  <c r="O99" i="108"/>
  <c r="O75" i="108"/>
  <c r="O51" i="108"/>
  <c r="O27" i="108"/>
  <c r="O90" i="108"/>
  <c r="O86" i="108"/>
  <c r="O82" i="108"/>
  <c r="O66" i="108"/>
  <c r="O62" i="108"/>
  <c r="O58" i="108"/>
  <c r="O54" i="108"/>
  <c r="O42" i="108"/>
  <c r="O38" i="108"/>
  <c r="O34" i="108"/>
  <c r="O30" i="108"/>
  <c r="O18" i="108"/>
  <c r="O14" i="108"/>
  <c r="O10" i="108"/>
  <c r="O6" i="108"/>
  <c r="O93" i="108"/>
  <c r="O89" i="108"/>
  <c r="O85" i="108"/>
  <c r="O81" i="108"/>
  <c r="O65" i="108"/>
  <c r="O61" i="108"/>
  <c r="O57" i="108"/>
  <c r="O41" i="108"/>
  <c r="O37" i="108"/>
  <c r="O33" i="108"/>
  <c r="O29" i="108"/>
  <c r="O17" i="108"/>
  <c r="O13" i="108"/>
  <c r="O9" i="108"/>
  <c r="O5" i="108"/>
  <c r="O92" i="108"/>
  <c r="O88" i="108"/>
  <c r="O84" i="108"/>
  <c r="O80" i="108"/>
  <c r="O68" i="108"/>
  <c r="O64" i="108"/>
  <c r="O60" i="108"/>
  <c r="O56" i="108"/>
  <c r="O40" i="108"/>
  <c r="O36" i="108"/>
  <c r="O32" i="108"/>
  <c r="O16" i="108"/>
  <c r="O12" i="108"/>
  <c r="O8" i="108"/>
  <c r="O4" i="108"/>
  <c r="O91" i="108"/>
  <c r="O87" i="108"/>
  <c r="O83" i="108"/>
  <c r="O79" i="108"/>
  <c r="O67" i="108"/>
  <c r="O63" i="108"/>
  <c r="O59" i="108"/>
  <c r="O55" i="108"/>
  <c r="O43" i="108"/>
  <c r="O39" i="108"/>
  <c r="O35" i="108"/>
  <c r="O31" i="108"/>
  <c r="O15" i="108"/>
  <c r="O11" i="108"/>
  <c r="O7" i="108"/>
  <c r="O98" i="108"/>
  <c r="O94" i="108"/>
  <c r="O70" i="108"/>
  <c r="O46" i="108"/>
  <c r="O22" i="108"/>
  <c r="O97" i="108"/>
  <c r="O73" i="108"/>
  <c r="O69" i="108"/>
  <c r="O45" i="108"/>
  <c r="O21" i="108"/>
  <c r="O96" i="108"/>
  <c r="O72" i="108"/>
  <c r="O48" i="108"/>
  <c r="O44" i="108"/>
  <c r="O20" i="108"/>
  <c r="O95" i="108"/>
  <c r="O71" i="108"/>
  <c r="O47" i="108"/>
  <c r="O23" i="108"/>
  <c r="O19" i="108"/>
  <c r="AQ11" i="108"/>
  <c r="AO11" i="105"/>
  <c r="AH11" i="105" s="1"/>
  <c r="K27" i="105"/>
  <c r="K75" i="105"/>
  <c r="K27" i="108"/>
  <c r="K23" i="108"/>
  <c r="K19" i="108"/>
  <c r="K15" i="108"/>
  <c r="K11" i="108"/>
  <c r="K7" i="108"/>
  <c r="K26" i="108"/>
  <c r="K22" i="108"/>
  <c r="K18" i="108"/>
  <c r="K14" i="108"/>
  <c r="K10" i="108"/>
  <c r="K6" i="108"/>
  <c r="K24" i="108"/>
  <c r="K16" i="108"/>
  <c r="K8" i="108"/>
  <c r="K21" i="108"/>
  <c r="K13" i="108"/>
  <c r="K5" i="108"/>
  <c r="K28" i="108"/>
  <c r="K12" i="108"/>
  <c r="K25" i="108"/>
  <c r="K9" i="108"/>
  <c r="K20" i="108"/>
  <c r="K17" i="108"/>
  <c r="K4" i="108"/>
  <c r="K103" i="105"/>
  <c r="K75" i="108"/>
  <c r="K71" i="108"/>
  <c r="K67" i="108"/>
  <c r="K63" i="108"/>
  <c r="K59" i="108"/>
  <c r="K55" i="108"/>
  <c r="K78" i="108"/>
  <c r="K74" i="108"/>
  <c r="K70" i="108"/>
  <c r="K66" i="108"/>
  <c r="K62" i="108"/>
  <c r="K58" i="108"/>
  <c r="K54" i="108"/>
  <c r="K72" i="108"/>
  <c r="K64" i="108"/>
  <c r="K56" i="108"/>
  <c r="K77" i="108"/>
  <c r="K69" i="108"/>
  <c r="K61" i="108"/>
  <c r="K76" i="108"/>
  <c r="K60" i="108"/>
  <c r="K73" i="108"/>
  <c r="K57" i="108"/>
  <c r="K65" i="108"/>
  <c r="K68" i="108"/>
  <c r="AO12" i="105"/>
  <c r="AH12" i="105" s="1"/>
  <c r="AQ12" i="108"/>
  <c r="K103" i="108"/>
  <c r="K99" i="108"/>
  <c r="K95" i="108"/>
  <c r="K91" i="108"/>
  <c r="K87" i="108"/>
  <c r="K83" i="108"/>
  <c r="K79" i="108"/>
  <c r="K102" i="108"/>
  <c r="K98" i="108"/>
  <c r="K94" i="108"/>
  <c r="K90" i="108"/>
  <c r="K86" i="108"/>
  <c r="K82" i="108"/>
  <c r="K96" i="108"/>
  <c r="K88" i="108"/>
  <c r="K80" i="108"/>
  <c r="K101" i="108"/>
  <c r="K93" i="108"/>
  <c r="K85" i="108"/>
  <c r="K92" i="108"/>
  <c r="K89" i="108"/>
  <c r="K100" i="108"/>
  <c r="K97" i="108"/>
  <c r="K81" i="108"/>
  <c r="K84" i="108"/>
  <c r="K51" i="105"/>
  <c r="K51" i="108"/>
  <c r="K47" i="108"/>
  <c r="K43" i="108"/>
  <c r="K39" i="108"/>
  <c r="K35" i="108"/>
  <c r="K31" i="108"/>
  <c r="K50" i="108"/>
  <c r="K46" i="108"/>
  <c r="K42" i="108"/>
  <c r="K38" i="108"/>
  <c r="K34" i="108"/>
  <c r="K30" i="108"/>
  <c r="K48" i="108"/>
  <c r="K40" i="108"/>
  <c r="K32" i="108"/>
  <c r="K53" i="108"/>
  <c r="K45" i="108"/>
  <c r="K37" i="108"/>
  <c r="K29" i="108"/>
  <c r="K44" i="108"/>
  <c r="K41" i="108"/>
  <c r="K52" i="108"/>
  <c r="K49" i="108"/>
  <c r="K33" i="108"/>
  <c r="K36" i="108"/>
  <c r="K52" i="105"/>
  <c r="K36" i="105"/>
  <c r="K68" i="105"/>
  <c r="K40" i="105"/>
  <c r="K56" i="105"/>
  <c r="K72" i="105"/>
  <c r="K44" i="105"/>
  <c r="K60" i="105"/>
  <c r="K76" i="105"/>
  <c r="K32" i="105"/>
  <c r="K48" i="105"/>
  <c r="K64" i="105"/>
  <c r="K6" i="105"/>
  <c r="K14" i="105"/>
  <c r="K4" i="105"/>
  <c r="K8" i="105"/>
  <c r="K12" i="105"/>
  <c r="K16" i="105"/>
  <c r="K20" i="105"/>
  <c r="K24" i="105"/>
  <c r="K28" i="105"/>
  <c r="K80" i="105"/>
  <c r="K84" i="105"/>
  <c r="K88" i="105"/>
  <c r="K92" i="105"/>
  <c r="K96" i="105"/>
  <c r="K100" i="105"/>
  <c r="K5" i="105"/>
  <c r="K9" i="105"/>
  <c r="K13" i="105"/>
  <c r="K17" i="105"/>
  <c r="K21" i="105"/>
  <c r="K25" i="105"/>
  <c r="K29" i="105"/>
  <c r="K33" i="105"/>
  <c r="K37" i="105"/>
  <c r="K41" i="105"/>
  <c r="K45" i="105"/>
  <c r="K49" i="105"/>
  <c r="K53" i="105"/>
  <c r="K57" i="105"/>
  <c r="K61" i="105"/>
  <c r="K65" i="105"/>
  <c r="K69" i="105"/>
  <c r="K73" i="105"/>
  <c r="K77" i="105"/>
  <c r="K81" i="105"/>
  <c r="K85" i="105"/>
  <c r="K89" i="105"/>
  <c r="K93" i="105"/>
  <c r="K97" i="105"/>
  <c r="K101" i="105"/>
  <c r="K18" i="105"/>
  <c r="K22" i="105"/>
  <c r="K26" i="105"/>
  <c r="K30" i="105"/>
  <c r="K34" i="105"/>
  <c r="K38" i="105"/>
  <c r="K42" i="105"/>
  <c r="K46" i="105"/>
  <c r="K50" i="105"/>
  <c r="K54" i="105"/>
  <c r="K58" i="105"/>
  <c r="K62" i="105"/>
  <c r="K66" i="105"/>
  <c r="K70" i="105"/>
  <c r="K74" i="105"/>
  <c r="K78" i="105"/>
  <c r="K82" i="105"/>
  <c r="K86" i="105"/>
  <c r="K90" i="105"/>
  <c r="K94" i="105"/>
  <c r="K98" i="105"/>
  <c r="K102" i="105"/>
  <c r="K10" i="105"/>
  <c r="K7" i="105"/>
  <c r="K11" i="105"/>
  <c r="K15" i="105"/>
  <c r="K19" i="105"/>
  <c r="K23" i="105"/>
  <c r="K31" i="105"/>
  <c r="K35" i="105"/>
  <c r="K39" i="105"/>
  <c r="K43" i="105"/>
  <c r="K47" i="105"/>
  <c r="K55" i="105"/>
  <c r="K59" i="105"/>
  <c r="K63" i="105"/>
  <c r="K67" i="105"/>
  <c r="K71" i="105"/>
  <c r="K79" i="105"/>
  <c r="K83" i="105"/>
  <c r="K87" i="105"/>
  <c r="K91" i="105"/>
  <c r="K95" i="105"/>
  <c r="K99" i="105"/>
  <c r="P32" i="104"/>
  <c r="O32" i="104"/>
  <c r="N32" i="104"/>
  <c r="M32" i="104"/>
  <c r="L32" i="104"/>
  <c r="K32" i="104"/>
  <c r="J32" i="104"/>
  <c r="F32" i="104"/>
  <c r="P31" i="104"/>
  <c r="O31" i="104"/>
  <c r="N31" i="104"/>
  <c r="M31" i="104"/>
  <c r="L31" i="104"/>
  <c r="K31" i="104"/>
  <c r="J31" i="104"/>
  <c r="F31" i="104"/>
  <c r="P30" i="104"/>
  <c r="O30" i="104"/>
  <c r="N30" i="104"/>
  <c r="M30" i="104"/>
  <c r="L30" i="104"/>
  <c r="K30" i="104"/>
  <c r="J30" i="104"/>
  <c r="F30" i="104"/>
  <c r="P29" i="104"/>
  <c r="O29" i="104"/>
  <c r="N29" i="104"/>
  <c r="M29" i="104"/>
  <c r="L29" i="104"/>
  <c r="K29" i="104"/>
  <c r="J29" i="104"/>
  <c r="F29" i="104"/>
  <c r="P28" i="104"/>
  <c r="O28" i="104"/>
  <c r="N28" i="104"/>
  <c r="M28" i="104"/>
  <c r="L28" i="104"/>
  <c r="K28" i="104"/>
  <c r="J28" i="104"/>
  <c r="F28" i="104"/>
  <c r="P27" i="104"/>
  <c r="O27" i="104"/>
  <c r="N27" i="104"/>
  <c r="M27" i="104"/>
  <c r="L27" i="104"/>
  <c r="K27" i="104"/>
  <c r="J27" i="104"/>
  <c r="F27" i="104"/>
  <c r="P26" i="104"/>
  <c r="O26" i="104"/>
  <c r="N26" i="104"/>
  <c r="M26" i="104"/>
  <c r="L26" i="104"/>
  <c r="K26" i="104"/>
  <c r="J26" i="104"/>
  <c r="F26" i="104"/>
  <c r="P25" i="104"/>
  <c r="O25" i="104"/>
  <c r="N25" i="104"/>
  <c r="M25" i="104"/>
  <c r="L25" i="104"/>
  <c r="K25" i="104"/>
  <c r="J25" i="104"/>
  <c r="F25" i="104"/>
  <c r="P24" i="104"/>
  <c r="O24" i="104"/>
  <c r="N24" i="104"/>
  <c r="M24" i="104"/>
  <c r="L24" i="104"/>
  <c r="K24" i="104"/>
  <c r="J24" i="104"/>
  <c r="F24" i="104"/>
  <c r="P23" i="104"/>
  <c r="O23" i="104"/>
  <c r="N23" i="104"/>
  <c r="M23" i="104"/>
  <c r="L23" i="104"/>
  <c r="K23" i="104"/>
  <c r="J23" i="104"/>
  <c r="F23" i="104"/>
  <c r="P22" i="104"/>
  <c r="O22" i="104"/>
  <c r="N22" i="104"/>
  <c r="M22" i="104"/>
  <c r="L22" i="104"/>
  <c r="K22" i="104"/>
  <c r="J22" i="104"/>
  <c r="F22" i="104"/>
  <c r="P21" i="104"/>
  <c r="O21" i="104"/>
  <c r="N21" i="104"/>
  <c r="M21" i="104"/>
  <c r="L21" i="104"/>
  <c r="K21" i="104"/>
  <c r="J21" i="104"/>
  <c r="F21" i="104"/>
  <c r="P20" i="104"/>
  <c r="O20" i="104"/>
  <c r="N20" i="104"/>
  <c r="M20" i="104"/>
  <c r="L20" i="104"/>
  <c r="K20" i="104"/>
  <c r="J20" i="104"/>
  <c r="F20" i="104"/>
  <c r="P19" i="104"/>
  <c r="O19" i="104"/>
  <c r="N19" i="104"/>
  <c r="M19" i="104"/>
  <c r="L19" i="104"/>
  <c r="K19" i="104"/>
  <c r="J19" i="104"/>
  <c r="F19" i="104"/>
  <c r="AY16" i="102"/>
  <c r="AX16" i="102"/>
  <c r="AW16" i="102"/>
  <c r="AV16" i="102"/>
  <c r="AU16" i="102"/>
  <c r="AT16" i="102"/>
  <c r="AS16" i="102"/>
  <c r="AY14" i="102"/>
  <c r="AX14" i="102"/>
  <c r="AW14" i="102"/>
  <c r="AV14" i="102"/>
  <c r="AU14" i="102"/>
  <c r="AT14" i="102"/>
  <c r="AS14" i="102"/>
  <c r="AR14" i="102"/>
  <c r="AQ14" i="102"/>
  <c r="AP14" i="102"/>
  <c r="AO14" i="102"/>
  <c r="AY13" i="102"/>
  <c r="AX13" i="102"/>
  <c r="AW13" i="102"/>
  <c r="AV13" i="102"/>
  <c r="AU13" i="102"/>
  <c r="AT13" i="102"/>
  <c r="AS13" i="102"/>
  <c r="AR13" i="102"/>
  <c r="AQ13" i="102"/>
  <c r="AP13" i="102"/>
  <c r="AO13" i="102"/>
  <c r="P150" i="104"/>
  <c r="O150" i="104"/>
  <c r="N150" i="104"/>
  <c r="M150" i="104"/>
  <c r="L150" i="104"/>
  <c r="K150" i="104"/>
  <c r="J150" i="104"/>
  <c r="P149" i="104"/>
  <c r="O149" i="104"/>
  <c r="N149" i="104"/>
  <c r="M149" i="104"/>
  <c r="L149" i="104"/>
  <c r="K149" i="104"/>
  <c r="J149" i="104"/>
  <c r="P148" i="104"/>
  <c r="O148" i="104"/>
  <c r="N148" i="104"/>
  <c r="M148" i="104"/>
  <c r="L148" i="104"/>
  <c r="K148" i="104"/>
  <c r="J148" i="104"/>
  <c r="P147" i="104"/>
  <c r="O147" i="104"/>
  <c r="N147" i="104"/>
  <c r="M147" i="104"/>
  <c r="L147" i="104"/>
  <c r="K147" i="104"/>
  <c r="J147" i="104"/>
  <c r="P146" i="104"/>
  <c r="O146" i="104"/>
  <c r="N146" i="104"/>
  <c r="M146" i="104"/>
  <c r="L146" i="104"/>
  <c r="K146" i="104"/>
  <c r="J146" i="104"/>
  <c r="P145" i="104"/>
  <c r="O145" i="104"/>
  <c r="N145" i="104"/>
  <c r="M145" i="104"/>
  <c r="L145" i="104"/>
  <c r="K145" i="104"/>
  <c r="J145" i="104"/>
  <c r="P144" i="104"/>
  <c r="O144" i="104"/>
  <c r="N144" i="104"/>
  <c r="M144" i="104"/>
  <c r="L144" i="104"/>
  <c r="K144" i="104"/>
  <c r="J144" i="104"/>
  <c r="P143" i="104"/>
  <c r="O143" i="104"/>
  <c r="N143" i="104"/>
  <c r="M143" i="104"/>
  <c r="L143" i="104"/>
  <c r="K143" i="104"/>
  <c r="J143" i="104"/>
  <c r="P142" i="104"/>
  <c r="O142" i="104"/>
  <c r="N142" i="104"/>
  <c r="M142" i="104"/>
  <c r="L142" i="104"/>
  <c r="K142" i="104"/>
  <c r="J142" i="104"/>
  <c r="P141" i="104"/>
  <c r="O141" i="104"/>
  <c r="N141" i="104"/>
  <c r="M141" i="104"/>
  <c r="L141" i="104"/>
  <c r="K141" i="104"/>
  <c r="J141" i="104"/>
  <c r="P140" i="104"/>
  <c r="O140" i="104"/>
  <c r="N140" i="104"/>
  <c r="M140" i="104"/>
  <c r="L140" i="104"/>
  <c r="K140" i="104"/>
  <c r="J140" i="104"/>
  <c r="P139" i="104"/>
  <c r="O139" i="104"/>
  <c r="N139" i="104"/>
  <c r="M139" i="104"/>
  <c r="L139" i="104"/>
  <c r="K139" i="104"/>
  <c r="J139" i="104"/>
  <c r="P138" i="104"/>
  <c r="O138" i="104"/>
  <c r="N138" i="104"/>
  <c r="M138" i="104"/>
  <c r="L138" i="104"/>
  <c r="K138" i="104"/>
  <c r="J138" i="104"/>
  <c r="P137" i="104"/>
  <c r="O137" i="104"/>
  <c r="N137" i="104"/>
  <c r="M137" i="104"/>
  <c r="L137" i="104"/>
  <c r="K137" i="104"/>
  <c r="J137" i="104"/>
  <c r="P136" i="104"/>
  <c r="O136" i="104"/>
  <c r="N136" i="104"/>
  <c r="M136" i="104"/>
  <c r="L136" i="104"/>
  <c r="K136" i="104"/>
  <c r="J136" i="104"/>
  <c r="P135" i="104"/>
  <c r="O135" i="104"/>
  <c r="N135" i="104"/>
  <c r="M135" i="104"/>
  <c r="L135" i="104"/>
  <c r="K135" i="104"/>
  <c r="J135" i="104"/>
  <c r="P134" i="104"/>
  <c r="O134" i="104"/>
  <c r="N134" i="104"/>
  <c r="M134" i="104"/>
  <c r="L134" i="104"/>
  <c r="K134" i="104"/>
  <c r="J134" i="104"/>
  <c r="P133" i="104"/>
  <c r="O133" i="104"/>
  <c r="N133" i="104"/>
  <c r="M133" i="104"/>
  <c r="L133" i="104"/>
  <c r="K133" i="104"/>
  <c r="J133" i="104"/>
  <c r="P132" i="104"/>
  <c r="O132" i="104"/>
  <c r="N132" i="104"/>
  <c r="M132" i="104"/>
  <c r="L132" i="104"/>
  <c r="K132" i="104"/>
  <c r="J132" i="104"/>
  <c r="P131" i="104"/>
  <c r="O131" i="104"/>
  <c r="N131" i="104"/>
  <c r="M131" i="104"/>
  <c r="L131" i="104"/>
  <c r="K131" i="104"/>
  <c r="J131" i="104"/>
  <c r="P130" i="104"/>
  <c r="O130" i="104"/>
  <c r="N130" i="104"/>
  <c r="M130" i="104"/>
  <c r="L130" i="104"/>
  <c r="K130" i="104"/>
  <c r="J130" i="104"/>
  <c r="P129" i="104"/>
  <c r="O129" i="104"/>
  <c r="N129" i="104"/>
  <c r="M129" i="104"/>
  <c r="L129" i="104"/>
  <c r="K129" i="104"/>
  <c r="J129" i="104"/>
  <c r="P128" i="104"/>
  <c r="O128" i="104"/>
  <c r="N128" i="104"/>
  <c r="M128" i="104"/>
  <c r="L128" i="104"/>
  <c r="K128" i="104"/>
  <c r="J128" i="104"/>
  <c r="P127" i="104"/>
  <c r="O127" i="104"/>
  <c r="N127" i="104"/>
  <c r="M127" i="104"/>
  <c r="L127" i="104"/>
  <c r="K127" i="104"/>
  <c r="J127" i="104"/>
  <c r="P126" i="104"/>
  <c r="O126" i="104"/>
  <c r="N126" i="104"/>
  <c r="M126" i="104"/>
  <c r="L126" i="104"/>
  <c r="K126" i="104"/>
  <c r="J126" i="104"/>
  <c r="P125" i="104"/>
  <c r="O125" i="104"/>
  <c r="N125" i="104"/>
  <c r="M125" i="104"/>
  <c r="L125" i="104"/>
  <c r="K125" i="104"/>
  <c r="J125" i="104"/>
  <c r="P124" i="104"/>
  <c r="O124" i="104"/>
  <c r="N124" i="104"/>
  <c r="M124" i="104"/>
  <c r="L124" i="104"/>
  <c r="K124" i="104"/>
  <c r="J124" i="104"/>
  <c r="P123" i="104"/>
  <c r="O123" i="104"/>
  <c r="N123" i="104"/>
  <c r="M123" i="104"/>
  <c r="L123" i="104"/>
  <c r="K123" i="104"/>
  <c r="J123" i="104"/>
  <c r="P122" i="104"/>
  <c r="O122" i="104"/>
  <c r="N122" i="104"/>
  <c r="M122" i="104"/>
  <c r="L122" i="104"/>
  <c r="K122" i="104"/>
  <c r="J122" i="104"/>
  <c r="P121" i="104"/>
  <c r="O121" i="104"/>
  <c r="N121" i="104"/>
  <c r="M121" i="104"/>
  <c r="L121" i="104"/>
  <c r="K121" i="104"/>
  <c r="J121" i="104"/>
  <c r="P120" i="104"/>
  <c r="O120" i="104"/>
  <c r="N120" i="104"/>
  <c r="M120" i="104"/>
  <c r="L120" i="104"/>
  <c r="K120" i="104"/>
  <c r="J120" i="104"/>
  <c r="P119" i="104"/>
  <c r="O119" i="104"/>
  <c r="N119" i="104"/>
  <c r="M119" i="104"/>
  <c r="L119" i="104"/>
  <c r="K119" i="104"/>
  <c r="J119" i="104"/>
  <c r="P118" i="104"/>
  <c r="O118" i="104"/>
  <c r="N118" i="104"/>
  <c r="M118" i="104"/>
  <c r="L118" i="104"/>
  <c r="K118" i="104"/>
  <c r="J118" i="104"/>
  <c r="P117" i="104"/>
  <c r="O117" i="104"/>
  <c r="N117" i="104"/>
  <c r="M117" i="104"/>
  <c r="L117" i="104"/>
  <c r="K117" i="104"/>
  <c r="J117" i="104"/>
  <c r="P116" i="104"/>
  <c r="O116" i="104"/>
  <c r="N116" i="104"/>
  <c r="M116" i="104"/>
  <c r="L116" i="104"/>
  <c r="K116" i="104"/>
  <c r="J116" i="104"/>
  <c r="P115" i="104"/>
  <c r="O115" i="104"/>
  <c r="N115" i="104"/>
  <c r="M115" i="104"/>
  <c r="L115" i="104"/>
  <c r="K115" i="104"/>
  <c r="J115" i="104"/>
  <c r="P114" i="104"/>
  <c r="O114" i="104"/>
  <c r="N114" i="104"/>
  <c r="M114" i="104"/>
  <c r="L114" i="104"/>
  <c r="K114" i="104"/>
  <c r="J114" i="104"/>
  <c r="P113" i="104"/>
  <c r="O113" i="104"/>
  <c r="N113" i="104"/>
  <c r="M113" i="104"/>
  <c r="L113" i="104"/>
  <c r="K113" i="104"/>
  <c r="J113" i="104"/>
  <c r="P112" i="104"/>
  <c r="O112" i="104"/>
  <c r="N112" i="104"/>
  <c r="M112" i="104"/>
  <c r="L112" i="104"/>
  <c r="K112" i="104"/>
  <c r="J112" i="104"/>
  <c r="P111" i="104"/>
  <c r="O111" i="104"/>
  <c r="N111" i="104"/>
  <c r="M111" i="104"/>
  <c r="L111" i="104"/>
  <c r="K111" i="104"/>
  <c r="J111" i="104"/>
  <c r="P110" i="104"/>
  <c r="O110" i="104"/>
  <c r="N110" i="104"/>
  <c r="M110" i="104"/>
  <c r="L110" i="104"/>
  <c r="K110" i="104"/>
  <c r="J110" i="104"/>
  <c r="P109" i="104"/>
  <c r="O109" i="104"/>
  <c r="N109" i="104"/>
  <c r="M109" i="104"/>
  <c r="L109" i="104"/>
  <c r="K109" i="104"/>
  <c r="J109" i="104"/>
  <c r="P108" i="104"/>
  <c r="O108" i="104"/>
  <c r="N108" i="104"/>
  <c r="M108" i="104"/>
  <c r="L108" i="104"/>
  <c r="K108" i="104"/>
  <c r="J108" i="104"/>
  <c r="P107" i="104"/>
  <c r="O107" i="104"/>
  <c r="N107" i="104"/>
  <c r="M107" i="104"/>
  <c r="L107" i="104"/>
  <c r="K107" i="104"/>
  <c r="J107" i="104"/>
  <c r="P106" i="104"/>
  <c r="O106" i="104"/>
  <c r="N106" i="104"/>
  <c r="M106" i="104"/>
  <c r="L106" i="104"/>
  <c r="K106" i="104"/>
  <c r="J106" i="104"/>
  <c r="P105" i="104"/>
  <c r="O105" i="104"/>
  <c r="N105" i="104"/>
  <c r="M105" i="104"/>
  <c r="L105" i="104"/>
  <c r="K105" i="104"/>
  <c r="J105" i="104"/>
  <c r="P104" i="104"/>
  <c r="O104" i="104"/>
  <c r="N104" i="104"/>
  <c r="M104" i="104"/>
  <c r="L104" i="104"/>
  <c r="K104" i="104"/>
  <c r="J104" i="104"/>
  <c r="P103" i="104"/>
  <c r="O103" i="104"/>
  <c r="N103" i="104"/>
  <c r="M103" i="104"/>
  <c r="L103" i="104"/>
  <c r="K103" i="104"/>
  <c r="J103" i="104"/>
  <c r="P102" i="104"/>
  <c r="O102" i="104"/>
  <c r="N102" i="104"/>
  <c r="M102" i="104"/>
  <c r="L102" i="104"/>
  <c r="K102" i="104"/>
  <c r="J102" i="104"/>
  <c r="P101" i="104"/>
  <c r="O101" i="104"/>
  <c r="N101" i="104"/>
  <c r="M101" i="104"/>
  <c r="L101" i="104"/>
  <c r="K101" i="104"/>
  <c r="J101" i="104"/>
  <c r="P100" i="104"/>
  <c r="O100" i="104"/>
  <c r="N100" i="104"/>
  <c r="M100" i="104"/>
  <c r="L100" i="104"/>
  <c r="K100" i="104"/>
  <c r="J100" i="104"/>
  <c r="P99" i="104"/>
  <c r="O99" i="104"/>
  <c r="N99" i="104"/>
  <c r="M99" i="104"/>
  <c r="L99" i="104"/>
  <c r="K99" i="104"/>
  <c r="J99" i="104"/>
  <c r="P98" i="104"/>
  <c r="O98" i="104"/>
  <c r="N98" i="104"/>
  <c r="M98" i="104"/>
  <c r="L98" i="104"/>
  <c r="K98" i="104"/>
  <c r="J98" i="104"/>
  <c r="P97" i="104"/>
  <c r="O97" i="104"/>
  <c r="N97" i="104"/>
  <c r="M97" i="104"/>
  <c r="L97" i="104"/>
  <c r="K97" i="104"/>
  <c r="J97" i="104"/>
  <c r="P96" i="104"/>
  <c r="O96" i="104"/>
  <c r="N96" i="104"/>
  <c r="M96" i="104"/>
  <c r="L96" i="104"/>
  <c r="K96" i="104"/>
  <c r="J96" i="104"/>
  <c r="P95" i="104"/>
  <c r="O95" i="104"/>
  <c r="N95" i="104"/>
  <c r="M95" i="104"/>
  <c r="L95" i="104"/>
  <c r="K95" i="104"/>
  <c r="J95" i="104"/>
  <c r="I150" i="104"/>
  <c r="H150" i="104"/>
  <c r="G150" i="104"/>
  <c r="F150" i="104"/>
  <c r="I149" i="104"/>
  <c r="H149" i="104"/>
  <c r="G149" i="104"/>
  <c r="F149" i="104"/>
  <c r="I148" i="104"/>
  <c r="H148" i="104"/>
  <c r="G148" i="104"/>
  <c r="F148" i="104"/>
  <c r="I147" i="104"/>
  <c r="H147" i="104"/>
  <c r="G147" i="104"/>
  <c r="F147" i="104"/>
  <c r="I146" i="104"/>
  <c r="H146" i="104"/>
  <c r="G146" i="104"/>
  <c r="F146" i="104"/>
  <c r="I145" i="104"/>
  <c r="H145" i="104"/>
  <c r="G145" i="104"/>
  <c r="F145" i="104"/>
  <c r="I144" i="104"/>
  <c r="H144" i="104"/>
  <c r="G144" i="104"/>
  <c r="F144" i="104"/>
  <c r="I143" i="104"/>
  <c r="H143" i="104"/>
  <c r="G143" i="104"/>
  <c r="F143" i="104"/>
  <c r="I142" i="104"/>
  <c r="H142" i="104"/>
  <c r="G142" i="104"/>
  <c r="F142" i="104"/>
  <c r="I141" i="104"/>
  <c r="H141" i="104"/>
  <c r="G141" i="104"/>
  <c r="F141" i="104"/>
  <c r="I140" i="104"/>
  <c r="H140" i="104"/>
  <c r="G140" i="104"/>
  <c r="F140" i="104"/>
  <c r="I139" i="104"/>
  <c r="H139" i="104"/>
  <c r="G139" i="104"/>
  <c r="F139" i="104"/>
  <c r="I138" i="104"/>
  <c r="H138" i="104"/>
  <c r="G138" i="104"/>
  <c r="F138" i="104"/>
  <c r="I137" i="104"/>
  <c r="H137" i="104"/>
  <c r="G137" i="104"/>
  <c r="F137" i="104"/>
  <c r="I136" i="104"/>
  <c r="H136" i="104"/>
  <c r="G136" i="104"/>
  <c r="F136" i="104"/>
  <c r="I135" i="104"/>
  <c r="H135" i="104"/>
  <c r="G135" i="104"/>
  <c r="F135" i="104"/>
  <c r="I134" i="104"/>
  <c r="H134" i="104"/>
  <c r="G134" i="104"/>
  <c r="F134" i="104"/>
  <c r="I133" i="104"/>
  <c r="H133" i="104"/>
  <c r="G133" i="104"/>
  <c r="F133" i="104"/>
  <c r="I132" i="104"/>
  <c r="H132" i="104"/>
  <c r="G132" i="104"/>
  <c r="F132" i="104"/>
  <c r="I131" i="104"/>
  <c r="H131" i="104"/>
  <c r="G131" i="104"/>
  <c r="F131" i="104"/>
  <c r="I130" i="104"/>
  <c r="H130" i="104"/>
  <c r="G130" i="104"/>
  <c r="F130" i="104"/>
  <c r="I129" i="104"/>
  <c r="H129" i="104"/>
  <c r="G129" i="104"/>
  <c r="F129" i="104"/>
  <c r="I128" i="104"/>
  <c r="H128" i="104"/>
  <c r="G128" i="104"/>
  <c r="F128" i="104"/>
  <c r="I127" i="104"/>
  <c r="H127" i="104"/>
  <c r="G127" i="104"/>
  <c r="F127" i="104"/>
  <c r="I126" i="104"/>
  <c r="H126" i="104"/>
  <c r="G126" i="104"/>
  <c r="F126" i="104"/>
  <c r="I125" i="104"/>
  <c r="H125" i="104"/>
  <c r="G125" i="104"/>
  <c r="F125" i="104"/>
  <c r="I124" i="104"/>
  <c r="H124" i="104"/>
  <c r="G124" i="104"/>
  <c r="F124" i="104"/>
  <c r="I123" i="104"/>
  <c r="H123" i="104"/>
  <c r="G123" i="104"/>
  <c r="F123" i="104"/>
  <c r="I122" i="104"/>
  <c r="H122" i="104"/>
  <c r="G122" i="104"/>
  <c r="F122" i="104"/>
  <c r="I121" i="104"/>
  <c r="H121" i="104"/>
  <c r="G121" i="104"/>
  <c r="F121" i="104"/>
  <c r="I120" i="104"/>
  <c r="H120" i="104"/>
  <c r="G120" i="104"/>
  <c r="F120" i="104"/>
  <c r="I119" i="104"/>
  <c r="H119" i="104"/>
  <c r="G119" i="104"/>
  <c r="F119" i="104"/>
  <c r="I118" i="104"/>
  <c r="H118" i="104"/>
  <c r="G118" i="104"/>
  <c r="F118" i="104"/>
  <c r="I117" i="104"/>
  <c r="H117" i="104"/>
  <c r="G117" i="104"/>
  <c r="F117" i="104"/>
  <c r="I116" i="104"/>
  <c r="H116" i="104"/>
  <c r="G116" i="104"/>
  <c r="F116" i="104"/>
  <c r="I115" i="104"/>
  <c r="H115" i="104"/>
  <c r="G115" i="104"/>
  <c r="F115" i="104"/>
  <c r="I114" i="104"/>
  <c r="H114" i="104"/>
  <c r="G114" i="104"/>
  <c r="F114" i="104"/>
  <c r="I113" i="104"/>
  <c r="H113" i="104"/>
  <c r="G113" i="104"/>
  <c r="F113" i="104"/>
  <c r="I112" i="104"/>
  <c r="H112" i="104"/>
  <c r="G112" i="104"/>
  <c r="F112" i="104"/>
  <c r="I111" i="104"/>
  <c r="H111" i="104"/>
  <c r="G111" i="104"/>
  <c r="F111" i="104"/>
  <c r="I110" i="104"/>
  <c r="H110" i="104"/>
  <c r="G110" i="104"/>
  <c r="F110" i="104"/>
  <c r="I109" i="104"/>
  <c r="H109" i="104"/>
  <c r="G109" i="104"/>
  <c r="F109" i="104"/>
  <c r="I108" i="104"/>
  <c r="H108" i="104"/>
  <c r="G108" i="104"/>
  <c r="F108" i="104"/>
  <c r="I107" i="104"/>
  <c r="H107" i="104"/>
  <c r="G107" i="104"/>
  <c r="F107" i="104"/>
  <c r="I106" i="104"/>
  <c r="H106" i="104"/>
  <c r="G106" i="104"/>
  <c r="F106" i="104"/>
  <c r="I105" i="104"/>
  <c r="H105" i="104"/>
  <c r="G105" i="104"/>
  <c r="F105" i="104"/>
  <c r="I104" i="104"/>
  <c r="H104" i="104"/>
  <c r="G104" i="104"/>
  <c r="F104" i="104"/>
  <c r="I103" i="104"/>
  <c r="H103" i="104"/>
  <c r="G103" i="104"/>
  <c r="F103" i="104"/>
  <c r="I102" i="104"/>
  <c r="H102" i="104"/>
  <c r="G102" i="104"/>
  <c r="F102" i="104"/>
  <c r="I101" i="104"/>
  <c r="H101" i="104"/>
  <c r="G101" i="104"/>
  <c r="F101" i="104"/>
  <c r="I100" i="104"/>
  <c r="H100" i="104"/>
  <c r="G100" i="104"/>
  <c r="F100" i="104"/>
  <c r="I99" i="104"/>
  <c r="H99" i="104"/>
  <c r="G99" i="104"/>
  <c r="F99" i="104"/>
  <c r="I98" i="104"/>
  <c r="H98" i="104"/>
  <c r="G98" i="104"/>
  <c r="F98" i="104"/>
  <c r="I97" i="104"/>
  <c r="H97" i="104"/>
  <c r="G97" i="104"/>
  <c r="F97" i="104"/>
  <c r="I96" i="104"/>
  <c r="H96" i="104"/>
  <c r="G96" i="104"/>
  <c r="F96" i="104"/>
  <c r="I95" i="104"/>
  <c r="H95" i="104"/>
  <c r="G95" i="104"/>
  <c r="F95" i="104"/>
  <c r="P16" i="104"/>
  <c r="O16" i="104"/>
  <c r="N16" i="104"/>
  <c r="M16" i="104"/>
  <c r="L16" i="104"/>
  <c r="K16" i="104"/>
  <c r="J16" i="104"/>
  <c r="P15" i="104"/>
  <c r="O15" i="104"/>
  <c r="N15" i="104"/>
  <c r="M15" i="104"/>
  <c r="L15" i="104"/>
  <c r="K15" i="104"/>
  <c r="J15" i="104"/>
  <c r="P14" i="104"/>
  <c r="O14" i="104"/>
  <c r="N14" i="104"/>
  <c r="M14" i="104"/>
  <c r="L14" i="104"/>
  <c r="K14" i="104"/>
  <c r="J14" i="104"/>
  <c r="P13" i="104"/>
  <c r="O13" i="104"/>
  <c r="N13" i="104"/>
  <c r="M13" i="104"/>
  <c r="L13" i="104"/>
  <c r="K13" i="104"/>
  <c r="J13" i="104"/>
  <c r="P12" i="104"/>
  <c r="O12" i="104"/>
  <c r="N12" i="104"/>
  <c r="M12" i="104"/>
  <c r="L12" i="104"/>
  <c r="K12" i="104"/>
  <c r="J12" i="104"/>
  <c r="P11" i="104"/>
  <c r="O11" i="104"/>
  <c r="N11" i="104"/>
  <c r="M11" i="104"/>
  <c r="L11" i="104"/>
  <c r="K11" i="104"/>
  <c r="J11" i="104"/>
  <c r="P10" i="104"/>
  <c r="O10" i="104"/>
  <c r="N10" i="104"/>
  <c r="M10" i="104"/>
  <c r="L10" i="104"/>
  <c r="K10" i="104"/>
  <c r="J10" i="104"/>
  <c r="P9" i="104"/>
  <c r="O9" i="104"/>
  <c r="N9" i="104"/>
  <c r="M9" i="104"/>
  <c r="L9" i="104"/>
  <c r="K9" i="104"/>
  <c r="J9" i="104"/>
  <c r="P8" i="104"/>
  <c r="O8" i="104"/>
  <c r="N8" i="104"/>
  <c r="M8" i="104"/>
  <c r="L8" i="104"/>
  <c r="K8" i="104"/>
  <c r="J8" i="104"/>
  <c r="P7" i="104"/>
  <c r="O7" i="104"/>
  <c r="N7" i="104"/>
  <c r="M7" i="104"/>
  <c r="L7" i="104"/>
  <c r="K7" i="104"/>
  <c r="J7" i="104"/>
  <c r="P6" i="104"/>
  <c r="O6" i="104"/>
  <c r="N6" i="104"/>
  <c r="M6" i="104"/>
  <c r="L6" i="104"/>
  <c r="K6" i="104"/>
  <c r="J6" i="104"/>
  <c r="P5" i="104"/>
  <c r="O5" i="104"/>
  <c r="N5" i="104"/>
  <c r="M5" i="104"/>
  <c r="L5" i="104"/>
  <c r="K5" i="104"/>
  <c r="J5" i="104"/>
  <c r="P4" i="104"/>
  <c r="O4" i="104"/>
  <c r="N4" i="104"/>
  <c r="M4" i="104"/>
  <c r="L4" i="104"/>
  <c r="K4" i="104"/>
  <c r="J4" i="104"/>
  <c r="P3" i="104"/>
  <c r="O3" i="104"/>
  <c r="N3" i="104"/>
  <c r="M3" i="104"/>
  <c r="L3" i="104"/>
  <c r="K3" i="104"/>
  <c r="J3" i="104"/>
  <c r="F16" i="104"/>
  <c r="F15" i="104"/>
  <c r="F14" i="104"/>
  <c r="F13" i="104"/>
  <c r="F12" i="104"/>
  <c r="F11" i="104"/>
  <c r="F10" i="104"/>
  <c r="F9" i="104"/>
  <c r="F8" i="104"/>
  <c r="F7" i="104"/>
  <c r="F6" i="104"/>
  <c r="F5" i="104"/>
  <c r="F4" i="104"/>
  <c r="F3" i="104"/>
  <c r="I70" i="103"/>
  <c r="H70" i="103"/>
  <c r="G70" i="103"/>
  <c r="F70" i="103"/>
  <c r="P68" i="103"/>
  <c r="O68" i="103"/>
  <c r="N68" i="103"/>
  <c r="M68" i="103"/>
  <c r="L68" i="103"/>
  <c r="K68" i="103"/>
  <c r="J68" i="103"/>
  <c r="I72" i="103"/>
  <c r="I69" i="103" s="1"/>
  <c r="H72" i="103"/>
  <c r="H69" i="103" s="1"/>
  <c r="G72" i="103"/>
  <c r="G69" i="103" s="1"/>
  <c r="F72" i="103"/>
  <c r="F69" i="103" s="1"/>
  <c r="I68" i="103"/>
  <c r="H68" i="103"/>
  <c r="G68" i="103"/>
  <c r="F68" i="103"/>
  <c r="I65" i="103"/>
  <c r="H65" i="103"/>
  <c r="G65" i="103"/>
  <c r="F65" i="103"/>
  <c r="I64" i="103"/>
  <c r="H64" i="103"/>
  <c r="G64" i="103"/>
  <c r="F64" i="103"/>
  <c r="I63" i="103"/>
  <c r="H63" i="103"/>
  <c r="G63" i="103"/>
  <c r="F63" i="103"/>
  <c r="I62" i="103"/>
  <c r="H62" i="103"/>
  <c r="G62" i="103"/>
  <c r="F62" i="103"/>
  <c r="I61" i="103"/>
  <c r="H61" i="103"/>
  <c r="G61" i="103"/>
  <c r="F61" i="103"/>
  <c r="I60" i="103"/>
  <c r="H60" i="103"/>
  <c r="G60" i="103"/>
  <c r="F60" i="103"/>
  <c r="I59" i="103"/>
  <c r="H59" i="103"/>
  <c r="G59" i="103"/>
  <c r="F59" i="103"/>
  <c r="I58" i="103"/>
  <c r="H58" i="103"/>
  <c r="G58" i="103"/>
  <c r="F58" i="103"/>
  <c r="I57" i="103"/>
  <c r="H57" i="103"/>
  <c r="G57" i="103"/>
  <c r="F57" i="103"/>
  <c r="I56" i="103"/>
  <c r="H56" i="103"/>
  <c r="G56" i="103"/>
  <c r="F56" i="103"/>
  <c r="I55" i="103"/>
  <c r="H55" i="103"/>
  <c r="G55" i="103"/>
  <c r="F55" i="103"/>
  <c r="I54" i="103"/>
  <c r="H54" i="103"/>
  <c r="G54" i="103"/>
  <c r="F54" i="103"/>
  <c r="I53" i="103"/>
  <c r="H53" i="103"/>
  <c r="G53" i="103"/>
  <c r="F53" i="103"/>
  <c r="I52" i="103"/>
  <c r="H52" i="103"/>
  <c r="G52" i="103"/>
  <c r="F52" i="103"/>
  <c r="H48" i="103"/>
  <c r="K47" i="103"/>
  <c r="J47" i="103"/>
  <c r="H46" i="103"/>
  <c r="H44" i="103"/>
  <c r="K43" i="103"/>
  <c r="L42" i="103"/>
  <c r="H42" i="103"/>
  <c r="H40" i="103"/>
  <c r="K39" i="103"/>
  <c r="H38" i="103"/>
  <c r="H36" i="103"/>
  <c r="M16" i="103"/>
  <c r="M48" i="103" s="1"/>
  <c r="K10" i="103"/>
  <c r="K42" i="103" s="1"/>
  <c r="M8" i="103"/>
  <c r="M40" i="103" s="1"/>
  <c r="P3" i="103"/>
  <c r="P35" i="103" s="1"/>
  <c r="L3" i="103"/>
  <c r="L35" i="103" s="1"/>
  <c r="N32" i="103"/>
  <c r="N16" i="103" s="1"/>
  <c r="N48" i="103" s="1"/>
  <c r="M32" i="103"/>
  <c r="L32" i="103"/>
  <c r="L16" i="103" s="1"/>
  <c r="K32" i="103"/>
  <c r="K16" i="103" s="1"/>
  <c r="J32" i="103"/>
  <c r="J16" i="103" s="1"/>
  <c r="J48" i="103" s="1"/>
  <c r="N31" i="103"/>
  <c r="M31" i="103"/>
  <c r="M15" i="103" s="1"/>
  <c r="M47" i="103" s="1"/>
  <c r="L31" i="103"/>
  <c r="L15" i="103" s="1"/>
  <c r="L47" i="103" s="1"/>
  <c r="K31" i="103"/>
  <c r="K15" i="103" s="1"/>
  <c r="J31" i="103"/>
  <c r="J15" i="103" s="1"/>
  <c r="N30" i="103"/>
  <c r="N14" i="103" s="1"/>
  <c r="N46" i="103" s="1"/>
  <c r="M30" i="103"/>
  <c r="M14" i="103" s="1"/>
  <c r="M46" i="103" s="1"/>
  <c r="L30" i="103"/>
  <c r="L14" i="103" s="1"/>
  <c r="K30" i="103"/>
  <c r="K14" i="103" s="1"/>
  <c r="J30" i="103"/>
  <c r="J14" i="103" s="1"/>
  <c r="J46" i="103" s="1"/>
  <c r="N29" i="103"/>
  <c r="M29" i="103"/>
  <c r="M13" i="103" s="1"/>
  <c r="M45" i="103" s="1"/>
  <c r="L29" i="103"/>
  <c r="L13" i="103" s="1"/>
  <c r="L45" i="103" s="1"/>
  <c r="K29" i="103"/>
  <c r="K13" i="103" s="1"/>
  <c r="K45" i="103" s="1"/>
  <c r="J29" i="103"/>
  <c r="J13" i="103" s="1"/>
  <c r="J45" i="103" s="1"/>
  <c r="N28" i="103"/>
  <c r="N12" i="103" s="1"/>
  <c r="M28" i="103"/>
  <c r="M12" i="103" s="1"/>
  <c r="L28" i="103"/>
  <c r="L12" i="103" s="1"/>
  <c r="K28" i="103"/>
  <c r="K12" i="103" s="1"/>
  <c r="J28" i="103"/>
  <c r="J12" i="103" s="1"/>
  <c r="J44" i="103" s="1"/>
  <c r="N27" i="103"/>
  <c r="M27" i="103"/>
  <c r="M11" i="103" s="1"/>
  <c r="M43" i="103" s="1"/>
  <c r="L27" i="103"/>
  <c r="L11" i="103" s="1"/>
  <c r="L43" i="103" s="1"/>
  <c r="K27" i="103"/>
  <c r="K11" i="103" s="1"/>
  <c r="J27" i="103"/>
  <c r="J11" i="103" s="1"/>
  <c r="N26" i="103"/>
  <c r="N10" i="103" s="1"/>
  <c r="N42" i="103" s="1"/>
  <c r="M26" i="103"/>
  <c r="M10" i="103" s="1"/>
  <c r="M42" i="103" s="1"/>
  <c r="L26" i="103"/>
  <c r="L10" i="103" s="1"/>
  <c r="K26" i="103"/>
  <c r="J26" i="103"/>
  <c r="J10" i="103" s="1"/>
  <c r="N25" i="103"/>
  <c r="M25" i="103"/>
  <c r="M9" i="103" s="1"/>
  <c r="M41" i="103" s="1"/>
  <c r="L25" i="103"/>
  <c r="L9" i="103" s="1"/>
  <c r="L41" i="103" s="1"/>
  <c r="K25" i="103"/>
  <c r="K9" i="103" s="1"/>
  <c r="K41" i="103" s="1"/>
  <c r="J25" i="103"/>
  <c r="J9" i="103" s="1"/>
  <c r="J41" i="103" s="1"/>
  <c r="N24" i="103"/>
  <c r="N8" i="103" s="1"/>
  <c r="M24" i="103"/>
  <c r="L24" i="103"/>
  <c r="L8" i="103" s="1"/>
  <c r="K24" i="103"/>
  <c r="K8" i="103" s="1"/>
  <c r="K40" i="103" s="1"/>
  <c r="J24" i="103"/>
  <c r="J8" i="103" s="1"/>
  <c r="N23" i="103"/>
  <c r="M23" i="103"/>
  <c r="M7" i="103" s="1"/>
  <c r="M39" i="103" s="1"/>
  <c r="L23" i="103"/>
  <c r="L7" i="103" s="1"/>
  <c r="L39" i="103" s="1"/>
  <c r="K23" i="103"/>
  <c r="K7" i="103" s="1"/>
  <c r="J23" i="103"/>
  <c r="J7" i="103" s="1"/>
  <c r="N22" i="103"/>
  <c r="N6" i="103" s="1"/>
  <c r="N38" i="103" s="1"/>
  <c r="M22" i="103"/>
  <c r="M6" i="103" s="1"/>
  <c r="M38" i="103" s="1"/>
  <c r="L22" i="103"/>
  <c r="L6" i="103" s="1"/>
  <c r="K22" i="103"/>
  <c r="K6" i="103" s="1"/>
  <c r="K38" i="103" s="1"/>
  <c r="J22" i="103"/>
  <c r="J6" i="103" s="1"/>
  <c r="N21" i="103"/>
  <c r="M21" i="103"/>
  <c r="M5" i="103" s="1"/>
  <c r="M37" i="103" s="1"/>
  <c r="L21" i="103"/>
  <c r="L5" i="103" s="1"/>
  <c r="L37" i="103" s="1"/>
  <c r="K21" i="103"/>
  <c r="K5" i="103" s="1"/>
  <c r="K37" i="103" s="1"/>
  <c r="J21" i="103"/>
  <c r="J5" i="103" s="1"/>
  <c r="J37" i="103" s="1"/>
  <c r="N20" i="103"/>
  <c r="N4" i="103" s="1"/>
  <c r="M20" i="103"/>
  <c r="M4" i="103" s="1"/>
  <c r="M36" i="103" s="1"/>
  <c r="L20" i="103"/>
  <c r="L4" i="103" s="1"/>
  <c r="K20" i="103"/>
  <c r="K4" i="103" s="1"/>
  <c r="K36" i="103" s="1"/>
  <c r="J20" i="103"/>
  <c r="J4" i="103" s="1"/>
  <c r="P19" i="103"/>
  <c r="O19" i="103"/>
  <c r="O3" i="103" s="1"/>
  <c r="N19" i="103"/>
  <c r="O32" i="103" s="1"/>
  <c r="O16" i="103" s="1"/>
  <c r="O48" i="103" s="1"/>
  <c r="M19" i="103"/>
  <c r="M3" i="103" s="1"/>
  <c r="M35" i="103" s="1"/>
  <c r="L19" i="103"/>
  <c r="K19" i="103"/>
  <c r="K3" i="103" s="1"/>
  <c r="J19" i="103"/>
  <c r="J3" i="103" s="1"/>
  <c r="J35" i="103" s="1"/>
  <c r="I16" i="103"/>
  <c r="I48" i="103" s="1"/>
  <c r="H16" i="103"/>
  <c r="G16" i="103"/>
  <c r="F16" i="103"/>
  <c r="I15" i="103"/>
  <c r="I47" i="103" s="1"/>
  <c r="H15" i="103"/>
  <c r="H47" i="103" s="1"/>
  <c r="G15" i="103"/>
  <c r="F15" i="103"/>
  <c r="I14" i="103"/>
  <c r="I46" i="103" s="1"/>
  <c r="H14" i="103"/>
  <c r="G14" i="103"/>
  <c r="F14" i="103"/>
  <c r="I13" i="103"/>
  <c r="I45" i="103" s="1"/>
  <c r="H13" i="103"/>
  <c r="H45" i="103" s="1"/>
  <c r="G13" i="103"/>
  <c r="F13" i="103"/>
  <c r="I12" i="103"/>
  <c r="I44" i="103" s="1"/>
  <c r="H12" i="103"/>
  <c r="G12" i="103"/>
  <c r="I11" i="103"/>
  <c r="I43" i="103" s="1"/>
  <c r="H11" i="103"/>
  <c r="H43" i="103" s="1"/>
  <c r="G11" i="103"/>
  <c r="F11" i="103"/>
  <c r="G43" i="103" s="1"/>
  <c r="I10" i="103"/>
  <c r="I42" i="103" s="1"/>
  <c r="H10" i="103"/>
  <c r="G10" i="103"/>
  <c r="G42" i="103" s="1"/>
  <c r="F10" i="103"/>
  <c r="I9" i="103"/>
  <c r="I41" i="103" s="1"/>
  <c r="H9" i="103"/>
  <c r="H41" i="103" s="1"/>
  <c r="G9" i="103"/>
  <c r="F9" i="103"/>
  <c r="G41" i="103" s="1"/>
  <c r="I8" i="103"/>
  <c r="I40" i="103" s="1"/>
  <c r="H8" i="103"/>
  <c r="G8" i="103"/>
  <c r="G40" i="103" s="1"/>
  <c r="F8" i="103"/>
  <c r="I7" i="103"/>
  <c r="I39" i="103" s="1"/>
  <c r="H7" i="103"/>
  <c r="H39" i="103" s="1"/>
  <c r="G7" i="103"/>
  <c r="F7" i="103"/>
  <c r="G39" i="103" s="1"/>
  <c r="I6" i="103"/>
  <c r="I38" i="103" s="1"/>
  <c r="H6" i="103"/>
  <c r="G6" i="103"/>
  <c r="G38" i="103" s="1"/>
  <c r="F6" i="103"/>
  <c r="I5" i="103"/>
  <c r="I37" i="103" s="1"/>
  <c r="H5" i="103"/>
  <c r="H37" i="103" s="1"/>
  <c r="G5" i="103"/>
  <c r="F5" i="103"/>
  <c r="G37" i="103" s="1"/>
  <c r="I4" i="103"/>
  <c r="I36" i="103" s="1"/>
  <c r="H4" i="103"/>
  <c r="G4" i="103"/>
  <c r="G36" i="103" s="1"/>
  <c r="F4" i="103"/>
  <c r="I3" i="103"/>
  <c r="I35" i="103" s="1"/>
  <c r="H3" i="103"/>
  <c r="H35" i="103" s="1"/>
  <c r="G3" i="103"/>
  <c r="F3" i="103"/>
  <c r="G35" i="103" s="1"/>
  <c r="F12" i="103"/>
  <c r="AJ3" i="102"/>
  <c r="H15" i="104"/>
  <c r="G10" i="104"/>
  <c r="G7" i="104"/>
  <c r="I10" i="104"/>
  <c r="G13" i="104"/>
  <c r="G11" i="104"/>
  <c r="I4" i="104"/>
  <c r="I14" i="104"/>
  <c r="I7" i="104"/>
  <c r="G15" i="104"/>
  <c r="G14" i="104"/>
  <c r="G6" i="104"/>
  <c r="H16" i="104"/>
  <c r="G5" i="104"/>
  <c r="H7" i="104"/>
  <c r="H8" i="104"/>
  <c r="G8" i="104"/>
  <c r="I5" i="104"/>
  <c r="I8" i="104"/>
  <c r="H12" i="104"/>
  <c r="G4" i="104"/>
  <c r="H6" i="104"/>
  <c r="G9" i="104"/>
  <c r="H3" i="104"/>
  <c r="I11" i="104"/>
  <c r="G12" i="104"/>
  <c r="H14" i="104"/>
  <c r="H10" i="104"/>
  <c r="I9" i="104"/>
  <c r="I15" i="104"/>
  <c r="H4" i="104"/>
  <c r="I12" i="104"/>
  <c r="I13" i="104"/>
  <c r="I6" i="104"/>
  <c r="G3" i="104"/>
  <c r="I3" i="104"/>
  <c r="H13" i="104"/>
  <c r="I16" i="104"/>
  <c r="G16" i="104"/>
  <c r="H9" i="104"/>
  <c r="H5" i="104"/>
  <c r="H11" i="104"/>
  <c r="C102" i="105" l="1"/>
  <c r="C101" i="105"/>
  <c r="E101" i="105" s="1"/>
  <c r="G101" i="105" s="1"/>
  <c r="I101" i="105" s="1"/>
  <c r="L101" i="105" s="1"/>
  <c r="N101" i="105" s="1"/>
  <c r="M101" i="108" s="1"/>
  <c r="C100" i="105"/>
  <c r="E100" i="105" s="1"/>
  <c r="G100" i="105" s="1"/>
  <c r="I100" i="105" s="1"/>
  <c r="L100" i="105" s="1"/>
  <c r="N100" i="105" s="1"/>
  <c r="M100" i="108" s="1"/>
  <c r="C99" i="105"/>
  <c r="E99" i="105" s="1"/>
  <c r="G99" i="105" s="1"/>
  <c r="I99" i="105" s="1"/>
  <c r="L99" i="105" s="1"/>
  <c r="N99" i="105" s="1"/>
  <c r="M99" i="108" s="1"/>
  <c r="C86" i="105"/>
  <c r="C85" i="105"/>
  <c r="E85" i="105" s="1"/>
  <c r="G85" i="105" s="1"/>
  <c r="I85" i="105" s="1"/>
  <c r="L85" i="105" s="1"/>
  <c r="N85" i="105" s="1"/>
  <c r="M85" i="108" s="1"/>
  <c r="C84" i="105"/>
  <c r="E84" i="105" s="1"/>
  <c r="G84" i="105" s="1"/>
  <c r="I84" i="105" s="1"/>
  <c r="L84" i="105" s="1"/>
  <c r="N84" i="105" s="1"/>
  <c r="M84" i="108" s="1"/>
  <c r="C83" i="105"/>
  <c r="E83" i="105" s="1"/>
  <c r="G83" i="105" s="1"/>
  <c r="I83" i="105" s="1"/>
  <c r="L83" i="105" s="1"/>
  <c r="N83" i="105" s="1"/>
  <c r="M83" i="108" s="1"/>
  <c r="C70" i="105"/>
  <c r="C69" i="105"/>
  <c r="E69" i="105" s="1"/>
  <c r="G69" i="105" s="1"/>
  <c r="I69" i="105" s="1"/>
  <c r="L69" i="105" s="1"/>
  <c r="N69" i="105" s="1"/>
  <c r="M69" i="108" s="1"/>
  <c r="C68" i="105"/>
  <c r="E68" i="105" s="1"/>
  <c r="G68" i="105" s="1"/>
  <c r="I68" i="105" s="1"/>
  <c r="L68" i="105" s="1"/>
  <c r="N68" i="105" s="1"/>
  <c r="M68" i="108" s="1"/>
  <c r="C67" i="105"/>
  <c r="E67" i="105" s="1"/>
  <c r="G67" i="105" s="1"/>
  <c r="I67" i="105" s="1"/>
  <c r="L67" i="105" s="1"/>
  <c r="N67" i="105" s="1"/>
  <c r="M67" i="108" s="1"/>
  <c r="C54" i="105"/>
  <c r="C49" i="105"/>
  <c r="E49" i="105" s="1"/>
  <c r="G49" i="105" s="1"/>
  <c r="C48" i="105"/>
  <c r="E48" i="105" s="1"/>
  <c r="G48" i="105" s="1"/>
  <c r="C94" i="105"/>
  <c r="E94" i="105" s="1"/>
  <c r="G94" i="105" s="1"/>
  <c r="I94" i="105" s="1"/>
  <c r="L94" i="105" s="1"/>
  <c r="N94" i="105" s="1"/>
  <c r="M94" i="108" s="1"/>
  <c r="C93" i="105"/>
  <c r="C92" i="105"/>
  <c r="E92" i="105" s="1"/>
  <c r="G92" i="105" s="1"/>
  <c r="I92" i="105" s="1"/>
  <c r="L92" i="105" s="1"/>
  <c r="N92" i="105" s="1"/>
  <c r="M92" i="108" s="1"/>
  <c r="C91" i="105"/>
  <c r="E91" i="105" s="1"/>
  <c r="G91" i="105" s="1"/>
  <c r="I91" i="105" s="1"/>
  <c r="L91" i="105" s="1"/>
  <c r="N91" i="105" s="1"/>
  <c r="M91" i="108" s="1"/>
  <c r="C78" i="105"/>
  <c r="E78" i="105" s="1"/>
  <c r="G78" i="105" s="1"/>
  <c r="I78" i="105" s="1"/>
  <c r="L78" i="105" s="1"/>
  <c r="N78" i="105" s="1"/>
  <c r="M78" i="108" s="1"/>
  <c r="C77" i="105"/>
  <c r="C76" i="105"/>
  <c r="E76" i="105" s="1"/>
  <c r="G76" i="105" s="1"/>
  <c r="I76" i="105" s="1"/>
  <c r="L76" i="105" s="1"/>
  <c r="N76" i="105" s="1"/>
  <c r="M76" i="108" s="1"/>
  <c r="C75" i="105"/>
  <c r="E75" i="105" s="1"/>
  <c r="G75" i="105" s="1"/>
  <c r="I75" i="105" s="1"/>
  <c r="L75" i="105" s="1"/>
  <c r="N75" i="105" s="1"/>
  <c r="M75" i="108" s="1"/>
  <c r="C62" i="105"/>
  <c r="E62" i="105" s="1"/>
  <c r="G62" i="105" s="1"/>
  <c r="I62" i="105" s="1"/>
  <c r="L62" i="105" s="1"/>
  <c r="N62" i="105" s="1"/>
  <c r="M62" i="108" s="1"/>
  <c r="C61" i="105"/>
  <c r="C60" i="105"/>
  <c r="E60" i="105" s="1"/>
  <c r="G60" i="105" s="1"/>
  <c r="I60" i="105" s="1"/>
  <c r="L60" i="105" s="1"/>
  <c r="N60" i="105" s="1"/>
  <c r="M60" i="108" s="1"/>
  <c r="C59" i="105"/>
  <c r="E59" i="105" s="1"/>
  <c r="G59" i="105" s="1"/>
  <c r="I59" i="105" s="1"/>
  <c r="L59" i="105" s="1"/>
  <c r="N59" i="105" s="1"/>
  <c r="M59" i="108" s="1"/>
  <c r="C52" i="105"/>
  <c r="E52" i="105" s="1"/>
  <c r="G52" i="105" s="1"/>
  <c r="C96" i="105"/>
  <c r="E96" i="105" s="1"/>
  <c r="G96" i="105" s="1"/>
  <c r="I96" i="105" s="1"/>
  <c r="C87" i="105"/>
  <c r="E87" i="105" s="1"/>
  <c r="G87" i="105" s="1"/>
  <c r="I87" i="105" s="1"/>
  <c r="L87" i="105" s="1"/>
  <c r="N87" i="105" s="1"/>
  <c r="M87" i="108" s="1"/>
  <c r="C82" i="105"/>
  <c r="E82" i="105" s="1"/>
  <c r="G82" i="105" s="1"/>
  <c r="I82" i="105" s="1"/>
  <c r="L82" i="105" s="1"/>
  <c r="N82" i="105" s="1"/>
  <c r="M82" i="108" s="1"/>
  <c r="C73" i="105"/>
  <c r="E73" i="105" s="1"/>
  <c r="G73" i="105" s="1"/>
  <c r="I73" i="105" s="1"/>
  <c r="L73" i="105" s="1"/>
  <c r="N73" i="105" s="1"/>
  <c r="M73" i="108" s="1"/>
  <c r="C64" i="105"/>
  <c r="E64" i="105" s="1"/>
  <c r="G64" i="105" s="1"/>
  <c r="I64" i="105" s="1"/>
  <c r="C55" i="105"/>
  <c r="E55" i="105" s="1"/>
  <c r="G55" i="105" s="1"/>
  <c r="I55" i="105" s="1"/>
  <c r="L55" i="105" s="1"/>
  <c r="N55" i="105" s="1"/>
  <c r="M55" i="108" s="1"/>
  <c r="C50" i="105"/>
  <c r="E50" i="105" s="1"/>
  <c r="G50" i="105" s="1"/>
  <c r="C47" i="105"/>
  <c r="E47" i="105" s="1"/>
  <c r="G47" i="105" s="1"/>
  <c r="C46" i="105"/>
  <c r="C40" i="105"/>
  <c r="E40" i="105" s="1"/>
  <c r="G40" i="105" s="1"/>
  <c r="C35" i="105"/>
  <c r="E35" i="105" s="1"/>
  <c r="G35" i="105" s="1"/>
  <c r="C34" i="105"/>
  <c r="E34" i="105" s="1"/>
  <c r="G34" i="105" s="1"/>
  <c r="C22" i="105"/>
  <c r="C21" i="105"/>
  <c r="E21" i="105" s="1"/>
  <c r="G21" i="105" s="1"/>
  <c r="I21" i="105" s="1"/>
  <c r="L21" i="105" s="1"/>
  <c r="N21" i="105" s="1"/>
  <c r="M21" i="108" s="1"/>
  <c r="C20" i="105"/>
  <c r="E20" i="105" s="1"/>
  <c r="G20" i="105" s="1"/>
  <c r="I20" i="105" s="1"/>
  <c r="L20" i="105" s="1"/>
  <c r="N20" i="105" s="1"/>
  <c r="M20" i="108" s="1"/>
  <c r="C19" i="105"/>
  <c r="E19" i="105" s="1"/>
  <c r="G19" i="105" s="1"/>
  <c r="I19" i="105" s="1"/>
  <c r="L19" i="105" s="1"/>
  <c r="N19" i="105" s="1"/>
  <c r="M19" i="108" s="1"/>
  <c r="C14" i="105"/>
  <c r="C13" i="105"/>
  <c r="E13" i="105" s="1"/>
  <c r="G13" i="105" s="1"/>
  <c r="I13" i="105" s="1"/>
  <c r="L13" i="105" s="1"/>
  <c r="N13" i="105" s="1"/>
  <c r="M13" i="108" s="1"/>
  <c r="C90" i="105"/>
  <c r="E90" i="105" s="1"/>
  <c r="G90" i="105" s="1"/>
  <c r="I90" i="105" s="1"/>
  <c r="L90" i="105" s="1"/>
  <c r="N90" i="105" s="1"/>
  <c r="M90" i="108" s="1"/>
  <c r="C63" i="105"/>
  <c r="E63" i="105" s="1"/>
  <c r="G63" i="105" s="1"/>
  <c r="I63" i="105" s="1"/>
  <c r="L63" i="105" s="1"/>
  <c r="N63" i="105" s="1"/>
  <c r="M63" i="108" s="1"/>
  <c r="C44" i="105"/>
  <c r="E44" i="105" s="1"/>
  <c r="G44" i="105" s="1"/>
  <c r="C39" i="105"/>
  <c r="E39" i="105" s="1"/>
  <c r="G39" i="105" s="1"/>
  <c r="C32" i="105"/>
  <c r="E32" i="105" s="1"/>
  <c r="G32" i="105" s="1"/>
  <c r="C26" i="105"/>
  <c r="E26" i="105" s="1"/>
  <c r="G26" i="105" s="1"/>
  <c r="I26" i="105" s="1"/>
  <c r="L26" i="105" s="1"/>
  <c r="N26" i="105" s="1"/>
  <c r="M26" i="108" s="1"/>
  <c r="C25" i="105"/>
  <c r="C23" i="105"/>
  <c r="E23" i="105" s="1"/>
  <c r="G23" i="105" s="1"/>
  <c r="I23" i="105" s="1"/>
  <c r="L23" i="105" s="1"/>
  <c r="N23" i="105" s="1"/>
  <c r="M23" i="108" s="1"/>
  <c r="C5" i="105"/>
  <c r="E5" i="105" s="1"/>
  <c r="G5" i="105" s="1"/>
  <c r="I5" i="105" s="1"/>
  <c r="L5" i="105" s="1"/>
  <c r="N5" i="105" s="1"/>
  <c r="M5" i="108" s="1"/>
  <c r="C97" i="105"/>
  <c r="E97" i="105" s="1"/>
  <c r="G97" i="105" s="1"/>
  <c r="I97" i="105" s="1"/>
  <c r="L97" i="105" s="1"/>
  <c r="N97" i="105" s="1"/>
  <c r="M97" i="108" s="1"/>
  <c r="C88" i="105"/>
  <c r="E88" i="105" s="1"/>
  <c r="G88" i="105" s="1"/>
  <c r="I88" i="105" s="1"/>
  <c r="C79" i="105"/>
  <c r="C74" i="105"/>
  <c r="E74" i="105" s="1"/>
  <c r="G74" i="105" s="1"/>
  <c r="I74" i="105" s="1"/>
  <c r="L74" i="105" s="1"/>
  <c r="N74" i="105" s="1"/>
  <c r="M74" i="108" s="1"/>
  <c r="C65" i="105"/>
  <c r="E65" i="105" s="1"/>
  <c r="G65" i="105" s="1"/>
  <c r="I65" i="105" s="1"/>
  <c r="L65" i="105" s="1"/>
  <c r="N65" i="105" s="1"/>
  <c r="M65" i="108" s="1"/>
  <c r="C56" i="105"/>
  <c r="E56" i="105" s="1"/>
  <c r="G56" i="105" s="1"/>
  <c r="I56" i="105" s="1"/>
  <c r="C53" i="105"/>
  <c r="E53" i="105" s="1"/>
  <c r="G53" i="105" s="1"/>
  <c r="C51" i="105"/>
  <c r="E51" i="105" s="1"/>
  <c r="G51" i="105" s="1"/>
  <c r="C41" i="105"/>
  <c r="E41" i="105" s="1"/>
  <c r="G41" i="105" s="1"/>
  <c r="C36" i="105"/>
  <c r="E36" i="105" s="1"/>
  <c r="G36" i="105" s="1"/>
  <c r="C29" i="105"/>
  <c r="E29" i="105" s="1"/>
  <c r="G29" i="105" s="1"/>
  <c r="C18" i="105"/>
  <c r="E18" i="105" s="1"/>
  <c r="G18" i="105" s="1"/>
  <c r="I18" i="105" s="1"/>
  <c r="L18" i="105" s="1"/>
  <c r="N18" i="105" s="1"/>
  <c r="M18" i="108" s="1"/>
  <c r="C17" i="105"/>
  <c r="E17" i="105" s="1"/>
  <c r="G17" i="105" s="1"/>
  <c r="I17" i="105" s="1"/>
  <c r="L17" i="105" s="1"/>
  <c r="N17" i="105" s="1"/>
  <c r="M17" i="108" s="1"/>
  <c r="C12" i="105"/>
  <c r="E12" i="105" s="1"/>
  <c r="G12" i="105" s="1"/>
  <c r="I12" i="105" s="1"/>
  <c r="C11" i="105"/>
  <c r="E11" i="105" s="1"/>
  <c r="G11" i="105" s="1"/>
  <c r="I11" i="105" s="1"/>
  <c r="L11" i="105" s="1"/>
  <c r="N11" i="105" s="1"/>
  <c r="M11" i="108" s="1"/>
  <c r="C103" i="105"/>
  <c r="C98" i="105"/>
  <c r="E98" i="105" s="1"/>
  <c r="G98" i="105" s="1"/>
  <c r="I98" i="105" s="1"/>
  <c r="L98" i="105" s="1"/>
  <c r="N98" i="105" s="1"/>
  <c r="M98" i="108" s="1"/>
  <c r="C89" i="105"/>
  <c r="C80" i="105"/>
  <c r="E80" i="105" s="1"/>
  <c r="G80" i="105" s="1"/>
  <c r="I80" i="105" s="1"/>
  <c r="L80" i="105" s="1"/>
  <c r="N80" i="105" s="1"/>
  <c r="M80" i="108" s="1"/>
  <c r="C71" i="105"/>
  <c r="E71" i="105" s="1"/>
  <c r="G71" i="105" s="1"/>
  <c r="I71" i="105" s="1"/>
  <c r="L71" i="105" s="1"/>
  <c r="N71" i="105" s="1"/>
  <c r="M71" i="108" s="1"/>
  <c r="C66" i="105"/>
  <c r="E66" i="105" s="1"/>
  <c r="G66" i="105" s="1"/>
  <c r="I66" i="105" s="1"/>
  <c r="L66" i="105" s="1"/>
  <c r="N66" i="105" s="1"/>
  <c r="M66" i="108" s="1"/>
  <c r="C57" i="105"/>
  <c r="C43" i="105"/>
  <c r="E43" i="105" s="1"/>
  <c r="G43" i="105" s="1"/>
  <c r="C42" i="105"/>
  <c r="E42" i="105" s="1"/>
  <c r="G42" i="105" s="1"/>
  <c r="C37" i="105"/>
  <c r="E37" i="105" s="1"/>
  <c r="G37" i="105" s="1"/>
  <c r="C31" i="105"/>
  <c r="C30" i="105"/>
  <c r="E30" i="105" s="1"/>
  <c r="G30" i="105" s="1"/>
  <c r="C28" i="105"/>
  <c r="E28" i="105" s="1"/>
  <c r="G28" i="105" s="1"/>
  <c r="I28" i="105" s="1"/>
  <c r="L28" i="105" s="1"/>
  <c r="N28" i="105" s="1"/>
  <c r="M28" i="108" s="1"/>
  <c r="C27" i="105"/>
  <c r="E27" i="105" s="1"/>
  <c r="G27" i="105" s="1"/>
  <c r="I27" i="105" s="1"/>
  <c r="L27" i="105" s="1"/>
  <c r="N27" i="105" s="1"/>
  <c r="M27" i="108" s="1"/>
  <c r="C16" i="105"/>
  <c r="E16" i="105" s="1"/>
  <c r="G16" i="105" s="1"/>
  <c r="I16" i="105" s="1"/>
  <c r="C15" i="105"/>
  <c r="E15" i="105" s="1"/>
  <c r="G15" i="105" s="1"/>
  <c r="I15" i="105" s="1"/>
  <c r="L15" i="105" s="1"/>
  <c r="N15" i="105" s="1"/>
  <c r="M15" i="108" s="1"/>
  <c r="C10" i="105"/>
  <c r="E10" i="105" s="1"/>
  <c r="G10" i="105" s="1"/>
  <c r="I10" i="105" s="1"/>
  <c r="L10" i="105" s="1"/>
  <c r="N10" i="105" s="1"/>
  <c r="M10" i="108" s="1"/>
  <c r="C9" i="105"/>
  <c r="E9" i="105" s="1"/>
  <c r="G9" i="105" s="1"/>
  <c r="I9" i="105" s="1"/>
  <c r="L9" i="105" s="1"/>
  <c r="N9" i="105" s="1"/>
  <c r="M9" i="108" s="1"/>
  <c r="C8" i="105"/>
  <c r="E8" i="105" s="1"/>
  <c r="G8" i="105" s="1"/>
  <c r="I8" i="105" s="1"/>
  <c r="C7" i="105"/>
  <c r="E7" i="105" s="1"/>
  <c r="G7" i="105" s="1"/>
  <c r="I7" i="105" s="1"/>
  <c r="L7" i="105" s="1"/>
  <c r="N7" i="105" s="1"/>
  <c r="M7" i="108" s="1"/>
  <c r="C4" i="105"/>
  <c r="E4" i="105" s="1"/>
  <c r="G4" i="105" s="1"/>
  <c r="I4" i="105" s="1"/>
  <c r="L4" i="105" s="1"/>
  <c r="N4" i="105" s="1"/>
  <c r="M4" i="108" s="1"/>
  <c r="C95" i="105"/>
  <c r="E95" i="105" s="1"/>
  <c r="G95" i="105" s="1"/>
  <c r="I95" i="105" s="1"/>
  <c r="L95" i="105" s="1"/>
  <c r="N95" i="105" s="1"/>
  <c r="M95" i="108" s="1"/>
  <c r="C81" i="105"/>
  <c r="C72" i="105"/>
  <c r="E72" i="105" s="1"/>
  <c r="G72" i="105" s="1"/>
  <c r="I72" i="105" s="1"/>
  <c r="L72" i="105" s="1"/>
  <c r="N72" i="105" s="1"/>
  <c r="M72" i="108" s="1"/>
  <c r="C58" i="105"/>
  <c r="E58" i="105" s="1"/>
  <c r="G58" i="105" s="1"/>
  <c r="I58" i="105" s="1"/>
  <c r="L58" i="105" s="1"/>
  <c r="N58" i="105" s="1"/>
  <c r="M58" i="108" s="1"/>
  <c r="C45" i="105"/>
  <c r="E45" i="105" s="1"/>
  <c r="G45" i="105" s="1"/>
  <c r="C38" i="105"/>
  <c r="E38" i="105" s="1"/>
  <c r="G38" i="105" s="1"/>
  <c r="C33" i="105"/>
  <c r="E33" i="105" s="1"/>
  <c r="G33" i="105" s="1"/>
  <c r="C24" i="105"/>
  <c r="E24" i="105" s="1"/>
  <c r="G24" i="105" s="1"/>
  <c r="I24" i="105" s="1"/>
  <c r="L24" i="105" s="1"/>
  <c r="N24" i="105" s="1"/>
  <c r="M24" i="108" s="1"/>
  <c r="C6" i="105"/>
  <c r="E6" i="105" s="1"/>
  <c r="G6" i="105" s="1"/>
  <c r="I6" i="105" s="1"/>
  <c r="L6" i="105" s="1"/>
  <c r="N6" i="105" s="1"/>
  <c r="M6" i="108" s="1"/>
  <c r="E14" i="105"/>
  <c r="G14" i="105" s="1"/>
  <c r="I14" i="105" s="1"/>
  <c r="E25" i="105"/>
  <c r="G25" i="105" s="1"/>
  <c r="I25" i="105" s="1"/>
  <c r="L25" i="105" s="1"/>
  <c r="N25" i="105" s="1"/>
  <c r="M25" i="108" s="1"/>
  <c r="E103" i="105"/>
  <c r="G103" i="105" s="1"/>
  <c r="I103" i="105" s="1"/>
  <c r="L103" i="105" s="1"/>
  <c r="N103" i="105" s="1"/>
  <c r="M103" i="108" s="1"/>
  <c r="E70" i="105"/>
  <c r="G70" i="105" s="1"/>
  <c r="I70" i="105" s="1"/>
  <c r="L70" i="105" s="1"/>
  <c r="N70" i="105" s="1"/>
  <c r="M70" i="108" s="1"/>
  <c r="E46" i="105"/>
  <c r="G46" i="105" s="1"/>
  <c r="C52" i="108"/>
  <c r="C48" i="108"/>
  <c r="C44" i="108"/>
  <c r="C40" i="108"/>
  <c r="C36" i="108"/>
  <c r="C32" i="108"/>
  <c r="C53" i="108"/>
  <c r="C49" i="108"/>
  <c r="C45" i="108"/>
  <c r="C41" i="108"/>
  <c r="C37" i="108"/>
  <c r="C33" i="108"/>
  <c r="C29" i="108"/>
  <c r="C28" i="108"/>
  <c r="C27" i="108"/>
  <c r="C26" i="108"/>
  <c r="C25" i="108"/>
  <c r="C24" i="108"/>
  <c r="C23" i="108"/>
  <c r="C22" i="108"/>
  <c r="C21" i="108"/>
  <c r="C20" i="108"/>
  <c r="C19" i="108"/>
  <c r="C18" i="108"/>
  <c r="C17" i="108"/>
  <c r="C16" i="108"/>
  <c r="C15" i="108"/>
  <c r="C14" i="108"/>
  <c r="C13" i="108"/>
  <c r="C12" i="108"/>
  <c r="C11" i="108"/>
  <c r="C10" i="108"/>
  <c r="C101" i="108"/>
  <c r="C97" i="108"/>
  <c r="C93" i="108"/>
  <c r="C89" i="108"/>
  <c r="C85" i="108"/>
  <c r="C81" i="108"/>
  <c r="C77" i="108"/>
  <c r="C73" i="108"/>
  <c r="C69" i="108"/>
  <c r="C65" i="108"/>
  <c r="C61" i="108"/>
  <c r="C57" i="108"/>
  <c r="C103" i="108"/>
  <c r="C99" i="108"/>
  <c r="C95" i="108"/>
  <c r="C91" i="108"/>
  <c r="C87" i="108"/>
  <c r="C83" i="108"/>
  <c r="C79" i="108"/>
  <c r="C75" i="108"/>
  <c r="C71" i="108"/>
  <c r="C67" i="108"/>
  <c r="C63" i="108"/>
  <c r="C59" i="108"/>
  <c r="C55" i="108"/>
  <c r="C102" i="108"/>
  <c r="C94" i="108"/>
  <c r="C86" i="108"/>
  <c r="C78" i="108"/>
  <c r="C70" i="108"/>
  <c r="C62" i="108"/>
  <c r="C54" i="108"/>
  <c r="C51" i="108"/>
  <c r="C46" i="108"/>
  <c r="C43" i="108"/>
  <c r="C38" i="108"/>
  <c r="C35" i="108"/>
  <c r="C30" i="108"/>
  <c r="C7" i="108"/>
  <c r="C80" i="108"/>
  <c r="C72" i="108"/>
  <c r="C56" i="108"/>
  <c r="C100" i="108"/>
  <c r="C92" i="108"/>
  <c r="C84" i="108"/>
  <c r="C76" i="108"/>
  <c r="C68" i="108"/>
  <c r="C60" i="108"/>
  <c r="C8" i="108"/>
  <c r="C4" i="108"/>
  <c r="C98" i="108"/>
  <c r="C90" i="108"/>
  <c r="C82" i="108"/>
  <c r="C74" i="108"/>
  <c r="C66" i="108"/>
  <c r="C58" i="108"/>
  <c r="C50" i="108"/>
  <c r="C47" i="108"/>
  <c r="C42" i="108"/>
  <c r="C39" i="108"/>
  <c r="C34" i="108"/>
  <c r="C31" i="108"/>
  <c r="C9" i="108"/>
  <c r="C5" i="108"/>
  <c r="C96" i="108"/>
  <c r="C88" i="108"/>
  <c r="C64" i="108"/>
  <c r="C6" i="108"/>
  <c r="E77" i="105"/>
  <c r="G77" i="105" s="1"/>
  <c r="I77" i="105" s="1"/>
  <c r="L77" i="105" s="1"/>
  <c r="N77" i="105" s="1"/>
  <c r="M77" i="108" s="1"/>
  <c r="E31" i="105"/>
  <c r="G31" i="105" s="1"/>
  <c r="E22" i="105"/>
  <c r="G22" i="105" s="1"/>
  <c r="I22" i="105" s="1"/>
  <c r="L22" i="105" s="1"/>
  <c r="N22" i="105" s="1"/>
  <c r="M22" i="108" s="1"/>
  <c r="E81" i="105"/>
  <c r="G81" i="105" s="1"/>
  <c r="I81" i="105" s="1"/>
  <c r="L81" i="105" s="1"/>
  <c r="N81" i="105" s="1"/>
  <c r="M81" i="108" s="1"/>
  <c r="E102" i="105"/>
  <c r="G102" i="105" s="1"/>
  <c r="I102" i="105" s="1"/>
  <c r="L102" i="105" s="1"/>
  <c r="N102" i="105" s="1"/>
  <c r="M102" i="108" s="1"/>
  <c r="E79" i="105"/>
  <c r="G79" i="105" s="1"/>
  <c r="I79" i="105" s="1"/>
  <c r="L79" i="105" s="1"/>
  <c r="N79" i="105" s="1"/>
  <c r="M79" i="108" s="1"/>
  <c r="E54" i="105"/>
  <c r="G54" i="105" s="1"/>
  <c r="I54" i="105" s="1"/>
  <c r="L54" i="105" s="1"/>
  <c r="N54" i="105" s="1"/>
  <c r="M54" i="108" s="1"/>
  <c r="E86" i="105"/>
  <c r="G86" i="105" s="1"/>
  <c r="I86" i="105" s="1"/>
  <c r="L86" i="105" s="1"/>
  <c r="N86" i="105" s="1"/>
  <c r="M86" i="108" s="1"/>
  <c r="E61" i="105"/>
  <c r="G61" i="105" s="1"/>
  <c r="I61" i="105" s="1"/>
  <c r="L61" i="105" s="1"/>
  <c r="N61" i="105" s="1"/>
  <c r="M61" i="108" s="1"/>
  <c r="E93" i="105"/>
  <c r="G93" i="105" s="1"/>
  <c r="I93" i="105" s="1"/>
  <c r="L93" i="105" s="1"/>
  <c r="N93" i="105" s="1"/>
  <c r="M93" i="108" s="1"/>
  <c r="E57" i="105"/>
  <c r="G57" i="105" s="1"/>
  <c r="I57" i="105" s="1"/>
  <c r="L57" i="105" s="1"/>
  <c r="N57" i="105" s="1"/>
  <c r="M57" i="108" s="1"/>
  <c r="E89" i="105"/>
  <c r="G89" i="105" s="1"/>
  <c r="I89" i="105" s="1"/>
  <c r="L89" i="105" s="1"/>
  <c r="N89" i="105" s="1"/>
  <c r="M89" i="108" s="1"/>
  <c r="R102" i="105"/>
  <c r="R98" i="105"/>
  <c r="R90" i="105"/>
  <c r="R86" i="105"/>
  <c r="R82" i="105"/>
  <c r="R78" i="105"/>
  <c r="R70" i="105"/>
  <c r="R66" i="105"/>
  <c r="R62" i="105"/>
  <c r="R58" i="105"/>
  <c r="R50" i="105"/>
  <c r="R46" i="105"/>
  <c r="R42" i="105"/>
  <c r="R38" i="105"/>
  <c r="R30" i="105"/>
  <c r="R26" i="105"/>
  <c r="R22" i="105"/>
  <c r="R18" i="105"/>
  <c r="R10" i="105"/>
  <c r="R6" i="105"/>
  <c r="R101" i="105"/>
  <c r="R97" i="105"/>
  <c r="R93" i="105"/>
  <c r="R85" i="105"/>
  <c r="R81" i="105"/>
  <c r="R77" i="105"/>
  <c r="R73" i="105"/>
  <c r="R65" i="105"/>
  <c r="R61" i="105"/>
  <c r="R57" i="105"/>
  <c r="R100" i="105"/>
  <c r="R88" i="105"/>
  <c r="R80" i="105"/>
  <c r="R68" i="105"/>
  <c r="R60" i="105"/>
  <c r="R92" i="105"/>
  <c r="R87" i="105"/>
  <c r="R72" i="105"/>
  <c r="R67" i="105"/>
  <c r="R53" i="105"/>
  <c r="R48" i="105"/>
  <c r="R43" i="105"/>
  <c r="R37" i="105"/>
  <c r="R33" i="105"/>
  <c r="R28" i="105"/>
  <c r="R23" i="105"/>
  <c r="R17" i="105"/>
  <c r="R13" i="105"/>
  <c r="R8" i="105"/>
  <c r="R96" i="105"/>
  <c r="R71" i="105"/>
  <c r="R56" i="105"/>
  <c r="R47" i="105"/>
  <c r="R36" i="105"/>
  <c r="R27" i="105"/>
  <c r="R16" i="105"/>
  <c r="R7" i="105"/>
  <c r="R95" i="105"/>
  <c r="R83" i="105"/>
  <c r="R75" i="105"/>
  <c r="R63" i="105"/>
  <c r="R55" i="105"/>
  <c r="R51" i="105"/>
  <c r="R45" i="105"/>
  <c r="R40" i="105"/>
  <c r="R35" i="105"/>
  <c r="R31" i="105"/>
  <c r="R25" i="105"/>
  <c r="R20" i="105"/>
  <c r="R15" i="105"/>
  <c r="R11" i="105"/>
  <c r="R5" i="105"/>
  <c r="R91" i="105"/>
  <c r="R76" i="105"/>
  <c r="R52" i="105"/>
  <c r="R41" i="105"/>
  <c r="R32" i="105"/>
  <c r="R21" i="105"/>
  <c r="R12" i="105"/>
  <c r="R103" i="105"/>
  <c r="L8" i="105"/>
  <c r="N8" i="105" s="1"/>
  <c r="M8" i="108" s="1"/>
  <c r="L88" i="105"/>
  <c r="N88" i="105" s="1"/>
  <c r="M88" i="108" s="1"/>
  <c r="L12" i="105"/>
  <c r="N12" i="105" s="1"/>
  <c r="M12" i="108" s="1"/>
  <c r="L16" i="105"/>
  <c r="N16" i="105" s="1"/>
  <c r="M16" i="108" s="1"/>
  <c r="L56" i="105"/>
  <c r="N56" i="105" s="1"/>
  <c r="M56" i="108" s="1"/>
  <c r="L96" i="105"/>
  <c r="N96" i="105" s="1"/>
  <c r="M96" i="108" s="1"/>
  <c r="L14" i="105"/>
  <c r="N14" i="105" s="1"/>
  <c r="M14" i="108" s="1"/>
  <c r="L64" i="105"/>
  <c r="N64" i="105" s="1"/>
  <c r="M64" i="108" s="1"/>
  <c r="G19" i="104"/>
  <c r="G21" i="104"/>
  <c r="I23" i="104"/>
  <c r="H26" i="104"/>
  <c r="I31" i="104"/>
  <c r="G20" i="104"/>
  <c r="H21" i="104"/>
  <c r="I22" i="104"/>
  <c r="G24" i="104"/>
  <c r="H25" i="104"/>
  <c r="I26" i="104"/>
  <c r="G28" i="104"/>
  <c r="AP16" i="102"/>
  <c r="H29" i="104"/>
  <c r="I30" i="104"/>
  <c r="G32" i="104"/>
  <c r="I19" i="104"/>
  <c r="G25" i="104"/>
  <c r="I27" i="104"/>
  <c r="H30" i="104"/>
  <c r="H20" i="104"/>
  <c r="I21" i="104"/>
  <c r="G23" i="104"/>
  <c r="H24" i="104"/>
  <c r="I25" i="104"/>
  <c r="G27" i="104"/>
  <c r="H28" i="104"/>
  <c r="AQ16" i="102"/>
  <c r="I29" i="104"/>
  <c r="G31" i="104"/>
  <c r="H32" i="104"/>
  <c r="H22" i="104"/>
  <c r="G29" i="104"/>
  <c r="H19" i="104"/>
  <c r="I20" i="104"/>
  <c r="G22" i="104"/>
  <c r="H23" i="104"/>
  <c r="I24" i="104"/>
  <c r="G26" i="104"/>
  <c r="H27" i="104"/>
  <c r="AR16" i="102"/>
  <c r="I28" i="104"/>
  <c r="G30" i="104"/>
  <c r="H31" i="104"/>
  <c r="I32" i="104"/>
  <c r="J72" i="103"/>
  <c r="G44" i="103"/>
  <c r="G45" i="103"/>
  <c r="G47" i="103"/>
  <c r="J38" i="103"/>
  <c r="M44" i="103"/>
  <c r="K46" i="103"/>
  <c r="L46" i="103"/>
  <c r="J43" i="103"/>
  <c r="J36" i="103"/>
  <c r="N36" i="103"/>
  <c r="J40" i="103"/>
  <c r="N40" i="103"/>
  <c r="N44" i="103"/>
  <c r="J39" i="103"/>
  <c r="L40" i="103"/>
  <c r="P21" i="103"/>
  <c r="P5" i="103" s="1"/>
  <c r="P25" i="103"/>
  <c r="P9" i="103" s="1"/>
  <c r="K44" i="103"/>
  <c r="L44" i="103"/>
  <c r="P29" i="103"/>
  <c r="P13" i="103" s="1"/>
  <c r="K48" i="103"/>
  <c r="L48" i="103"/>
  <c r="L36" i="103"/>
  <c r="G46" i="103"/>
  <c r="G48" i="103"/>
  <c r="K35" i="103"/>
  <c r="J42" i="103"/>
  <c r="L38" i="103"/>
  <c r="P23" i="103"/>
  <c r="P7" i="103" s="1"/>
  <c r="P39" i="103" s="1"/>
  <c r="P27" i="103"/>
  <c r="P11" i="103" s="1"/>
  <c r="P31" i="103"/>
  <c r="P15" i="103" s="1"/>
  <c r="O20" i="103"/>
  <c r="O4" i="103" s="1"/>
  <c r="O36" i="103" s="1"/>
  <c r="O26" i="103"/>
  <c r="O10" i="103" s="1"/>
  <c r="O42" i="103" s="1"/>
  <c r="O30" i="103"/>
  <c r="O14" i="103" s="1"/>
  <c r="O46" i="103" s="1"/>
  <c r="P20" i="103"/>
  <c r="P4" i="103" s="1"/>
  <c r="P36" i="103" s="1"/>
  <c r="P22" i="103"/>
  <c r="P6" i="103" s="1"/>
  <c r="P24" i="103"/>
  <c r="P8" i="103" s="1"/>
  <c r="P26" i="103"/>
  <c r="P10" i="103" s="1"/>
  <c r="P42" i="103" s="1"/>
  <c r="P28" i="103"/>
  <c r="P12" i="103" s="1"/>
  <c r="P30" i="103"/>
  <c r="P14" i="103" s="1"/>
  <c r="P32" i="103"/>
  <c r="P16" i="103" s="1"/>
  <c r="P48" i="103" s="1"/>
  <c r="O22" i="103"/>
  <c r="O6" i="103" s="1"/>
  <c r="O38" i="103" s="1"/>
  <c r="O28" i="103"/>
  <c r="O12" i="103" s="1"/>
  <c r="O21" i="103"/>
  <c r="O5" i="103" s="1"/>
  <c r="O23" i="103"/>
  <c r="O7" i="103" s="1"/>
  <c r="O39" i="103" s="1"/>
  <c r="O25" i="103"/>
  <c r="O9" i="103" s="1"/>
  <c r="O41" i="103" s="1"/>
  <c r="O27" i="103"/>
  <c r="O11" i="103" s="1"/>
  <c r="O29" i="103"/>
  <c r="O13" i="103" s="1"/>
  <c r="O31" i="103"/>
  <c r="O15" i="103" s="1"/>
  <c r="O47" i="103" s="1"/>
  <c r="N3" i="103"/>
  <c r="N35" i="103" s="1"/>
  <c r="N7" i="103"/>
  <c r="N39" i="103" s="1"/>
  <c r="N11" i="103"/>
  <c r="N43" i="103" s="1"/>
  <c r="N15" i="103"/>
  <c r="N47" i="103" s="1"/>
  <c r="O24" i="103"/>
  <c r="O8" i="103" s="1"/>
  <c r="O40" i="103" s="1"/>
  <c r="N5" i="103"/>
  <c r="N37" i="103" s="1"/>
  <c r="N9" i="103"/>
  <c r="N41" i="103" s="1"/>
  <c r="N13" i="103"/>
  <c r="N45" i="103" s="1"/>
  <c r="D53" i="108" l="1"/>
  <c r="E53" i="108" s="1"/>
  <c r="G53" i="108" s="1"/>
  <c r="D49" i="108"/>
  <c r="E49" i="108" s="1"/>
  <c r="G49" i="108" s="1"/>
  <c r="D45" i="108"/>
  <c r="E45" i="108" s="1"/>
  <c r="G45" i="108" s="1"/>
  <c r="D41" i="108"/>
  <c r="E41" i="108" s="1"/>
  <c r="G41" i="108" s="1"/>
  <c r="D37" i="108"/>
  <c r="E37" i="108" s="1"/>
  <c r="G37" i="108" s="1"/>
  <c r="D33" i="108"/>
  <c r="E33" i="108" s="1"/>
  <c r="G33" i="108" s="1"/>
  <c r="D29" i="108"/>
  <c r="E29" i="108" s="1"/>
  <c r="G29" i="108" s="1"/>
  <c r="D28" i="108"/>
  <c r="E28" i="108" s="1"/>
  <c r="G28" i="108" s="1"/>
  <c r="I28" i="108" s="1"/>
  <c r="L28" i="108" s="1"/>
  <c r="D27" i="108"/>
  <c r="E27" i="108" s="1"/>
  <c r="G27" i="108" s="1"/>
  <c r="I27" i="108" s="1"/>
  <c r="L27" i="108" s="1"/>
  <c r="D26" i="108"/>
  <c r="E26" i="108" s="1"/>
  <c r="G26" i="108" s="1"/>
  <c r="I26" i="108" s="1"/>
  <c r="L26" i="108" s="1"/>
  <c r="D25" i="108"/>
  <c r="E25" i="108" s="1"/>
  <c r="G25" i="108" s="1"/>
  <c r="I25" i="108" s="1"/>
  <c r="L25" i="108" s="1"/>
  <c r="D24" i="108"/>
  <c r="E24" i="108" s="1"/>
  <c r="G24" i="108" s="1"/>
  <c r="I24" i="108" s="1"/>
  <c r="L24" i="108" s="1"/>
  <c r="D23" i="108"/>
  <c r="E23" i="108" s="1"/>
  <c r="G23" i="108" s="1"/>
  <c r="I23" i="108" s="1"/>
  <c r="D22" i="108"/>
  <c r="E22" i="108" s="1"/>
  <c r="G22" i="108" s="1"/>
  <c r="I22" i="108" s="1"/>
  <c r="D21" i="108"/>
  <c r="E21" i="108" s="1"/>
  <c r="G21" i="108" s="1"/>
  <c r="I21" i="108" s="1"/>
  <c r="L21" i="108" s="1"/>
  <c r="D20" i="108"/>
  <c r="E20" i="108" s="1"/>
  <c r="G20" i="108" s="1"/>
  <c r="I20" i="108" s="1"/>
  <c r="L20" i="108" s="1"/>
  <c r="D19" i="108"/>
  <c r="E19" i="108" s="1"/>
  <c r="G19" i="108" s="1"/>
  <c r="I19" i="108" s="1"/>
  <c r="D18" i="108"/>
  <c r="E18" i="108" s="1"/>
  <c r="G18" i="108" s="1"/>
  <c r="I18" i="108" s="1"/>
  <c r="D17" i="108"/>
  <c r="E17" i="108" s="1"/>
  <c r="G17" i="108" s="1"/>
  <c r="I17" i="108" s="1"/>
  <c r="L17" i="108" s="1"/>
  <c r="D16" i="108"/>
  <c r="E16" i="108" s="1"/>
  <c r="G16" i="108" s="1"/>
  <c r="I16" i="108" s="1"/>
  <c r="L16" i="108" s="1"/>
  <c r="D15" i="108"/>
  <c r="E15" i="108" s="1"/>
  <c r="G15" i="108" s="1"/>
  <c r="I15" i="108" s="1"/>
  <c r="D14" i="108"/>
  <c r="E14" i="108" s="1"/>
  <c r="G14" i="108" s="1"/>
  <c r="I14" i="108" s="1"/>
  <c r="L14" i="108" s="1"/>
  <c r="D13" i="108"/>
  <c r="E13" i="108" s="1"/>
  <c r="G13" i="108" s="1"/>
  <c r="I13" i="108" s="1"/>
  <c r="L13" i="108" s="1"/>
  <c r="D12" i="108"/>
  <c r="E12" i="108" s="1"/>
  <c r="G12" i="108" s="1"/>
  <c r="I12" i="108" s="1"/>
  <c r="L12" i="108" s="1"/>
  <c r="D11" i="108"/>
  <c r="E11" i="108" s="1"/>
  <c r="G11" i="108" s="1"/>
  <c r="I11" i="108" s="1"/>
  <c r="D10" i="108"/>
  <c r="E10" i="108" s="1"/>
  <c r="G10" i="108" s="1"/>
  <c r="I10" i="108" s="1"/>
  <c r="D9" i="108"/>
  <c r="E9" i="108" s="1"/>
  <c r="G9" i="108" s="1"/>
  <c r="I9" i="108" s="1"/>
  <c r="L9" i="108" s="1"/>
  <c r="D103" i="108"/>
  <c r="E103" i="108" s="1"/>
  <c r="G103" i="108" s="1"/>
  <c r="I103" i="108" s="1"/>
  <c r="L103" i="108" s="1"/>
  <c r="D102" i="108"/>
  <c r="E102" i="108" s="1"/>
  <c r="G102" i="108" s="1"/>
  <c r="I102" i="108" s="1"/>
  <c r="D101" i="108"/>
  <c r="E101" i="108" s="1"/>
  <c r="G101" i="108" s="1"/>
  <c r="I101" i="108" s="1"/>
  <c r="L101" i="108" s="1"/>
  <c r="D100" i="108"/>
  <c r="E100" i="108" s="1"/>
  <c r="G100" i="108" s="1"/>
  <c r="I100" i="108" s="1"/>
  <c r="L100" i="108" s="1"/>
  <c r="D99" i="108"/>
  <c r="E99" i="108" s="1"/>
  <c r="G99" i="108" s="1"/>
  <c r="I99" i="108" s="1"/>
  <c r="L99" i="108" s="1"/>
  <c r="D98" i="108"/>
  <c r="E98" i="108" s="1"/>
  <c r="G98" i="108" s="1"/>
  <c r="I98" i="108" s="1"/>
  <c r="L98" i="108" s="1"/>
  <c r="D97" i="108"/>
  <c r="E97" i="108" s="1"/>
  <c r="G97" i="108" s="1"/>
  <c r="I97" i="108" s="1"/>
  <c r="L97" i="108" s="1"/>
  <c r="D96" i="108"/>
  <c r="E96" i="108" s="1"/>
  <c r="G96" i="108" s="1"/>
  <c r="I96" i="108" s="1"/>
  <c r="L96" i="108" s="1"/>
  <c r="D95" i="108"/>
  <c r="E95" i="108" s="1"/>
  <c r="G95" i="108" s="1"/>
  <c r="I95" i="108" s="1"/>
  <c r="L95" i="108" s="1"/>
  <c r="D94" i="108"/>
  <c r="E94" i="108" s="1"/>
  <c r="G94" i="108" s="1"/>
  <c r="I94" i="108" s="1"/>
  <c r="D93" i="108"/>
  <c r="E93" i="108" s="1"/>
  <c r="G93" i="108" s="1"/>
  <c r="I93" i="108" s="1"/>
  <c r="L93" i="108" s="1"/>
  <c r="D92" i="108"/>
  <c r="E92" i="108" s="1"/>
  <c r="G92" i="108" s="1"/>
  <c r="I92" i="108" s="1"/>
  <c r="L92" i="108" s="1"/>
  <c r="D91" i="108"/>
  <c r="E91" i="108" s="1"/>
  <c r="G91" i="108" s="1"/>
  <c r="I91" i="108" s="1"/>
  <c r="L91" i="108" s="1"/>
  <c r="D90" i="108"/>
  <c r="E90" i="108" s="1"/>
  <c r="G90" i="108" s="1"/>
  <c r="I90" i="108" s="1"/>
  <c r="D89" i="108"/>
  <c r="E89" i="108" s="1"/>
  <c r="G89" i="108" s="1"/>
  <c r="I89" i="108" s="1"/>
  <c r="D88" i="108"/>
  <c r="E88" i="108" s="1"/>
  <c r="G88" i="108" s="1"/>
  <c r="I88" i="108" s="1"/>
  <c r="L88" i="108" s="1"/>
  <c r="D87" i="108"/>
  <c r="E87" i="108" s="1"/>
  <c r="G87" i="108" s="1"/>
  <c r="I87" i="108" s="1"/>
  <c r="L87" i="108" s="1"/>
  <c r="D86" i="108"/>
  <c r="E86" i="108" s="1"/>
  <c r="G86" i="108" s="1"/>
  <c r="I86" i="108" s="1"/>
  <c r="L86" i="108" s="1"/>
  <c r="D85" i="108"/>
  <c r="E85" i="108" s="1"/>
  <c r="G85" i="108" s="1"/>
  <c r="I85" i="108" s="1"/>
  <c r="D84" i="108"/>
  <c r="E84" i="108" s="1"/>
  <c r="G84" i="108" s="1"/>
  <c r="I84" i="108" s="1"/>
  <c r="L84" i="108" s="1"/>
  <c r="D83" i="108"/>
  <c r="E83" i="108" s="1"/>
  <c r="G83" i="108" s="1"/>
  <c r="I83" i="108" s="1"/>
  <c r="L83" i="108" s="1"/>
  <c r="D82" i="108"/>
  <c r="E82" i="108" s="1"/>
  <c r="G82" i="108" s="1"/>
  <c r="I82" i="108" s="1"/>
  <c r="D81" i="108"/>
  <c r="E81" i="108" s="1"/>
  <c r="G81" i="108" s="1"/>
  <c r="I81" i="108" s="1"/>
  <c r="D80" i="108"/>
  <c r="E80" i="108" s="1"/>
  <c r="G80" i="108" s="1"/>
  <c r="I80" i="108" s="1"/>
  <c r="L80" i="108" s="1"/>
  <c r="D79" i="108"/>
  <c r="E79" i="108" s="1"/>
  <c r="G79" i="108" s="1"/>
  <c r="I79" i="108" s="1"/>
  <c r="L79" i="108" s="1"/>
  <c r="D78" i="108"/>
  <c r="E78" i="108" s="1"/>
  <c r="G78" i="108" s="1"/>
  <c r="I78" i="108" s="1"/>
  <c r="D77" i="108"/>
  <c r="E77" i="108" s="1"/>
  <c r="G77" i="108" s="1"/>
  <c r="I77" i="108" s="1"/>
  <c r="L77" i="108" s="1"/>
  <c r="D76" i="108"/>
  <c r="E76" i="108" s="1"/>
  <c r="G76" i="108" s="1"/>
  <c r="I76" i="108" s="1"/>
  <c r="L76" i="108" s="1"/>
  <c r="D75" i="108"/>
  <c r="E75" i="108" s="1"/>
  <c r="G75" i="108" s="1"/>
  <c r="I75" i="108" s="1"/>
  <c r="L75" i="108" s="1"/>
  <c r="D74" i="108"/>
  <c r="E74" i="108" s="1"/>
  <c r="G74" i="108" s="1"/>
  <c r="I74" i="108" s="1"/>
  <c r="L74" i="108" s="1"/>
  <c r="D73" i="108"/>
  <c r="E73" i="108" s="1"/>
  <c r="G73" i="108" s="1"/>
  <c r="I73" i="108" s="1"/>
  <c r="D72" i="108"/>
  <c r="E72" i="108" s="1"/>
  <c r="G72" i="108" s="1"/>
  <c r="I72" i="108" s="1"/>
  <c r="D71" i="108"/>
  <c r="E71" i="108" s="1"/>
  <c r="G71" i="108" s="1"/>
  <c r="I71" i="108" s="1"/>
  <c r="L71" i="108" s="1"/>
  <c r="D70" i="108"/>
  <c r="E70" i="108" s="1"/>
  <c r="G70" i="108" s="1"/>
  <c r="I70" i="108" s="1"/>
  <c r="D69" i="108"/>
  <c r="E69" i="108" s="1"/>
  <c r="G69" i="108" s="1"/>
  <c r="I69" i="108" s="1"/>
  <c r="L69" i="108" s="1"/>
  <c r="D68" i="108"/>
  <c r="E68" i="108" s="1"/>
  <c r="G68" i="108" s="1"/>
  <c r="I68" i="108" s="1"/>
  <c r="L68" i="108" s="1"/>
  <c r="D67" i="108"/>
  <c r="E67" i="108" s="1"/>
  <c r="G67" i="108" s="1"/>
  <c r="I67" i="108" s="1"/>
  <c r="L67" i="108" s="1"/>
  <c r="D66" i="108"/>
  <c r="E66" i="108" s="1"/>
  <c r="G66" i="108" s="1"/>
  <c r="I66" i="108" s="1"/>
  <c r="D65" i="108"/>
  <c r="E65" i="108" s="1"/>
  <c r="G65" i="108" s="1"/>
  <c r="I65" i="108" s="1"/>
  <c r="D64" i="108"/>
  <c r="E64" i="108" s="1"/>
  <c r="G64" i="108" s="1"/>
  <c r="I64" i="108" s="1"/>
  <c r="L64" i="108" s="1"/>
  <c r="D63" i="108"/>
  <c r="E63" i="108" s="1"/>
  <c r="G63" i="108" s="1"/>
  <c r="I63" i="108" s="1"/>
  <c r="L63" i="108" s="1"/>
  <c r="D62" i="108"/>
  <c r="E62" i="108" s="1"/>
  <c r="G62" i="108" s="1"/>
  <c r="I62" i="108" s="1"/>
  <c r="L62" i="108" s="1"/>
  <c r="D61" i="108"/>
  <c r="E61" i="108" s="1"/>
  <c r="G61" i="108" s="1"/>
  <c r="I61" i="108" s="1"/>
  <c r="D60" i="108"/>
  <c r="E60" i="108" s="1"/>
  <c r="G60" i="108" s="1"/>
  <c r="I60" i="108" s="1"/>
  <c r="L60" i="108" s="1"/>
  <c r="D59" i="108"/>
  <c r="E59" i="108" s="1"/>
  <c r="G59" i="108" s="1"/>
  <c r="I59" i="108" s="1"/>
  <c r="L59" i="108" s="1"/>
  <c r="D58" i="108"/>
  <c r="E58" i="108" s="1"/>
  <c r="G58" i="108" s="1"/>
  <c r="I58" i="108" s="1"/>
  <c r="L58" i="108" s="1"/>
  <c r="D57" i="108"/>
  <c r="E57" i="108" s="1"/>
  <c r="G57" i="108" s="1"/>
  <c r="I57" i="108" s="1"/>
  <c r="L57" i="108" s="1"/>
  <c r="D56" i="108"/>
  <c r="E56" i="108" s="1"/>
  <c r="G56" i="108" s="1"/>
  <c r="I56" i="108" s="1"/>
  <c r="L56" i="108" s="1"/>
  <c r="D55" i="108"/>
  <c r="E55" i="108" s="1"/>
  <c r="G55" i="108" s="1"/>
  <c r="I55" i="108" s="1"/>
  <c r="L55" i="108" s="1"/>
  <c r="D54" i="108"/>
  <c r="E54" i="108" s="1"/>
  <c r="G54" i="108" s="1"/>
  <c r="I54" i="108" s="1"/>
  <c r="L54" i="108" s="1"/>
  <c r="D50" i="108"/>
  <c r="E50" i="108" s="1"/>
  <c r="G50" i="108" s="1"/>
  <c r="D46" i="108"/>
  <c r="E46" i="108" s="1"/>
  <c r="G46" i="108" s="1"/>
  <c r="D42" i="108"/>
  <c r="E42" i="108" s="1"/>
  <c r="G42" i="108" s="1"/>
  <c r="D38" i="108"/>
  <c r="E38" i="108" s="1"/>
  <c r="G38" i="108" s="1"/>
  <c r="D34" i="108"/>
  <c r="E34" i="108" s="1"/>
  <c r="G34" i="108" s="1"/>
  <c r="D30" i="108"/>
  <c r="E30" i="108" s="1"/>
  <c r="G30" i="108" s="1"/>
  <c r="D52" i="108"/>
  <c r="E52" i="108" s="1"/>
  <c r="G52" i="108" s="1"/>
  <c r="D48" i="108"/>
  <c r="E48" i="108" s="1"/>
  <c r="G48" i="108" s="1"/>
  <c r="D44" i="108"/>
  <c r="E44" i="108" s="1"/>
  <c r="G44" i="108" s="1"/>
  <c r="D40" i="108"/>
  <c r="E40" i="108" s="1"/>
  <c r="G40" i="108" s="1"/>
  <c r="D36" i="108"/>
  <c r="E36" i="108" s="1"/>
  <c r="G36" i="108" s="1"/>
  <c r="D32" i="108"/>
  <c r="E32" i="108" s="1"/>
  <c r="G32" i="108" s="1"/>
  <c r="D51" i="108"/>
  <c r="E51" i="108" s="1"/>
  <c r="G51" i="108" s="1"/>
  <c r="D47" i="108"/>
  <c r="E47" i="108" s="1"/>
  <c r="G47" i="108" s="1"/>
  <c r="D43" i="108"/>
  <c r="E43" i="108" s="1"/>
  <c r="G43" i="108" s="1"/>
  <c r="D39" i="108"/>
  <c r="E39" i="108" s="1"/>
  <c r="G39" i="108" s="1"/>
  <c r="D35" i="108"/>
  <c r="E35" i="108" s="1"/>
  <c r="G35" i="108" s="1"/>
  <c r="D31" i="108"/>
  <c r="E31" i="108" s="1"/>
  <c r="G31" i="108" s="1"/>
  <c r="D8" i="108"/>
  <c r="E8" i="108" s="1"/>
  <c r="G8" i="108" s="1"/>
  <c r="I8" i="108" s="1"/>
  <c r="L8" i="108" s="1"/>
  <c r="D7" i="108"/>
  <c r="E7" i="108" s="1"/>
  <c r="G7" i="108" s="1"/>
  <c r="I7" i="108" s="1"/>
  <c r="L7" i="108" s="1"/>
  <c r="D6" i="108"/>
  <c r="E6" i="108" s="1"/>
  <c r="G6" i="108" s="1"/>
  <c r="I6" i="108" s="1"/>
  <c r="L6" i="108" s="1"/>
  <c r="D5" i="108"/>
  <c r="E5" i="108" s="1"/>
  <c r="G5" i="108" s="1"/>
  <c r="I5" i="108" s="1"/>
  <c r="L5" i="108" s="1"/>
  <c r="D4" i="108"/>
  <c r="E4" i="108" s="1"/>
  <c r="G4" i="108" s="1"/>
  <c r="I4" i="108" s="1"/>
  <c r="L4" i="108" s="1"/>
  <c r="L102" i="108"/>
  <c r="L89" i="108"/>
  <c r="L72" i="108"/>
  <c r="L90" i="108"/>
  <c r="L85" i="108"/>
  <c r="L94" i="108"/>
  <c r="L23" i="108"/>
  <c r="L10" i="108"/>
  <c r="L11" i="108"/>
  <c r="L81" i="108"/>
  <c r="L61" i="108"/>
  <c r="L66" i="108"/>
  <c r="L18" i="108"/>
  <c r="L22" i="108"/>
  <c r="L70" i="108"/>
  <c r="L78" i="108"/>
  <c r="L73" i="108"/>
  <c r="L65" i="108"/>
  <c r="L15" i="108"/>
  <c r="L82" i="108"/>
  <c r="L19" i="108"/>
  <c r="Q103" i="105"/>
  <c r="S103" i="105" s="1"/>
  <c r="U103" i="108" s="1"/>
  <c r="Q24" i="105"/>
  <c r="S24" i="105" s="1"/>
  <c r="U24" i="108" s="1"/>
  <c r="Q23" i="105"/>
  <c r="S23" i="105" s="1"/>
  <c r="U23" i="108" s="1"/>
  <c r="Q71" i="105"/>
  <c r="S71" i="105" s="1"/>
  <c r="U71" i="108" s="1"/>
  <c r="Q90" i="105"/>
  <c r="S90" i="105" s="1"/>
  <c r="U90" i="108" s="1"/>
  <c r="Q87" i="105"/>
  <c r="S87" i="105" s="1"/>
  <c r="U87" i="108" s="1"/>
  <c r="Q61" i="105"/>
  <c r="S61" i="105" s="1"/>
  <c r="U61" i="108" s="1"/>
  <c r="Q14" i="105"/>
  <c r="S14" i="105" s="1"/>
  <c r="U14" i="108" s="1"/>
  <c r="Q93" i="105"/>
  <c r="S93" i="105" s="1"/>
  <c r="U93" i="108" s="1"/>
  <c r="Q20" i="105"/>
  <c r="S20" i="105" s="1"/>
  <c r="U20" i="108" s="1"/>
  <c r="Q86" i="105"/>
  <c r="S86" i="105" s="1"/>
  <c r="U86" i="108" s="1"/>
  <c r="Q59" i="105"/>
  <c r="S59" i="105" s="1"/>
  <c r="U59" i="108" s="1"/>
  <c r="Q82" i="105"/>
  <c r="S82" i="105" s="1"/>
  <c r="U82" i="108" s="1"/>
  <c r="Q56" i="105"/>
  <c r="S56" i="105" s="1"/>
  <c r="U56" i="108" s="1"/>
  <c r="Q12" i="105"/>
  <c r="S12" i="105" s="1"/>
  <c r="U12" i="108" s="1"/>
  <c r="Q95" i="105"/>
  <c r="S95" i="105" s="1"/>
  <c r="U95" i="108" s="1"/>
  <c r="Q75" i="105"/>
  <c r="S75" i="105" s="1"/>
  <c r="U75" i="108" s="1"/>
  <c r="Q55" i="105"/>
  <c r="S55" i="105" s="1"/>
  <c r="U55" i="108" s="1"/>
  <c r="Q15" i="105"/>
  <c r="S15" i="105" s="1"/>
  <c r="U15" i="108" s="1"/>
  <c r="Q91" i="105"/>
  <c r="S91" i="105" s="1"/>
  <c r="U91" i="108" s="1"/>
  <c r="Q102" i="105"/>
  <c r="S102" i="105" s="1"/>
  <c r="U102" i="108" s="1"/>
  <c r="Q10" i="105"/>
  <c r="S10" i="105" s="1"/>
  <c r="U10" i="108" s="1"/>
  <c r="Q57" i="105"/>
  <c r="S57" i="105" s="1"/>
  <c r="U57" i="108" s="1"/>
  <c r="Q63" i="105"/>
  <c r="S63" i="105" s="1"/>
  <c r="U63" i="108" s="1"/>
  <c r="Q81" i="105"/>
  <c r="S81" i="105" s="1"/>
  <c r="U81" i="108" s="1"/>
  <c r="Q54" i="105"/>
  <c r="S54" i="105" s="1"/>
  <c r="U54" i="108" s="1"/>
  <c r="Q7" i="105"/>
  <c r="S7" i="105" s="1"/>
  <c r="U7" i="108" s="1"/>
  <c r="Q80" i="105"/>
  <c r="S80" i="105" s="1"/>
  <c r="U80" i="108" s="1"/>
  <c r="Q13" i="105"/>
  <c r="S13" i="105" s="1"/>
  <c r="U13" i="108" s="1"/>
  <c r="Q79" i="105"/>
  <c r="S79" i="105" s="1"/>
  <c r="U79" i="108" s="1"/>
  <c r="Q22" i="105"/>
  <c r="S22" i="105" s="1"/>
  <c r="U22" i="108" s="1"/>
  <c r="Q76" i="105"/>
  <c r="S76" i="105" s="1"/>
  <c r="U76" i="108" s="1"/>
  <c r="Q26" i="105"/>
  <c r="S26" i="105" s="1"/>
  <c r="U26" i="108" s="1"/>
  <c r="Q9" i="105"/>
  <c r="S9" i="105" s="1"/>
  <c r="U9" i="108" s="1"/>
  <c r="Q88" i="105"/>
  <c r="S88" i="105" s="1"/>
  <c r="U88" i="108" s="1"/>
  <c r="Q68" i="105"/>
  <c r="S68" i="105" s="1"/>
  <c r="U68" i="108" s="1"/>
  <c r="Q28" i="105"/>
  <c r="S28" i="105" s="1"/>
  <c r="U28" i="108" s="1"/>
  <c r="Q8" i="105"/>
  <c r="S8" i="105" s="1"/>
  <c r="U8" i="108" s="1"/>
  <c r="Q77" i="105"/>
  <c r="S77" i="105" s="1"/>
  <c r="U77" i="108" s="1"/>
  <c r="Q83" i="105"/>
  <c r="S83" i="105" s="1"/>
  <c r="U83" i="108" s="1"/>
  <c r="Q97" i="105"/>
  <c r="S97" i="105" s="1"/>
  <c r="U97" i="108" s="1"/>
  <c r="Q17" i="105"/>
  <c r="S17" i="105" s="1"/>
  <c r="U17" i="108" s="1"/>
  <c r="Q101" i="105"/>
  <c r="S101" i="105" s="1"/>
  <c r="U101" i="108" s="1"/>
  <c r="Q74" i="105"/>
  <c r="S74" i="105" s="1"/>
  <c r="U74" i="108" s="1"/>
  <c r="Q27" i="105"/>
  <c r="S27" i="105" s="1"/>
  <c r="U27" i="108" s="1"/>
  <c r="Q4" i="105"/>
  <c r="S4" i="105" s="1"/>
  <c r="U4" i="108" s="1"/>
  <c r="Q73" i="105"/>
  <c r="S73" i="105" s="1"/>
  <c r="U73" i="108" s="1"/>
  <c r="Q99" i="105"/>
  <c r="S99" i="105" s="1"/>
  <c r="U99" i="108" s="1"/>
  <c r="Q72" i="105"/>
  <c r="S72" i="105" s="1"/>
  <c r="U72" i="108" s="1"/>
  <c r="Q96" i="105"/>
  <c r="S96" i="105" s="1"/>
  <c r="U96" i="108" s="1"/>
  <c r="Q69" i="105"/>
  <c r="S69" i="105" s="1"/>
  <c r="U69" i="108" s="1"/>
  <c r="Q19" i="105"/>
  <c r="S19" i="105" s="1"/>
  <c r="U19" i="108" s="1"/>
  <c r="Q6" i="105"/>
  <c r="S6" i="105" s="1"/>
  <c r="U6" i="108" s="1"/>
  <c r="Q85" i="105"/>
  <c r="S85" i="105" s="1"/>
  <c r="U85" i="108" s="1"/>
  <c r="Q65" i="105"/>
  <c r="S65" i="105" s="1"/>
  <c r="U65" i="108" s="1"/>
  <c r="Q25" i="105"/>
  <c r="S25" i="105" s="1"/>
  <c r="U25" i="108" s="1"/>
  <c r="Q5" i="105"/>
  <c r="S5" i="105" s="1"/>
  <c r="U5" i="108" s="1"/>
  <c r="Q64" i="105"/>
  <c r="S64" i="105" s="1"/>
  <c r="U64" i="108" s="1"/>
  <c r="Q70" i="105"/>
  <c r="S70" i="105" s="1"/>
  <c r="U70" i="108" s="1"/>
  <c r="Q84" i="105"/>
  <c r="S84" i="105" s="1"/>
  <c r="U84" i="108" s="1"/>
  <c r="Q11" i="105"/>
  <c r="S11" i="105" s="1"/>
  <c r="U11" i="108" s="1"/>
  <c r="Q94" i="105"/>
  <c r="S94" i="105" s="1"/>
  <c r="U94" i="108" s="1"/>
  <c r="Q67" i="105"/>
  <c r="S67" i="105" s="1"/>
  <c r="U67" i="108" s="1"/>
  <c r="Q21" i="105"/>
  <c r="S21" i="105" s="1"/>
  <c r="U21" i="108" s="1"/>
  <c r="Q100" i="105"/>
  <c r="S100" i="105" s="1"/>
  <c r="U100" i="108" s="1"/>
  <c r="Q60" i="105"/>
  <c r="S60" i="105" s="1"/>
  <c r="U60" i="108" s="1"/>
  <c r="Q92" i="105"/>
  <c r="S92" i="105" s="1"/>
  <c r="U92" i="108" s="1"/>
  <c r="Q66" i="105"/>
  <c r="S66" i="105" s="1"/>
  <c r="U66" i="108" s="1"/>
  <c r="Q89" i="105"/>
  <c r="S89" i="105" s="1"/>
  <c r="U89" i="108" s="1"/>
  <c r="Q62" i="105"/>
  <c r="S62" i="105" s="1"/>
  <c r="U62" i="108" s="1"/>
  <c r="Q16" i="105"/>
  <c r="S16" i="105" s="1"/>
  <c r="U16" i="108" s="1"/>
  <c r="Q98" i="105"/>
  <c r="S98" i="105" s="1"/>
  <c r="U98" i="108" s="1"/>
  <c r="Q78" i="105"/>
  <c r="S78" i="105" s="1"/>
  <c r="U78" i="108" s="1"/>
  <c r="Q58" i="105"/>
  <c r="S58" i="105" s="1"/>
  <c r="U58" i="108" s="1"/>
  <c r="Q18" i="105"/>
  <c r="S18" i="105" s="1"/>
  <c r="U18" i="108" s="1"/>
  <c r="J69" i="103"/>
  <c r="J52" i="103" s="1"/>
  <c r="K72" i="103"/>
  <c r="O45" i="103"/>
  <c r="O37" i="103"/>
  <c r="P46" i="103"/>
  <c r="P38" i="103"/>
  <c r="P47" i="103"/>
  <c r="P45" i="103"/>
  <c r="P41" i="103"/>
  <c r="P40" i="103"/>
  <c r="O43" i="103"/>
  <c r="O44" i="103"/>
  <c r="P44" i="103"/>
  <c r="P43" i="103"/>
  <c r="O35" i="103"/>
  <c r="P37" i="103"/>
  <c r="AO175" i="102"/>
  <c r="AX13" i="108" s="1"/>
  <c r="AO133" i="102"/>
  <c r="AX8" i="108" s="1"/>
  <c r="AQ8" i="108" l="1"/>
  <c r="AO8" i="105"/>
  <c r="AH8" i="105" s="1"/>
  <c r="AQ13" i="108"/>
  <c r="AO13" i="105"/>
  <c r="AH13" i="105" s="1"/>
  <c r="AO143" i="102"/>
  <c r="AQ9" i="108" s="1"/>
  <c r="L72" i="103"/>
  <c r="K69" i="103"/>
  <c r="K52" i="103" s="1"/>
  <c r="J63" i="103"/>
  <c r="J59" i="103"/>
  <c r="J55" i="103"/>
  <c r="J62" i="103"/>
  <c r="J64" i="103"/>
  <c r="J60" i="103"/>
  <c r="J56" i="103"/>
  <c r="J58" i="103"/>
  <c r="J65" i="103"/>
  <c r="J61" i="103"/>
  <c r="J57" i="103"/>
  <c r="J53" i="103"/>
  <c r="J54" i="103"/>
  <c r="AY37" i="102"/>
  <c r="AX37" i="102"/>
  <c r="AW37" i="102"/>
  <c r="AV37" i="102"/>
  <c r="AU37" i="102"/>
  <c r="AT37" i="102"/>
  <c r="AS37" i="102"/>
  <c r="AR37" i="102"/>
  <c r="AQ37" i="102"/>
  <c r="AP37" i="102"/>
  <c r="AO37" i="102"/>
  <c r="H46" i="105" l="1"/>
  <c r="I46" i="105" s="1"/>
  <c r="L46" i="105" s="1"/>
  <c r="N46" i="105" s="1"/>
  <c r="M46" i="108" s="1"/>
  <c r="H41" i="105"/>
  <c r="I41" i="105" s="1"/>
  <c r="H40" i="105"/>
  <c r="I40" i="105" s="1"/>
  <c r="L40" i="105" s="1"/>
  <c r="N40" i="105" s="1"/>
  <c r="M40" i="108" s="1"/>
  <c r="H39" i="105"/>
  <c r="I39" i="105" s="1"/>
  <c r="L39" i="105" s="1"/>
  <c r="N39" i="105" s="1"/>
  <c r="M39" i="108" s="1"/>
  <c r="H38" i="105"/>
  <c r="I38" i="105" s="1"/>
  <c r="H30" i="105"/>
  <c r="I30" i="105" s="1"/>
  <c r="L30" i="105" s="1"/>
  <c r="N30" i="105" s="1"/>
  <c r="M30" i="108" s="1"/>
  <c r="H53" i="105"/>
  <c r="I53" i="105" s="1"/>
  <c r="L53" i="105" s="1"/>
  <c r="N53" i="105" s="1"/>
  <c r="M53" i="108" s="1"/>
  <c r="H52" i="105"/>
  <c r="I52" i="105" s="1"/>
  <c r="L52" i="105" s="1"/>
  <c r="N52" i="105" s="1"/>
  <c r="M52" i="108" s="1"/>
  <c r="H51" i="105"/>
  <c r="I51" i="105" s="1"/>
  <c r="H50" i="105"/>
  <c r="I50" i="105" s="1"/>
  <c r="H45" i="105"/>
  <c r="I45" i="105" s="1"/>
  <c r="L45" i="105" s="1"/>
  <c r="N45" i="105" s="1"/>
  <c r="M45" i="108" s="1"/>
  <c r="H44" i="105"/>
  <c r="I44" i="105" s="1"/>
  <c r="L44" i="105" s="1"/>
  <c r="N44" i="105" s="1"/>
  <c r="M44" i="108" s="1"/>
  <c r="H37" i="105"/>
  <c r="I37" i="105" s="1"/>
  <c r="L37" i="105" s="1"/>
  <c r="N37" i="105" s="1"/>
  <c r="M37" i="108" s="1"/>
  <c r="H36" i="105"/>
  <c r="I36" i="105" s="1"/>
  <c r="L36" i="105" s="1"/>
  <c r="N36" i="105" s="1"/>
  <c r="M36" i="108" s="1"/>
  <c r="H35" i="105"/>
  <c r="I35" i="105" s="1"/>
  <c r="L35" i="105" s="1"/>
  <c r="N35" i="105" s="1"/>
  <c r="M35" i="108" s="1"/>
  <c r="H34" i="105"/>
  <c r="I34" i="105" s="1"/>
  <c r="L34" i="105" s="1"/>
  <c r="N34" i="105" s="1"/>
  <c r="M34" i="108" s="1"/>
  <c r="H29" i="105"/>
  <c r="I29" i="105" s="1"/>
  <c r="L29" i="105" s="1"/>
  <c r="N29" i="105" s="1"/>
  <c r="M29" i="108" s="1"/>
  <c r="H49" i="105"/>
  <c r="I49" i="105" s="1"/>
  <c r="L49" i="105" s="1"/>
  <c r="N49" i="105" s="1"/>
  <c r="M49" i="108" s="1"/>
  <c r="H48" i="105"/>
  <c r="I48" i="105" s="1"/>
  <c r="L48" i="105" s="1"/>
  <c r="N48" i="105" s="1"/>
  <c r="M48" i="108" s="1"/>
  <c r="H43" i="105"/>
  <c r="I43" i="105" s="1"/>
  <c r="L43" i="105" s="1"/>
  <c r="N43" i="105" s="1"/>
  <c r="M43" i="108" s="1"/>
  <c r="H33" i="105"/>
  <c r="I33" i="105" s="1"/>
  <c r="H32" i="105"/>
  <c r="I32" i="105" s="1"/>
  <c r="L32" i="105" s="1"/>
  <c r="N32" i="105" s="1"/>
  <c r="M32" i="108" s="1"/>
  <c r="H47" i="105"/>
  <c r="I47" i="105" s="1"/>
  <c r="L47" i="105" s="1"/>
  <c r="N47" i="105" s="1"/>
  <c r="M47" i="108" s="1"/>
  <c r="H42" i="105"/>
  <c r="I42" i="105" s="1"/>
  <c r="L42" i="105" s="1"/>
  <c r="N42" i="105" s="1"/>
  <c r="M42" i="108" s="1"/>
  <c r="H31" i="105"/>
  <c r="I31" i="105" s="1"/>
  <c r="L31" i="105" s="1"/>
  <c r="N31" i="105" s="1"/>
  <c r="M31" i="108" s="1"/>
  <c r="H53" i="108"/>
  <c r="I53" i="108" s="1"/>
  <c r="H52" i="108"/>
  <c r="I52" i="108" s="1"/>
  <c r="L52" i="108" s="1"/>
  <c r="H51" i="108"/>
  <c r="I51" i="108" s="1"/>
  <c r="L51" i="108" s="1"/>
  <c r="H50" i="108"/>
  <c r="I50" i="108" s="1"/>
  <c r="L50" i="108" s="1"/>
  <c r="H49" i="108"/>
  <c r="I49" i="108" s="1"/>
  <c r="L49" i="108" s="1"/>
  <c r="H48" i="108"/>
  <c r="I48" i="108" s="1"/>
  <c r="L48" i="108" s="1"/>
  <c r="H47" i="108"/>
  <c r="I47" i="108" s="1"/>
  <c r="L47" i="108" s="1"/>
  <c r="H46" i="108"/>
  <c r="I46" i="108" s="1"/>
  <c r="L46" i="108" s="1"/>
  <c r="H45" i="108"/>
  <c r="I45" i="108" s="1"/>
  <c r="L45" i="108" s="1"/>
  <c r="H44" i="108"/>
  <c r="I44" i="108" s="1"/>
  <c r="L44" i="108" s="1"/>
  <c r="H43" i="108"/>
  <c r="I43" i="108" s="1"/>
  <c r="L43" i="108" s="1"/>
  <c r="H42" i="108"/>
  <c r="I42" i="108" s="1"/>
  <c r="L42" i="108" s="1"/>
  <c r="H41" i="108"/>
  <c r="I41" i="108" s="1"/>
  <c r="L41" i="108" s="1"/>
  <c r="H40" i="108"/>
  <c r="I40" i="108" s="1"/>
  <c r="L40" i="108" s="1"/>
  <c r="H39" i="108"/>
  <c r="I39" i="108" s="1"/>
  <c r="L39" i="108" s="1"/>
  <c r="H38" i="108"/>
  <c r="I38" i="108" s="1"/>
  <c r="L38" i="108" s="1"/>
  <c r="H37" i="108"/>
  <c r="I37" i="108" s="1"/>
  <c r="L37" i="108" s="1"/>
  <c r="H36" i="108"/>
  <c r="I36" i="108" s="1"/>
  <c r="L36" i="108" s="1"/>
  <c r="H35" i="108"/>
  <c r="I35" i="108" s="1"/>
  <c r="L35" i="108" s="1"/>
  <c r="H34" i="108"/>
  <c r="I34" i="108" s="1"/>
  <c r="L34" i="108" s="1"/>
  <c r="H33" i="108"/>
  <c r="I33" i="108" s="1"/>
  <c r="L33" i="108" s="1"/>
  <c r="H32" i="108"/>
  <c r="I32" i="108" s="1"/>
  <c r="L32" i="108" s="1"/>
  <c r="H31" i="108"/>
  <c r="I31" i="108" s="1"/>
  <c r="L31" i="108" s="1"/>
  <c r="H30" i="108"/>
  <c r="I30" i="108" s="1"/>
  <c r="L30" i="108" s="1"/>
  <c r="H29" i="108"/>
  <c r="I29" i="108" s="1"/>
  <c r="L29" i="108" s="1"/>
  <c r="AF101" i="108"/>
  <c r="AF77" i="108"/>
  <c r="AF49" i="108"/>
  <c r="AF92" i="108"/>
  <c r="AF64" i="108"/>
  <c r="AF36" i="108"/>
  <c r="AF79" i="108"/>
  <c r="AF51" i="108"/>
  <c r="AF102" i="108"/>
  <c r="AF74" i="108"/>
  <c r="AF46" i="108"/>
  <c r="AF93" i="108"/>
  <c r="AF63" i="108"/>
  <c r="AF78" i="108"/>
  <c r="AF81" i="108"/>
  <c r="AF72" i="108"/>
  <c r="AF59" i="108"/>
  <c r="AF48" i="108"/>
  <c r="AF97" i="108"/>
  <c r="AF69" i="108"/>
  <c r="AF41" i="108"/>
  <c r="AF84" i="108"/>
  <c r="AF56" i="108"/>
  <c r="AF32" i="108"/>
  <c r="AF99" i="108"/>
  <c r="AF71" i="108"/>
  <c r="AF47" i="108"/>
  <c r="AF19" i="108"/>
  <c r="AF94" i="108"/>
  <c r="AF66" i="108"/>
  <c r="AF42" i="108"/>
  <c r="AF14" i="108"/>
  <c r="AF73" i="108"/>
  <c r="AF88" i="108"/>
  <c r="AF43" i="108"/>
  <c r="AF58" i="108"/>
  <c r="AF57" i="108"/>
  <c r="AF44" i="108"/>
  <c r="AF87" i="108"/>
  <c r="AF82" i="108"/>
  <c r="AF4" i="108"/>
  <c r="AF83" i="108"/>
  <c r="AF89" i="108"/>
  <c r="AF61" i="108"/>
  <c r="AF37" i="108"/>
  <c r="AF9" i="108"/>
  <c r="AF76" i="108"/>
  <c r="AF52" i="108"/>
  <c r="AF24" i="108"/>
  <c r="AF91" i="108"/>
  <c r="AF67" i="108"/>
  <c r="AF39" i="108"/>
  <c r="AF86" i="108"/>
  <c r="AF62" i="108"/>
  <c r="AF34" i="108"/>
  <c r="AF53" i="108"/>
  <c r="AF68" i="108"/>
  <c r="AF103" i="108"/>
  <c r="AF38" i="108"/>
  <c r="AF29" i="108"/>
  <c r="AF96" i="108"/>
  <c r="AF31" i="108"/>
  <c r="AF54" i="108"/>
  <c r="AF33" i="108"/>
  <c r="AF98" i="108"/>
  <c r="W100" i="108"/>
  <c r="W96" i="108"/>
  <c r="W92" i="108"/>
  <c r="W88" i="108"/>
  <c r="W80" i="108"/>
  <c r="W76" i="108"/>
  <c r="W72" i="108"/>
  <c r="W68" i="108"/>
  <c r="W60" i="108"/>
  <c r="W56" i="108"/>
  <c r="W52" i="108"/>
  <c r="W48" i="108"/>
  <c r="W40" i="108"/>
  <c r="W36" i="108"/>
  <c r="W32" i="108"/>
  <c r="W28" i="108"/>
  <c r="W20" i="108"/>
  <c r="W16" i="108"/>
  <c r="W12" i="108"/>
  <c r="W8" i="108"/>
  <c r="W103" i="108"/>
  <c r="W95" i="108"/>
  <c r="W91" i="108"/>
  <c r="W87" i="108"/>
  <c r="W83" i="108"/>
  <c r="W75" i="108"/>
  <c r="W71" i="108"/>
  <c r="W67" i="108"/>
  <c r="W63" i="108"/>
  <c r="W55" i="108"/>
  <c r="W51" i="108"/>
  <c r="W47" i="108"/>
  <c r="W43" i="108"/>
  <c r="W35" i="108"/>
  <c r="W31" i="108"/>
  <c r="W27" i="108"/>
  <c r="W23" i="108"/>
  <c r="W15" i="108"/>
  <c r="W11" i="108"/>
  <c r="W7" i="108"/>
  <c r="W102" i="108"/>
  <c r="W98" i="108"/>
  <c r="W90" i="108"/>
  <c r="W86" i="108"/>
  <c r="W82" i="108"/>
  <c r="W78" i="108"/>
  <c r="W70" i="108"/>
  <c r="W66" i="108"/>
  <c r="W62" i="108"/>
  <c r="W58" i="108"/>
  <c r="W50" i="108"/>
  <c r="W46" i="108"/>
  <c r="W42" i="108"/>
  <c r="W38" i="108"/>
  <c r="W30" i="108"/>
  <c r="W26" i="108"/>
  <c r="W22" i="108"/>
  <c r="W18" i="108"/>
  <c r="W10" i="108"/>
  <c r="W6" i="108"/>
  <c r="W101" i="108"/>
  <c r="W97" i="108"/>
  <c r="W93" i="108"/>
  <c r="W85" i="108"/>
  <c r="W81" i="108"/>
  <c r="W77" i="108"/>
  <c r="W73" i="108"/>
  <c r="W65" i="108"/>
  <c r="W61" i="108"/>
  <c r="W57" i="108"/>
  <c r="W53" i="108"/>
  <c r="W45" i="108"/>
  <c r="W41" i="108"/>
  <c r="W37" i="108"/>
  <c r="W33" i="108"/>
  <c r="W25" i="108"/>
  <c r="W21" i="108"/>
  <c r="W17" i="108"/>
  <c r="W13" i="108"/>
  <c r="W5" i="108"/>
  <c r="W84" i="108"/>
  <c r="W64" i="108"/>
  <c r="W44" i="108"/>
  <c r="W24" i="108"/>
  <c r="W4" i="108"/>
  <c r="W99" i="108"/>
  <c r="W79" i="108"/>
  <c r="W59" i="108"/>
  <c r="W39" i="108"/>
  <c r="W19" i="108"/>
  <c r="W94" i="108"/>
  <c r="W74" i="108"/>
  <c r="W54" i="108"/>
  <c r="W34" i="108"/>
  <c r="W14" i="108"/>
  <c r="W89" i="108"/>
  <c r="W69" i="108"/>
  <c r="W49" i="108"/>
  <c r="W29" i="108"/>
  <c r="W9" i="108"/>
  <c r="AF85" i="108"/>
  <c r="AF65" i="108"/>
  <c r="AF45" i="108"/>
  <c r="AF100" i="108"/>
  <c r="AF80" i="108"/>
  <c r="AF60" i="108"/>
  <c r="AF40" i="108"/>
  <c r="AF95" i="108"/>
  <c r="AF75" i="108"/>
  <c r="AF55" i="108"/>
  <c r="AF35" i="108"/>
  <c r="AF90" i="108"/>
  <c r="AF70" i="108"/>
  <c r="AF50" i="108"/>
  <c r="AF30" i="108"/>
  <c r="L53" i="108"/>
  <c r="AH9" i="105"/>
  <c r="L50" i="105"/>
  <c r="N50" i="105" s="1"/>
  <c r="M50" i="108" s="1"/>
  <c r="L38" i="105"/>
  <c r="N38" i="105" s="1"/>
  <c r="M38" i="108" s="1"/>
  <c r="L41" i="105"/>
  <c r="N41" i="105" s="1"/>
  <c r="M41" i="108" s="1"/>
  <c r="L33" i="105"/>
  <c r="N33" i="105" s="1"/>
  <c r="M33" i="108" s="1"/>
  <c r="L51" i="105"/>
  <c r="N51" i="105" s="1"/>
  <c r="M51" i="108" s="1"/>
  <c r="AC4" i="105"/>
  <c r="AC64" i="105"/>
  <c r="AC24" i="105"/>
  <c r="AC69" i="105"/>
  <c r="AC74" i="105"/>
  <c r="AC79" i="105"/>
  <c r="AC59" i="105"/>
  <c r="AC84" i="105"/>
  <c r="AC89" i="105"/>
  <c r="AC9" i="105"/>
  <c r="AC94" i="105"/>
  <c r="AC54" i="105"/>
  <c r="AC14" i="105"/>
  <c r="AC99" i="105"/>
  <c r="AC19" i="105"/>
  <c r="M72" i="103"/>
  <c r="L69" i="103"/>
  <c r="L52" i="103" s="1"/>
  <c r="K64" i="103"/>
  <c r="K60" i="103"/>
  <c r="K56" i="103"/>
  <c r="K63" i="103"/>
  <c r="K55" i="103"/>
  <c r="K65" i="103"/>
  <c r="K61" i="103"/>
  <c r="K57" i="103"/>
  <c r="K53" i="103"/>
  <c r="K62" i="103"/>
  <c r="K58" i="103"/>
  <c r="K54" i="103"/>
  <c r="K59" i="103"/>
  <c r="N36" i="108" l="1"/>
  <c r="P36" i="108" s="1"/>
  <c r="N48" i="108"/>
  <c r="P48" i="108" s="1"/>
  <c r="N46" i="108"/>
  <c r="P46" i="108" s="1"/>
  <c r="N41" i="108"/>
  <c r="P41" i="108" s="1"/>
  <c r="N32" i="108"/>
  <c r="P32" i="108" s="1"/>
  <c r="N53" i="108"/>
  <c r="P53" i="108" s="1"/>
  <c r="N44" i="108"/>
  <c r="P44" i="108" s="1"/>
  <c r="N43" i="108"/>
  <c r="P43" i="108" s="1"/>
  <c r="N103" i="108"/>
  <c r="P103" i="108" s="1"/>
  <c r="N60" i="108"/>
  <c r="P60" i="108" s="1"/>
  <c r="N58" i="108"/>
  <c r="P58" i="108" s="1"/>
  <c r="N26" i="108"/>
  <c r="P26" i="108" s="1"/>
  <c r="N11" i="108"/>
  <c r="P11" i="108" s="1"/>
  <c r="N85" i="108"/>
  <c r="P85" i="108" s="1"/>
  <c r="N91" i="108"/>
  <c r="P91" i="108" s="1"/>
  <c r="N27" i="108"/>
  <c r="P27" i="108" s="1"/>
  <c r="N83" i="108"/>
  <c r="P83" i="108" s="1"/>
  <c r="N22" i="108"/>
  <c r="P22" i="108" s="1"/>
  <c r="N101" i="108"/>
  <c r="P101" i="108" s="1"/>
  <c r="N86" i="108"/>
  <c r="P86" i="108" s="1"/>
  <c r="N72" i="108"/>
  <c r="P72" i="108" s="1"/>
  <c r="N79" i="108"/>
  <c r="P79" i="108" s="1"/>
  <c r="N5" i="108"/>
  <c r="P5" i="108" s="1"/>
  <c r="N92" i="108"/>
  <c r="P92" i="108" s="1"/>
  <c r="N77" i="108"/>
  <c r="P77" i="108" s="1"/>
  <c r="N63" i="108"/>
  <c r="P63" i="108" s="1"/>
  <c r="N55" i="108"/>
  <c r="P55" i="108" s="1"/>
  <c r="N70" i="108"/>
  <c r="P70" i="108" s="1"/>
  <c r="N64" i="108"/>
  <c r="P64" i="108" s="1"/>
  <c r="N19" i="108"/>
  <c r="P19" i="108" s="1"/>
  <c r="N56" i="108"/>
  <c r="P56" i="108" s="1"/>
  <c r="N100" i="108"/>
  <c r="P100" i="108" s="1"/>
  <c r="N66" i="108"/>
  <c r="P66" i="108" s="1"/>
  <c r="N18" i="108"/>
  <c r="P18" i="108" s="1"/>
  <c r="N71" i="108"/>
  <c r="P71" i="108" s="1"/>
  <c r="N59" i="108"/>
  <c r="P59" i="108" s="1"/>
  <c r="N93" i="108"/>
  <c r="P93" i="108" s="1"/>
  <c r="N69" i="108"/>
  <c r="P69" i="108" s="1"/>
  <c r="N12" i="108"/>
  <c r="P12" i="108" s="1"/>
  <c r="N74" i="108"/>
  <c r="P74" i="108" s="1"/>
  <c r="N88" i="108"/>
  <c r="P88" i="108" s="1"/>
  <c r="N13" i="108"/>
  <c r="P13" i="108" s="1"/>
  <c r="N54" i="108"/>
  <c r="P54" i="108" s="1"/>
  <c r="N10" i="108"/>
  <c r="P10" i="108" s="1"/>
  <c r="N99" i="108"/>
  <c r="P99" i="108" s="1"/>
  <c r="N89" i="108"/>
  <c r="P89" i="108" s="1"/>
  <c r="N25" i="108"/>
  <c r="P25" i="108" s="1"/>
  <c r="N15" i="108"/>
  <c r="P15" i="108" s="1"/>
  <c r="N6" i="108"/>
  <c r="P6" i="108" s="1"/>
  <c r="N95" i="108"/>
  <c r="P95" i="108" s="1"/>
  <c r="N68" i="108"/>
  <c r="P68" i="108" s="1"/>
  <c r="N87" i="108"/>
  <c r="P87" i="108" s="1"/>
  <c r="N4" i="108"/>
  <c r="P4" i="108" s="1"/>
  <c r="N90" i="108"/>
  <c r="P90" i="108" s="1"/>
  <c r="N62" i="108"/>
  <c r="P62" i="108" s="1"/>
  <c r="N94" i="108"/>
  <c r="P94" i="108" s="1"/>
  <c r="N73" i="108"/>
  <c r="P73" i="108" s="1"/>
  <c r="N57" i="108"/>
  <c r="P57" i="108" s="1"/>
  <c r="N61" i="108"/>
  <c r="P61" i="108" s="1"/>
  <c r="N8" i="108"/>
  <c r="P8" i="108" s="1"/>
  <c r="N78" i="108"/>
  <c r="P78" i="108" s="1"/>
  <c r="N76" i="108"/>
  <c r="P76" i="108" s="1"/>
  <c r="N20" i="108"/>
  <c r="P20" i="108" s="1"/>
  <c r="N21" i="108"/>
  <c r="P21" i="108" s="1"/>
  <c r="N9" i="108"/>
  <c r="P9" i="108" s="1"/>
  <c r="N67" i="108"/>
  <c r="P67" i="108" s="1"/>
  <c r="N75" i="108"/>
  <c r="P75" i="108" s="1"/>
  <c r="N17" i="108"/>
  <c r="P17" i="108" s="1"/>
  <c r="N24" i="108"/>
  <c r="P24" i="108" s="1"/>
  <c r="N28" i="108"/>
  <c r="P28" i="108" s="1"/>
  <c r="N82" i="108"/>
  <c r="P82" i="108" s="1"/>
  <c r="N80" i="108"/>
  <c r="P80" i="108" s="1"/>
  <c r="N65" i="108"/>
  <c r="P65" i="108" s="1"/>
  <c r="N16" i="108"/>
  <c r="P16" i="108" s="1"/>
  <c r="N23" i="108"/>
  <c r="P23" i="108" s="1"/>
  <c r="N14" i="108"/>
  <c r="P14" i="108" s="1"/>
  <c r="N102" i="108"/>
  <c r="P102" i="108" s="1"/>
  <c r="N97" i="108"/>
  <c r="P97" i="108" s="1"/>
  <c r="N81" i="108"/>
  <c r="P81" i="108" s="1"/>
  <c r="N98" i="108"/>
  <c r="P98" i="108" s="1"/>
  <c r="N96" i="108"/>
  <c r="P96" i="108" s="1"/>
  <c r="N7" i="108"/>
  <c r="P7" i="108" s="1"/>
  <c r="N84" i="108"/>
  <c r="P84" i="108" s="1"/>
  <c r="N45" i="108"/>
  <c r="P45" i="108" s="1"/>
  <c r="N39" i="108"/>
  <c r="P39" i="108" s="1"/>
  <c r="N30" i="108"/>
  <c r="P30" i="108" s="1"/>
  <c r="N52" i="108"/>
  <c r="P52" i="108" s="1"/>
  <c r="N37" i="108"/>
  <c r="P37" i="108" s="1"/>
  <c r="N29" i="108"/>
  <c r="P29" i="108" s="1"/>
  <c r="N49" i="108"/>
  <c r="P49" i="108" s="1"/>
  <c r="N47" i="108"/>
  <c r="P47" i="108" s="1"/>
  <c r="N31" i="108"/>
  <c r="P31" i="108" s="1"/>
  <c r="N38" i="108"/>
  <c r="P38" i="108" s="1"/>
  <c r="N40" i="108"/>
  <c r="P40" i="108" s="1"/>
  <c r="N50" i="108"/>
  <c r="P50" i="108" s="1"/>
  <c r="N34" i="108"/>
  <c r="P34" i="108" s="1"/>
  <c r="N42" i="108"/>
  <c r="P42" i="108" s="1"/>
  <c r="N33" i="108"/>
  <c r="P33" i="108" s="1"/>
  <c r="N35" i="108"/>
  <c r="P35" i="108" s="1"/>
  <c r="N51" i="108"/>
  <c r="P51" i="108" s="1"/>
  <c r="Q34" i="105"/>
  <c r="S34" i="105" s="1"/>
  <c r="U34" i="108" s="1"/>
  <c r="Q48" i="105"/>
  <c r="S48" i="105" s="1"/>
  <c r="U48" i="108" s="1"/>
  <c r="Q33" i="105"/>
  <c r="S33" i="105" s="1"/>
  <c r="U33" i="108" s="1"/>
  <c r="Q38" i="105"/>
  <c r="S38" i="105" s="1"/>
  <c r="U38" i="108" s="1"/>
  <c r="Q31" i="105"/>
  <c r="S31" i="105" s="1"/>
  <c r="U31" i="108" s="1"/>
  <c r="Q36" i="105"/>
  <c r="S36" i="105" s="1"/>
  <c r="U36" i="108" s="1"/>
  <c r="Q52" i="105"/>
  <c r="S52" i="105" s="1"/>
  <c r="U52" i="108" s="1"/>
  <c r="Q45" i="105"/>
  <c r="S45" i="105" s="1"/>
  <c r="U45" i="108" s="1"/>
  <c r="Q32" i="105"/>
  <c r="S32" i="105" s="1"/>
  <c r="U32" i="108" s="1"/>
  <c r="Q35" i="105"/>
  <c r="S35" i="105" s="1"/>
  <c r="U35" i="108" s="1"/>
  <c r="Q43" i="105"/>
  <c r="S43" i="105" s="1"/>
  <c r="U43" i="108" s="1"/>
  <c r="Q53" i="105"/>
  <c r="S53" i="105" s="1"/>
  <c r="U53" i="108" s="1"/>
  <c r="Q40" i="105"/>
  <c r="S40" i="105" s="1"/>
  <c r="U40" i="108" s="1"/>
  <c r="Q29" i="105"/>
  <c r="S29" i="105" s="1"/>
  <c r="U29" i="108" s="1"/>
  <c r="Q50" i="105"/>
  <c r="S50" i="105" s="1"/>
  <c r="U50" i="108" s="1"/>
  <c r="Q49" i="105"/>
  <c r="S49" i="105" s="1"/>
  <c r="U49" i="108" s="1"/>
  <c r="Q37" i="105"/>
  <c r="S37" i="105" s="1"/>
  <c r="U37" i="108" s="1"/>
  <c r="Q42" i="105"/>
  <c r="S42" i="105" s="1"/>
  <c r="U42" i="108" s="1"/>
  <c r="Q39" i="105"/>
  <c r="S39" i="105" s="1"/>
  <c r="U39" i="108" s="1"/>
  <c r="Q51" i="105"/>
  <c r="S51" i="105" s="1"/>
  <c r="U51" i="108" s="1"/>
  <c r="Q41" i="105"/>
  <c r="S41" i="105" s="1"/>
  <c r="U41" i="108" s="1"/>
  <c r="Q30" i="105"/>
  <c r="S30" i="105" s="1"/>
  <c r="U30" i="108" s="1"/>
  <c r="Q46" i="105"/>
  <c r="S46" i="105" s="1"/>
  <c r="U46" i="108" s="1"/>
  <c r="Q47" i="105"/>
  <c r="S47" i="105" s="1"/>
  <c r="U47" i="108" s="1"/>
  <c r="Q44" i="105"/>
  <c r="S44" i="105" s="1"/>
  <c r="U44" i="108" s="1"/>
  <c r="W65" i="105"/>
  <c r="W81" i="105"/>
  <c r="W92" i="105"/>
  <c r="W87" i="105"/>
  <c r="W28" i="105"/>
  <c r="W62" i="105"/>
  <c r="W23" i="105"/>
  <c r="W103" i="105"/>
  <c r="W57" i="105"/>
  <c r="W95" i="105"/>
  <c r="W90" i="105"/>
  <c r="W101" i="105"/>
  <c r="W27" i="105"/>
  <c r="W58" i="105"/>
  <c r="W82" i="105"/>
  <c r="W77" i="105"/>
  <c r="W8" i="105"/>
  <c r="W102" i="105"/>
  <c r="W97" i="105"/>
  <c r="W80" i="105"/>
  <c r="W11" i="105"/>
  <c r="W22" i="105"/>
  <c r="W76" i="105"/>
  <c r="W17" i="105"/>
  <c r="W71" i="105"/>
  <c r="W6" i="105"/>
  <c r="W100" i="105"/>
  <c r="W12" i="105"/>
  <c r="W66" i="105"/>
  <c r="W7" i="105"/>
  <c r="W61" i="105"/>
  <c r="W5" i="105"/>
  <c r="W72" i="105"/>
  <c r="W67" i="105"/>
  <c r="W78" i="105"/>
  <c r="W96" i="105"/>
  <c r="W73" i="105"/>
  <c r="W91" i="105"/>
  <c r="W60" i="105"/>
  <c r="W88" i="105"/>
  <c r="W83" i="105"/>
  <c r="W86" i="105"/>
  <c r="W75" i="105"/>
  <c r="W70" i="105"/>
  <c r="W85" i="105"/>
  <c r="W16" i="105"/>
  <c r="W68" i="105"/>
  <c r="W63" i="105"/>
  <c r="W55" i="105"/>
  <c r="W26" i="105"/>
  <c r="W21" i="105"/>
  <c r="W18" i="105"/>
  <c r="W98" i="105"/>
  <c r="W56" i="105"/>
  <c r="W13" i="105"/>
  <c r="W93" i="105"/>
  <c r="W25" i="105"/>
  <c r="W20" i="105"/>
  <c r="W15" i="105"/>
  <c r="W10" i="105"/>
  <c r="L65" i="103"/>
  <c r="L61" i="103"/>
  <c r="L57" i="103"/>
  <c r="L53" i="103"/>
  <c r="L64" i="103"/>
  <c r="L60" i="103"/>
  <c r="L62" i="103"/>
  <c r="L58" i="103"/>
  <c r="L54" i="103"/>
  <c r="L56" i="103"/>
  <c r="L63" i="103"/>
  <c r="L59" i="103"/>
  <c r="L55" i="103"/>
  <c r="N72" i="103"/>
  <c r="M69" i="103"/>
  <c r="M52" i="103" s="1"/>
  <c r="T47" i="108" l="1"/>
  <c r="T33" i="108"/>
  <c r="T78" i="108"/>
  <c r="T27" i="108"/>
  <c r="T56" i="108"/>
  <c r="T94" i="108"/>
  <c r="T5" i="108"/>
  <c r="T92" i="108"/>
  <c r="T77" i="108"/>
  <c r="T6" i="108"/>
  <c r="T68" i="108"/>
  <c r="T82" i="108"/>
  <c r="T75" i="108"/>
  <c r="T28" i="108"/>
  <c r="T88" i="108"/>
  <c r="T64" i="108"/>
  <c r="T80" i="108"/>
  <c r="T83" i="108"/>
  <c r="T22" i="108"/>
  <c r="T72" i="108"/>
  <c r="T15" i="108"/>
  <c r="T87" i="108"/>
  <c r="T69" i="108"/>
  <c r="T84" i="108"/>
  <c r="T79" i="108"/>
  <c r="T26" i="108"/>
  <c r="T11" i="108"/>
  <c r="T91" i="108"/>
  <c r="T62" i="108"/>
  <c r="T60" i="108"/>
  <c r="T10" i="108"/>
  <c r="T16" i="108"/>
  <c r="T23" i="108"/>
  <c r="T102" i="108"/>
  <c r="T61" i="108"/>
  <c r="T71" i="108"/>
  <c r="T67" i="108"/>
  <c r="T57" i="108"/>
  <c r="T38" i="108"/>
  <c r="T45" i="108"/>
  <c r="T52" i="108"/>
  <c r="T29" i="108"/>
  <c r="T44" i="108"/>
  <c r="T36" i="108"/>
  <c r="T41" i="108"/>
  <c r="T39" i="108"/>
  <c r="T31" i="108"/>
  <c r="T34" i="108"/>
  <c r="T30" i="108"/>
  <c r="T49" i="108"/>
  <c r="T40" i="108"/>
  <c r="T51" i="108"/>
  <c r="T35" i="108"/>
  <c r="T43" i="108"/>
  <c r="T50" i="108"/>
  <c r="T42" i="108"/>
  <c r="T32" i="108"/>
  <c r="T48" i="108"/>
  <c r="T9" i="108"/>
  <c r="T58" i="108"/>
  <c r="T85" i="108"/>
  <c r="T17" i="108"/>
  <c r="T24" i="108"/>
  <c r="T55" i="108"/>
  <c r="T25" i="108"/>
  <c r="T93" i="108"/>
  <c r="T98" i="108"/>
  <c r="T95" i="108"/>
  <c r="T8" i="108"/>
  <c r="T20" i="108"/>
  <c r="T86" i="108"/>
  <c r="T65" i="108"/>
  <c r="T74" i="108"/>
  <c r="T103" i="108"/>
  <c r="T100" i="108"/>
  <c r="T97" i="108"/>
  <c r="T7" i="108"/>
  <c r="T4" i="108"/>
  <c r="T70" i="108"/>
  <c r="T81" i="108"/>
  <c r="T90" i="108"/>
  <c r="T13" i="108"/>
  <c r="T54" i="108"/>
  <c r="T99" i="108"/>
  <c r="T89" i="108"/>
  <c r="T73" i="108"/>
  <c r="T66" i="108"/>
  <c r="T63" i="108"/>
  <c r="T18" i="108"/>
  <c r="T59" i="108"/>
  <c r="T12" i="108"/>
  <c r="T19" i="108"/>
  <c r="T96" i="108"/>
  <c r="T76" i="108"/>
  <c r="T21" i="108"/>
  <c r="T101" i="108"/>
  <c r="T14" i="108"/>
  <c r="T46" i="108"/>
  <c r="T53" i="108"/>
  <c r="T37" i="108"/>
  <c r="Y93" i="105"/>
  <c r="Y70" i="105"/>
  <c r="Y5" i="105"/>
  <c r="Y77" i="105"/>
  <c r="Y87" i="105"/>
  <c r="Y13" i="105"/>
  <c r="Y21" i="105"/>
  <c r="Y68" i="105"/>
  <c r="Y75" i="105"/>
  <c r="Y60" i="105"/>
  <c r="Y78" i="105"/>
  <c r="Y61" i="105"/>
  <c r="Y100" i="105"/>
  <c r="Y76" i="105"/>
  <c r="Y97" i="105"/>
  <c r="Y82" i="105"/>
  <c r="Y90" i="105"/>
  <c r="Y23" i="105"/>
  <c r="AC23" i="105" s="1"/>
  <c r="Y92" i="105"/>
  <c r="Y63" i="105"/>
  <c r="Y96" i="105"/>
  <c r="Y17" i="105"/>
  <c r="Y101" i="105"/>
  <c r="Y56" i="105"/>
  <c r="Y26" i="105"/>
  <c r="AC26" i="105" s="1"/>
  <c r="Y16" i="105"/>
  <c r="Y86" i="105"/>
  <c r="Y91" i="105"/>
  <c r="Y67" i="105"/>
  <c r="Y7" i="105"/>
  <c r="Y6" i="105"/>
  <c r="Y22" i="105"/>
  <c r="Y102" i="105"/>
  <c r="Y58" i="105"/>
  <c r="Y95" i="105"/>
  <c r="Y62" i="105"/>
  <c r="Y81" i="105"/>
  <c r="Y18" i="105"/>
  <c r="Y88" i="105"/>
  <c r="Y12" i="105"/>
  <c r="Y80" i="105"/>
  <c r="Y103" i="105"/>
  <c r="Y98" i="105"/>
  <c r="Y55" i="105"/>
  <c r="Y85" i="105"/>
  <c r="Y83" i="105"/>
  <c r="Y73" i="105"/>
  <c r="Y72" i="105"/>
  <c r="Y66" i="105"/>
  <c r="Y71" i="105"/>
  <c r="Y11" i="105"/>
  <c r="Y8" i="105"/>
  <c r="Y27" i="105"/>
  <c r="Y57" i="105"/>
  <c r="Y28" i="105"/>
  <c r="Y65" i="105"/>
  <c r="Y25" i="105"/>
  <c r="Y20" i="105"/>
  <c r="Y15" i="105"/>
  <c r="Y10" i="105"/>
  <c r="W51" i="105"/>
  <c r="W36" i="105"/>
  <c r="W33" i="105"/>
  <c r="AC44" i="105"/>
  <c r="W41" i="105"/>
  <c r="AC49" i="105"/>
  <c r="W52" i="105"/>
  <c r="W35" i="105"/>
  <c r="W53" i="105"/>
  <c r="W45" i="105"/>
  <c r="W42" i="105"/>
  <c r="AC39" i="105"/>
  <c r="W32" i="105"/>
  <c r="AC34" i="105"/>
  <c r="AC29" i="105"/>
  <c r="W30" i="105"/>
  <c r="W40" i="105"/>
  <c r="W37" i="105"/>
  <c r="M62" i="103"/>
  <c r="M58" i="103"/>
  <c r="M54" i="103"/>
  <c r="M53" i="103"/>
  <c r="M63" i="103"/>
  <c r="M59" i="103"/>
  <c r="M55" i="103"/>
  <c r="M61" i="103"/>
  <c r="M64" i="103"/>
  <c r="M60" i="103"/>
  <c r="M56" i="103"/>
  <c r="M65" i="103"/>
  <c r="M57" i="103"/>
  <c r="O72" i="103"/>
  <c r="N69" i="103"/>
  <c r="N52" i="103" s="1"/>
  <c r="AD65" i="105" l="1"/>
  <c r="AD65" i="108"/>
  <c r="AC55" i="105"/>
  <c r="AD55" i="108"/>
  <c r="AC22" i="105"/>
  <c r="AD22" i="108"/>
  <c r="AD82" i="105"/>
  <c r="AD82" i="108"/>
  <c r="AD77" i="105"/>
  <c r="AD77" i="108"/>
  <c r="AC15" i="105"/>
  <c r="AD15" i="108"/>
  <c r="AD28" i="105"/>
  <c r="AD28" i="108"/>
  <c r="AD11" i="105"/>
  <c r="AD11" i="108"/>
  <c r="AD73" i="105"/>
  <c r="AD73" i="108"/>
  <c r="AD98" i="105"/>
  <c r="AD98" i="108"/>
  <c r="AD88" i="105"/>
  <c r="AD88" i="108"/>
  <c r="AC95" i="105"/>
  <c r="AD95" i="108"/>
  <c r="AD6" i="105"/>
  <c r="AD6" i="108"/>
  <c r="AD86" i="105"/>
  <c r="AD86" i="108"/>
  <c r="AD101" i="105"/>
  <c r="AD101" i="108"/>
  <c r="AD92" i="105"/>
  <c r="AD92" i="108"/>
  <c r="AD97" i="105"/>
  <c r="AD97" i="108"/>
  <c r="AD78" i="105"/>
  <c r="AD78" i="108"/>
  <c r="AD21" i="105"/>
  <c r="AD21" i="108"/>
  <c r="AD5" i="105"/>
  <c r="AD5" i="108"/>
  <c r="AD8" i="105"/>
  <c r="AD8" i="108"/>
  <c r="AC12" i="105"/>
  <c r="AD12" i="108"/>
  <c r="AD91" i="105"/>
  <c r="AD91" i="108"/>
  <c r="AD63" i="105"/>
  <c r="AD63" i="108"/>
  <c r="AD61" i="105"/>
  <c r="AD61" i="108"/>
  <c r="AD20" i="105"/>
  <c r="AD20" i="108"/>
  <c r="AC57" i="105"/>
  <c r="AD57" i="108"/>
  <c r="AC71" i="105"/>
  <c r="AD71" i="108"/>
  <c r="AD83" i="105"/>
  <c r="AD83" i="108"/>
  <c r="AC103" i="105"/>
  <c r="AD103" i="108"/>
  <c r="AC18" i="105"/>
  <c r="AD18" i="108"/>
  <c r="AC58" i="105"/>
  <c r="AD58" i="108"/>
  <c r="AD7" i="105"/>
  <c r="AD7" i="108"/>
  <c r="AD16" i="105"/>
  <c r="AD16" i="108"/>
  <c r="AD17" i="105"/>
  <c r="AD17" i="108"/>
  <c r="AD23" i="105"/>
  <c r="AD23" i="108"/>
  <c r="AD76" i="105"/>
  <c r="AD76" i="108"/>
  <c r="AD60" i="105"/>
  <c r="AD60" i="108"/>
  <c r="AC13" i="105"/>
  <c r="AD13" i="108"/>
  <c r="AC70" i="105"/>
  <c r="AD70" i="108"/>
  <c r="AD10" i="105"/>
  <c r="AD10" i="108"/>
  <c r="AD72" i="105"/>
  <c r="AD72" i="108"/>
  <c r="AC62" i="105"/>
  <c r="AD62" i="108"/>
  <c r="AD56" i="105"/>
  <c r="AD56" i="108"/>
  <c r="AD68" i="105"/>
  <c r="AD68" i="108"/>
  <c r="AD25" i="105"/>
  <c r="AD25" i="108"/>
  <c r="AD27" i="105"/>
  <c r="AD27" i="108"/>
  <c r="AD66" i="105"/>
  <c r="AD66" i="108"/>
  <c r="AD85" i="105"/>
  <c r="AD85" i="108"/>
  <c r="AD80" i="105"/>
  <c r="AD80" i="108"/>
  <c r="AD81" i="105"/>
  <c r="AD81" i="108"/>
  <c r="AD102" i="105"/>
  <c r="AD102" i="108"/>
  <c r="AD67" i="105"/>
  <c r="AD67" i="108"/>
  <c r="AD26" i="105"/>
  <c r="AD26" i="108"/>
  <c r="AD96" i="105"/>
  <c r="AD96" i="108"/>
  <c r="AD90" i="105"/>
  <c r="AD90" i="108"/>
  <c r="AD100" i="105"/>
  <c r="AD100" i="108"/>
  <c r="AD75" i="105"/>
  <c r="AD75" i="108"/>
  <c r="AD87" i="105"/>
  <c r="AD87" i="108"/>
  <c r="AD93" i="105"/>
  <c r="AD93" i="108"/>
  <c r="V19" i="108"/>
  <c r="X19" i="108" s="1"/>
  <c r="V81" i="108"/>
  <c r="X81" i="108" s="1"/>
  <c r="AC81" i="108" s="1"/>
  <c r="V65" i="108"/>
  <c r="X65" i="108" s="1"/>
  <c r="AC65" i="108" s="1"/>
  <c r="V95" i="108"/>
  <c r="X95" i="108" s="1"/>
  <c r="AC95" i="108" s="1"/>
  <c r="V42" i="108"/>
  <c r="X42" i="108" s="1"/>
  <c r="V34" i="108"/>
  <c r="X34" i="108" s="1"/>
  <c r="V45" i="108"/>
  <c r="X45" i="108" s="1"/>
  <c r="AC45" i="108" s="1"/>
  <c r="V16" i="108"/>
  <c r="X16" i="108" s="1"/>
  <c r="AC16" i="108" s="1"/>
  <c r="V91" i="108"/>
  <c r="X91" i="108" s="1"/>
  <c r="AC91" i="108" s="1"/>
  <c r="V72" i="108"/>
  <c r="X72" i="108" s="1"/>
  <c r="AC72" i="108" s="1"/>
  <c r="V64" i="108"/>
  <c r="X64" i="108" s="1"/>
  <c r="V82" i="108"/>
  <c r="X82" i="108" s="1"/>
  <c r="AC82" i="108" s="1"/>
  <c r="V27" i="108"/>
  <c r="X27" i="108" s="1"/>
  <c r="AC27" i="108" s="1"/>
  <c r="V53" i="108"/>
  <c r="X53" i="108" s="1"/>
  <c r="AC53" i="108" s="1"/>
  <c r="V21" i="108"/>
  <c r="X21" i="108" s="1"/>
  <c r="AC21" i="108" s="1"/>
  <c r="V12" i="108"/>
  <c r="X12" i="108" s="1"/>
  <c r="AC12" i="108" s="1"/>
  <c r="V66" i="108"/>
  <c r="X66" i="108" s="1"/>
  <c r="AC66" i="108" s="1"/>
  <c r="V54" i="108"/>
  <c r="X54" i="108" s="1"/>
  <c r="V70" i="108"/>
  <c r="X70" i="108" s="1"/>
  <c r="AC70" i="108" s="1"/>
  <c r="V100" i="108"/>
  <c r="X100" i="108" s="1"/>
  <c r="AC100" i="108" s="1"/>
  <c r="V86" i="108"/>
  <c r="X86" i="108" s="1"/>
  <c r="AC86" i="108" s="1"/>
  <c r="V98" i="108"/>
  <c r="X98" i="108" s="1"/>
  <c r="AC98" i="108" s="1"/>
  <c r="V24" i="108"/>
  <c r="X24" i="108" s="1"/>
  <c r="V9" i="108"/>
  <c r="X9" i="108" s="1"/>
  <c r="V50" i="108"/>
  <c r="X50" i="108" s="1"/>
  <c r="AC50" i="108" s="1"/>
  <c r="V40" i="108"/>
  <c r="X40" i="108" s="1"/>
  <c r="AC40" i="108" s="1"/>
  <c r="V31" i="108"/>
  <c r="X31" i="108" s="1"/>
  <c r="AC31" i="108" s="1"/>
  <c r="V44" i="108"/>
  <c r="X44" i="108" s="1"/>
  <c r="V38" i="108"/>
  <c r="X38" i="108" s="1"/>
  <c r="AC38" i="108" s="1"/>
  <c r="V61" i="108"/>
  <c r="X61" i="108" s="1"/>
  <c r="AC61" i="108" s="1"/>
  <c r="V10" i="108"/>
  <c r="X10" i="108" s="1"/>
  <c r="AC10" i="108" s="1"/>
  <c r="V11" i="108"/>
  <c r="X11" i="108" s="1"/>
  <c r="AC11" i="108" s="1"/>
  <c r="V69" i="108"/>
  <c r="X69" i="108" s="1"/>
  <c r="V22" i="108"/>
  <c r="X22" i="108" s="1"/>
  <c r="AC22" i="108" s="1"/>
  <c r="V88" i="108"/>
  <c r="X88" i="108" s="1"/>
  <c r="AC88" i="108" s="1"/>
  <c r="V68" i="108"/>
  <c r="X68" i="108" s="1"/>
  <c r="AC68" i="108" s="1"/>
  <c r="V5" i="108"/>
  <c r="X5" i="108" s="1"/>
  <c r="AC5" i="108" s="1"/>
  <c r="V78" i="108"/>
  <c r="X78" i="108" s="1"/>
  <c r="AC78" i="108" s="1"/>
  <c r="V37" i="108"/>
  <c r="X37" i="108" s="1"/>
  <c r="V63" i="108"/>
  <c r="X63" i="108" s="1"/>
  <c r="AC63" i="108" s="1"/>
  <c r="V58" i="108"/>
  <c r="X58" i="108" s="1"/>
  <c r="AC58" i="108" s="1"/>
  <c r="V84" i="108"/>
  <c r="X84" i="108" s="1"/>
  <c r="V46" i="108"/>
  <c r="X46" i="108" s="1"/>
  <c r="AC46" i="108" s="1"/>
  <c r="V76" i="108"/>
  <c r="X76" i="108" s="1"/>
  <c r="AC76" i="108" s="1"/>
  <c r="V59" i="108"/>
  <c r="X59" i="108" s="1"/>
  <c r="V73" i="108"/>
  <c r="X73" i="108" s="1"/>
  <c r="AC73" i="108" s="1"/>
  <c r="V13" i="108"/>
  <c r="X13" i="108" s="1"/>
  <c r="AC13" i="108" s="1"/>
  <c r="V4" i="108"/>
  <c r="X4" i="108" s="1"/>
  <c r="V103" i="108"/>
  <c r="X103" i="108" s="1"/>
  <c r="AC103" i="108" s="1"/>
  <c r="V20" i="108"/>
  <c r="X20" i="108" s="1"/>
  <c r="AC20" i="108" s="1"/>
  <c r="V93" i="108"/>
  <c r="X93" i="108" s="1"/>
  <c r="AC93" i="108" s="1"/>
  <c r="V17" i="108"/>
  <c r="X17" i="108" s="1"/>
  <c r="AC17" i="108" s="1"/>
  <c r="V48" i="108"/>
  <c r="X48" i="108" s="1"/>
  <c r="AC48" i="108" s="1"/>
  <c r="V43" i="108"/>
  <c r="X43" i="108" s="1"/>
  <c r="AC43" i="108" s="1"/>
  <c r="V49" i="108"/>
  <c r="X49" i="108" s="1"/>
  <c r="V39" i="108"/>
  <c r="X39" i="108" s="1"/>
  <c r="V29" i="108"/>
  <c r="X29" i="108" s="1"/>
  <c r="V57" i="108"/>
  <c r="X57" i="108" s="1"/>
  <c r="AC57" i="108" s="1"/>
  <c r="V102" i="108"/>
  <c r="X102" i="108" s="1"/>
  <c r="AC102" i="108" s="1"/>
  <c r="V60" i="108"/>
  <c r="X60" i="108" s="1"/>
  <c r="AC60" i="108" s="1"/>
  <c r="V26" i="108"/>
  <c r="X26" i="108" s="1"/>
  <c r="AC26" i="108" s="1"/>
  <c r="V87" i="108"/>
  <c r="X87" i="108" s="1"/>
  <c r="AC87" i="108" s="1"/>
  <c r="V83" i="108"/>
  <c r="X83" i="108" s="1"/>
  <c r="AC83" i="108" s="1"/>
  <c r="V28" i="108"/>
  <c r="X28" i="108" s="1"/>
  <c r="AC28" i="108" s="1"/>
  <c r="V6" i="108"/>
  <c r="X6" i="108" s="1"/>
  <c r="AC6" i="108" s="1"/>
  <c r="V94" i="108"/>
  <c r="X94" i="108" s="1"/>
  <c r="V33" i="108"/>
  <c r="X33" i="108" s="1"/>
  <c r="AC33" i="108" s="1"/>
  <c r="V101" i="108"/>
  <c r="X101" i="108" s="1"/>
  <c r="AC101" i="108" s="1"/>
  <c r="V99" i="108"/>
  <c r="X99" i="108" s="1"/>
  <c r="V97" i="108"/>
  <c r="X97" i="108" s="1"/>
  <c r="AC97" i="108" s="1"/>
  <c r="V55" i="108"/>
  <c r="X55" i="108" s="1"/>
  <c r="AC55" i="108" s="1"/>
  <c r="V51" i="108"/>
  <c r="X51" i="108" s="1"/>
  <c r="AC51" i="108" s="1"/>
  <c r="V36" i="108"/>
  <c r="X36" i="108" s="1"/>
  <c r="AC36" i="108" s="1"/>
  <c r="V71" i="108"/>
  <c r="X71" i="108" s="1"/>
  <c r="AC71" i="108" s="1"/>
  <c r="V92" i="108"/>
  <c r="X92" i="108" s="1"/>
  <c r="AC92" i="108" s="1"/>
  <c r="V14" i="108"/>
  <c r="X14" i="108" s="1"/>
  <c r="V96" i="108"/>
  <c r="X96" i="108" s="1"/>
  <c r="AC96" i="108" s="1"/>
  <c r="V18" i="108"/>
  <c r="X18" i="108" s="1"/>
  <c r="AC18" i="108" s="1"/>
  <c r="V89" i="108"/>
  <c r="X89" i="108" s="1"/>
  <c r="V90" i="108"/>
  <c r="X90" i="108" s="1"/>
  <c r="AC90" i="108" s="1"/>
  <c r="V7" i="108"/>
  <c r="X7" i="108" s="1"/>
  <c r="AC7" i="108" s="1"/>
  <c r="V74" i="108"/>
  <c r="X74" i="108" s="1"/>
  <c r="V8" i="108"/>
  <c r="X8" i="108" s="1"/>
  <c r="AC8" i="108" s="1"/>
  <c r="V25" i="108"/>
  <c r="X25" i="108" s="1"/>
  <c r="AC25" i="108" s="1"/>
  <c r="V85" i="108"/>
  <c r="X85" i="108" s="1"/>
  <c r="AC85" i="108" s="1"/>
  <c r="V32" i="108"/>
  <c r="X32" i="108" s="1"/>
  <c r="AC32" i="108" s="1"/>
  <c r="V35" i="108"/>
  <c r="X35" i="108" s="1"/>
  <c r="AC35" i="108" s="1"/>
  <c r="V30" i="108"/>
  <c r="X30" i="108" s="1"/>
  <c r="AC30" i="108" s="1"/>
  <c r="V41" i="108"/>
  <c r="X41" i="108" s="1"/>
  <c r="AC41" i="108" s="1"/>
  <c r="V52" i="108"/>
  <c r="X52" i="108" s="1"/>
  <c r="AC52" i="108" s="1"/>
  <c r="V67" i="108"/>
  <c r="X67" i="108" s="1"/>
  <c r="AC67" i="108" s="1"/>
  <c r="V23" i="108"/>
  <c r="X23" i="108" s="1"/>
  <c r="AC23" i="108" s="1"/>
  <c r="V62" i="108"/>
  <c r="X62" i="108" s="1"/>
  <c r="AC62" i="108" s="1"/>
  <c r="V79" i="108"/>
  <c r="X79" i="108" s="1"/>
  <c r="V15" i="108"/>
  <c r="X15" i="108" s="1"/>
  <c r="AC15" i="108" s="1"/>
  <c r="V80" i="108"/>
  <c r="X80" i="108" s="1"/>
  <c r="AC80" i="108" s="1"/>
  <c r="V75" i="108"/>
  <c r="X75" i="108" s="1"/>
  <c r="AC75" i="108" s="1"/>
  <c r="V77" i="108"/>
  <c r="X77" i="108" s="1"/>
  <c r="AC77" i="108" s="1"/>
  <c r="V56" i="108"/>
  <c r="X56" i="108" s="1"/>
  <c r="AC56" i="108" s="1"/>
  <c r="V47" i="108"/>
  <c r="X47" i="108" s="1"/>
  <c r="AC47" i="108" s="1"/>
  <c r="AC25" i="105"/>
  <c r="AC93" i="105"/>
  <c r="AC76" i="105"/>
  <c r="AC7" i="105"/>
  <c r="AC16" i="105"/>
  <c r="AC90" i="105"/>
  <c r="AC66" i="105"/>
  <c r="AC87" i="105"/>
  <c r="AC96" i="105"/>
  <c r="AC27" i="105"/>
  <c r="AC81" i="105"/>
  <c r="AC102" i="105"/>
  <c r="AC75" i="105"/>
  <c r="AC100" i="105"/>
  <c r="AC5" i="105"/>
  <c r="AC78" i="105"/>
  <c r="AC88" i="105"/>
  <c r="AC11" i="105"/>
  <c r="AC21" i="105"/>
  <c r="AD95" i="105"/>
  <c r="AC82" i="105"/>
  <c r="AC86" i="105"/>
  <c r="AC10" i="105"/>
  <c r="AC101" i="105"/>
  <c r="AC92" i="105"/>
  <c r="AC6" i="105"/>
  <c r="AC67" i="105"/>
  <c r="AC56" i="105"/>
  <c r="AC28" i="105"/>
  <c r="AC85" i="105"/>
  <c r="AC98" i="105"/>
  <c r="AC73" i="105"/>
  <c r="AC97" i="105"/>
  <c r="AC80" i="105"/>
  <c r="AC91" i="105"/>
  <c r="AC63" i="105"/>
  <c r="AC20" i="105"/>
  <c r="AC61" i="105"/>
  <c r="Y40" i="105"/>
  <c r="Y41" i="105"/>
  <c r="AC65" i="105"/>
  <c r="AC77" i="105"/>
  <c r="AC17" i="105"/>
  <c r="AC68" i="105"/>
  <c r="AC8" i="105"/>
  <c r="AC83" i="105"/>
  <c r="AC72" i="105"/>
  <c r="AC60" i="105"/>
  <c r="Y30" i="105"/>
  <c r="AC30" i="105" s="1"/>
  <c r="Y35" i="105"/>
  <c r="AD15" i="105"/>
  <c r="AD57" i="105"/>
  <c r="AD71" i="105"/>
  <c r="AD55" i="105"/>
  <c r="AD103" i="105"/>
  <c r="AD12" i="105"/>
  <c r="AD18" i="105"/>
  <c r="AD62" i="105"/>
  <c r="AD58" i="105"/>
  <c r="AD22" i="105"/>
  <c r="AD13" i="105"/>
  <c r="AD70" i="105"/>
  <c r="Y32" i="105"/>
  <c r="Y51" i="105"/>
  <c r="Y42" i="105"/>
  <c r="Y52" i="105"/>
  <c r="Y33" i="105"/>
  <c r="Y53" i="105"/>
  <c r="Y37" i="105"/>
  <c r="Y45" i="105"/>
  <c r="Y36" i="105"/>
  <c r="W38" i="105"/>
  <c r="W43" i="105"/>
  <c r="W46" i="105"/>
  <c r="W31" i="105"/>
  <c r="W48" i="105"/>
  <c r="W47" i="105"/>
  <c r="W50" i="105"/>
  <c r="P72" i="103"/>
  <c r="P69" i="103" s="1"/>
  <c r="P52" i="103" s="1"/>
  <c r="O69" i="103"/>
  <c r="O52" i="103" s="1"/>
  <c r="N63" i="103"/>
  <c r="N59" i="103"/>
  <c r="N55" i="103"/>
  <c r="N58" i="103"/>
  <c r="N64" i="103"/>
  <c r="N60" i="103"/>
  <c r="N56" i="103"/>
  <c r="N54" i="103"/>
  <c r="N65" i="103"/>
  <c r="N61" i="103"/>
  <c r="N57" i="103"/>
  <c r="N53" i="103"/>
  <c r="N62" i="103"/>
  <c r="AD42" i="105" l="1"/>
  <c r="AD42" i="108"/>
  <c r="AD53" i="105"/>
  <c r="AD53" i="108"/>
  <c r="AD51" i="105"/>
  <c r="AD51" i="108"/>
  <c r="AC41" i="105"/>
  <c r="AD41" i="108"/>
  <c r="AC36" i="105"/>
  <c r="AD36" i="108"/>
  <c r="AD33" i="105"/>
  <c r="AD33" i="108"/>
  <c r="AD32" i="105"/>
  <c r="AD32" i="108"/>
  <c r="AD40" i="105"/>
  <c r="AD40" i="108"/>
  <c r="AC37" i="105"/>
  <c r="AD37" i="108"/>
  <c r="AD30" i="105"/>
  <c r="AD30" i="108"/>
  <c r="AD45" i="105"/>
  <c r="AD45" i="108"/>
  <c r="AD52" i="105"/>
  <c r="AD52" i="108"/>
  <c r="AD35" i="105"/>
  <c r="AD35" i="108"/>
  <c r="AC37" i="108"/>
  <c r="AC42" i="108"/>
  <c r="AC51" i="105"/>
  <c r="AC52" i="105"/>
  <c r="AC32" i="105"/>
  <c r="AC33" i="105"/>
  <c r="AC45" i="105"/>
  <c r="AC53" i="105"/>
  <c r="AC35" i="105"/>
  <c r="AC40" i="105"/>
  <c r="AC42" i="105"/>
  <c r="Y47" i="105"/>
  <c r="Y38" i="105"/>
  <c r="AD36" i="105"/>
  <c r="AD37" i="105"/>
  <c r="AD41" i="105"/>
  <c r="Y48" i="105"/>
  <c r="Y31" i="105"/>
  <c r="Y43" i="105"/>
  <c r="Y50" i="105"/>
  <c r="Y46" i="105"/>
  <c r="O64" i="103"/>
  <c r="O60" i="103"/>
  <c r="O56" i="103"/>
  <c r="O65" i="103"/>
  <c r="O61" i="103"/>
  <c r="O57" i="103"/>
  <c r="O53" i="103"/>
  <c r="O59" i="103"/>
  <c r="O62" i="103"/>
  <c r="O58" i="103"/>
  <c r="O54" i="103"/>
  <c r="O63" i="103"/>
  <c r="O55" i="103"/>
  <c r="P65" i="103"/>
  <c r="P61" i="103"/>
  <c r="P57" i="103"/>
  <c r="P53" i="103"/>
  <c r="P56" i="103"/>
  <c r="P62" i="103"/>
  <c r="P58" i="103"/>
  <c r="P54" i="103"/>
  <c r="P64" i="103"/>
  <c r="P63" i="103"/>
  <c r="P59" i="103"/>
  <c r="P55" i="103"/>
  <c r="P60" i="103"/>
  <c r="AD31" i="105" l="1"/>
  <c r="AD31" i="108"/>
  <c r="AD43" i="105"/>
  <c r="AD43" i="108"/>
  <c r="AD46" i="105"/>
  <c r="AD46" i="108"/>
  <c r="AD48" i="105"/>
  <c r="AD48" i="108"/>
  <c r="AD38" i="105"/>
  <c r="AD38" i="108"/>
  <c r="AC50" i="105"/>
  <c r="AD50" i="108"/>
  <c r="AD47" i="105"/>
  <c r="AD47" i="108"/>
  <c r="AC38" i="105"/>
  <c r="AC48" i="105"/>
  <c r="AC43" i="105"/>
  <c r="AC31" i="105"/>
  <c r="AC46" i="105"/>
  <c r="AC47" i="105"/>
  <c r="AD50" i="105"/>
  <c r="AE86" i="108" l="1"/>
  <c r="AG86" i="108" s="1"/>
  <c r="AM86" i="108" s="1"/>
  <c r="AE71" i="108"/>
  <c r="AG71" i="108" s="1"/>
  <c r="AM71" i="108" s="1"/>
  <c r="AE43" i="108"/>
  <c r="AG43" i="108" s="1"/>
  <c r="AM43" i="108" s="1"/>
  <c r="AE49" i="108"/>
  <c r="AG49" i="108" s="1"/>
  <c r="AM49" i="108" s="1"/>
  <c r="AE25" i="108"/>
  <c r="AG25" i="108" s="1"/>
  <c r="AL25" i="108" s="1"/>
  <c r="AE59" i="108"/>
  <c r="AG59" i="108" s="1"/>
  <c r="AM59" i="108" s="1"/>
  <c r="AE91" i="108"/>
  <c r="AG91" i="108" s="1"/>
  <c r="AM91" i="108" s="1"/>
  <c r="AE4" i="108"/>
  <c r="AG4" i="108" s="1"/>
  <c r="AM4" i="108" s="1"/>
  <c r="AE45" i="108"/>
  <c r="AG45" i="108" s="1"/>
  <c r="AL45" i="108" s="1"/>
  <c r="AE67" i="108"/>
  <c r="AG67" i="108" s="1"/>
  <c r="AL67" i="108" s="1"/>
  <c r="AE30" i="108"/>
  <c r="AG30" i="108" s="1"/>
  <c r="AM30" i="108" s="1"/>
  <c r="AE57" i="108"/>
  <c r="AG57" i="108" s="1"/>
  <c r="AE70" i="108"/>
  <c r="AG70" i="108" s="1"/>
  <c r="AM70" i="108" s="1"/>
  <c r="AE40" i="108"/>
  <c r="AG40" i="108" s="1"/>
  <c r="AM40" i="108" s="1"/>
  <c r="AE101" i="108"/>
  <c r="AG101" i="108" s="1"/>
  <c r="AL101" i="108" s="1"/>
  <c r="AE19" i="108"/>
  <c r="AG19" i="108" s="1"/>
  <c r="AM19" i="108" s="1"/>
  <c r="AE55" i="108"/>
  <c r="AG55" i="108" s="1"/>
  <c r="AM55" i="108" s="1"/>
  <c r="AE100" i="108"/>
  <c r="AG100" i="108" s="1"/>
  <c r="AL100" i="108" s="1"/>
  <c r="AE61" i="108"/>
  <c r="AG61" i="108" s="1"/>
  <c r="AL61" i="108" s="1"/>
  <c r="AE69" i="108"/>
  <c r="AG69" i="108" s="1"/>
  <c r="AL69" i="108" s="1"/>
  <c r="AE64" i="108"/>
  <c r="AG64" i="108" s="1"/>
  <c r="AM64" i="108" s="1"/>
  <c r="AE65" i="108"/>
  <c r="AG65" i="108" s="1"/>
  <c r="AL65" i="108" s="1"/>
  <c r="AE80" i="108"/>
  <c r="AG80" i="108" s="1"/>
  <c r="AL80" i="108" s="1"/>
  <c r="AE38" i="108"/>
  <c r="AG38" i="108" s="1"/>
  <c r="AL38" i="108" s="1"/>
  <c r="AE39" i="108"/>
  <c r="AG39" i="108" s="1"/>
  <c r="AM39" i="108" s="1"/>
  <c r="AE15" i="108"/>
  <c r="AG15" i="108" s="1"/>
  <c r="AM15" i="108" s="1"/>
  <c r="AE82" i="108"/>
  <c r="AG82" i="108" s="1"/>
  <c r="AM82" i="108" s="1"/>
  <c r="AE99" i="108"/>
  <c r="AG99" i="108" s="1"/>
  <c r="AL99" i="108" s="1"/>
  <c r="AE102" i="108"/>
  <c r="AG102" i="108" s="1"/>
  <c r="AM102" i="108" s="1"/>
  <c r="AE9" i="108"/>
  <c r="AG9" i="108" s="1"/>
  <c r="AM9" i="108" s="1"/>
  <c r="AE74" i="108"/>
  <c r="AG74" i="108" s="1"/>
  <c r="AL74" i="108" s="1"/>
  <c r="AE31" i="108"/>
  <c r="AG31" i="108" s="1"/>
  <c r="AM31" i="108" s="1"/>
  <c r="AE22" i="108"/>
  <c r="AG22" i="108" s="1"/>
  <c r="AL22" i="108" s="1"/>
  <c r="AE81" i="108"/>
  <c r="AG81" i="108" s="1"/>
  <c r="AL81" i="108" s="1"/>
  <c r="AE29" i="108"/>
  <c r="AG29" i="108" s="1"/>
  <c r="AM29" i="108" s="1"/>
  <c r="AE92" i="108"/>
  <c r="AG92" i="108" s="1"/>
  <c r="AL92" i="108" s="1"/>
  <c r="AE16" i="108"/>
  <c r="AG16" i="108" s="1"/>
  <c r="AL16" i="108" s="1"/>
  <c r="AE17" i="108"/>
  <c r="AG17" i="108" s="1"/>
  <c r="AL17" i="108" s="1"/>
  <c r="AE88" i="108"/>
  <c r="AG88" i="108" s="1"/>
  <c r="AL88" i="108" s="1"/>
  <c r="AE90" i="108"/>
  <c r="AG90" i="108" s="1"/>
  <c r="AM90" i="108" s="1"/>
  <c r="AE68" i="108"/>
  <c r="AG68" i="108" s="1"/>
  <c r="AM68" i="108" s="1"/>
  <c r="AE34" i="108"/>
  <c r="AG34" i="108" s="1"/>
  <c r="AE56" i="108"/>
  <c r="AG56" i="108" s="1"/>
  <c r="AM56" i="108" s="1"/>
  <c r="AE72" i="108"/>
  <c r="AG72" i="108" s="1"/>
  <c r="AL72" i="108" s="1"/>
  <c r="AE60" i="108"/>
  <c r="AG60" i="108" s="1"/>
  <c r="AL60" i="108" s="1"/>
  <c r="AE42" i="108"/>
  <c r="AG42" i="108" s="1"/>
  <c r="AM42" i="108" s="1"/>
  <c r="AE83" i="108"/>
  <c r="AG83" i="108" s="1"/>
  <c r="AM83" i="108" s="1"/>
  <c r="AE97" i="108"/>
  <c r="AG97" i="108" s="1"/>
  <c r="AM97" i="108" s="1"/>
  <c r="AE13" i="108"/>
  <c r="AG13" i="108" s="1"/>
  <c r="AL13" i="108" s="1"/>
  <c r="AE14" i="108"/>
  <c r="AG14" i="108" s="1"/>
  <c r="AE79" i="108"/>
  <c r="AG79" i="108" s="1"/>
  <c r="AE21" i="108"/>
  <c r="AG21" i="108" s="1"/>
  <c r="AL21" i="108" s="1"/>
  <c r="AE32" i="108"/>
  <c r="AG32" i="108" s="1"/>
  <c r="AL32" i="108" s="1"/>
  <c r="AE12" i="108"/>
  <c r="AG12" i="108" s="1"/>
  <c r="AL12" i="108" s="1"/>
  <c r="AE23" i="108"/>
  <c r="AG23" i="108" s="1"/>
  <c r="AM23" i="108" s="1"/>
  <c r="AE94" i="108"/>
  <c r="AG94" i="108" s="1"/>
  <c r="AE93" i="108"/>
  <c r="AG93" i="108" s="1"/>
  <c r="AM93" i="108" s="1"/>
  <c r="AE18" i="108"/>
  <c r="AG18" i="108" s="1"/>
  <c r="AL18" i="108" s="1"/>
  <c r="AE103" i="108"/>
  <c r="AG103" i="108" s="1"/>
  <c r="AL103" i="108" s="1"/>
  <c r="AE63" i="108"/>
  <c r="AG63" i="108" s="1"/>
  <c r="AL63" i="108" s="1"/>
  <c r="AE75" i="108"/>
  <c r="AG75" i="108" s="1"/>
  <c r="AM75" i="108" s="1"/>
  <c r="AE7" i="108"/>
  <c r="AG7" i="108" s="1"/>
  <c r="AM7" i="108" s="1"/>
  <c r="AE6" i="108"/>
  <c r="AG6" i="108" s="1"/>
  <c r="AM6" i="108" s="1"/>
  <c r="AE58" i="108"/>
  <c r="AG58" i="108" s="1"/>
  <c r="AM58" i="108" s="1"/>
  <c r="AE33" i="108"/>
  <c r="AG33" i="108" s="1"/>
  <c r="AE96" i="108"/>
  <c r="AG96" i="108" s="1"/>
  <c r="AM96" i="108" s="1"/>
  <c r="AE26" i="108"/>
  <c r="AG26" i="108" s="1"/>
  <c r="AM26" i="108" s="1"/>
  <c r="AE5" i="108"/>
  <c r="AG5" i="108" s="1"/>
  <c r="AM5" i="108" s="1"/>
  <c r="AE27" i="108"/>
  <c r="AG27" i="108" s="1"/>
  <c r="AL27" i="108" s="1"/>
  <c r="AE46" i="108"/>
  <c r="AG46" i="108" s="1"/>
  <c r="AE50" i="108"/>
  <c r="AG50" i="108" s="1"/>
  <c r="AE41" i="108"/>
  <c r="AG41" i="108" s="1"/>
  <c r="AM41" i="108" s="1"/>
  <c r="AE36" i="108"/>
  <c r="AG36" i="108" s="1"/>
  <c r="AL36" i="108" s="1"/>
  <c r="AE48" i="108"/>
  <c r="AG48" i="108" s="1"/>
  <c r="AE51" i="108"/>
  <c r="AG51" i="108" s="1"/>
  <c r="AE35" i="108"/>
  <c r="AG35" i="108" s="1"/>
  <c r="AE52" i="108"/>
  <c r="AG52" i="108" s="1"/>
  <c r="AE66" i="108"/>
  <c r="AG66" i="108" s="1"/>
  <c r="AM66" i="108" s="1"/>
  <c r="AE47" i="108"/>
  <c r="AG47" i="108" s="1"/>
  <c r="AE62" i="108"/>
  <c r="AG62" i="108" s="1"/>
  <c r="AM62" i="108" s="1"/>
  <c r="AE54" i="108"/>
  <c r="AG54" i="108" s="1"/>
  <c r="AE73" i="108"/>
  <c r="AG73" i="108" s="1"/>
  <c r="AM73" i="108" s="1"/>
  <c r="AE53" i="108"/>
  <c r="AG53" i="108" s="1"/>
  <c r="AM53" i="108" s="1"/>
  <c r="AE20" i="108"/>
  <c r="AG20" i="108" s="1"/>
  <c r="AL20" i="108" s="1"/>
  <c r="AE77" i="108"/>
  <c r="AG77" i="108" s="1"/>
  <c r="AL77" i="108" s="1"/>
  <c r="AE11" i="108"/>
  <c r="AG11" i="108" s="1"/>
  <c r="AM11" i="108" s="1"/>
  <c r="AE24" i="108"/>
  <c r="AG24" i="108" s="1"/>
  <c r="AE10" i="108"/>
  <c r="AG10" i="108" s="1"/>
  <c r="AM10" i="108" s="1"/>
  <c r="AE87" i="108"/>
  <c r="AG87" i="108" s="1"/>
  <c r="AL87" i="108" s="1"/>
  <c r="AE85" i="108"/>
  <c r="AG85" i="108" s="1"/>
  <c r="AM85" i="108" s="1"/>
  <c r="AE84" i="108"/>
  <c r="AG84" i="108" s="1"/>
  <c r="AE8" i="108"/>
  <c r="AG8" i="108" s="1"/>
  <c r="AL8" i="108" s="1"/>
  <c r="AE28" i="108"/>
  <c r="AG28" i="108" s="1"/>
  <c r="AL28" i="108" s="1"/>
  <c r="AE98" i="108"/>
  <c r="AG98" i="108" s="1"/>
  <c r="AM98" i="108" s="1"/>
  <c r="AE37" i="108"/>
  <c r="AG37" i="108" s="1"/>
  <c r="AL37" i="108" s="1"/>
  <c r="AE89" i="108"/>
  <c r="AG89" i="108" s="1"/>
  <c r="AE44" i="108"/>
  <c r="AG44" i="108" s="1"/>
  <c r="AE76" i="108"/>
  <c r="AG76" i="108" s="1"/>
  <c r="AM76" i="108" s="1"/>
  <c r="AE78" i="108"/>
  <c r="AG78" i="108" s="1"/>
  <c r="AL78" i="108" s="1"/>
  <c r="AE95" i="108"/>
  <c r="AG95" i="108" s="1"/>
  <c r="AM95" i="108" s="1"/>
  <c r="AL86" i="108"/>
  <c r="AM101" i="108" l="1"/>
  <c r="AL43" i="108"/>
  <c r="AL71" i="108"/>
  <c r="AM99" i="108"/>
  <c r="AL59" i="108"/>
  <c r="AL30" i="108"/>
  <c r="AM74" i="108"/>
  <c r="AM38" i="108"/>
  <c r="AM69" i="108"/>
  <c r="AL19" i="108"/>
  <c r="AL7" i="108"/>
  <c r="AM18" i="108"/>
  <c r="AM72" i="108"/>
  <c r="AL23" i="108"/>
  <c r="AL90" i="108"/>
  <c r="AL4" i="108"/>
  <c r="AM92" i="108"/>
  <c r="AL10" i="108"/>
  <c r="AL62" i="108"/>
  <c r="AM20" i="108"/>
  <c r="AM12" i="108"/>
  <c r="AM60" i="108"/>
  <c r="AL31" i="108"/>
  <c r="AL64" i="108"/>
  <c r="AL49" i="108"/>
  <c r="AL75" i="108"/>
  <c r="AL66" i="108"/>
  <c r="AL96" i="108"/>
  <c r="AL55" i="108"/>
  <c r="AL39" i="108"/>
  <c r="AL53" i="108"/>
  <c r="AM16" i="108"/>
  <c r="AL70" i="108"/>
  <c r="AL11" i="108"/>
  <c r="AM22" i="108"/>
  <c r="AM45" i="108"/>
  <c r="AL102" i="108"/>
  <c r="AL58" i="108"/>
  <c r="AM25" i="108"/>
  <c r="AM67" i="108"/>
  <c r="AL68" i="108"/>
  <c r="AM28" i="108"/>
  <c r="AL26" i="108"/>
  <c r="AL6" i="108"/>
  <c r="AM77" i="108"/>
  <c r="AL83" i="108"/>
  <c r="AM13" i="108"/>
  <c r="AM27" i="108"/>
  <c r="AM61" i="108"/>
  <c r="AL56" i="108"/>
  <c r="AM36" i="108"/>
  <c r="AL29" i="108"/>
  <c r="AM32" i="108"/>
  <c r="AM88" i="108"/>
  <c r="AL93" i="108"/>
  <c r="AM80" i="108"/>
  <c r="AL82" i="108"/>
  <c r="AL91" i="108"/>
  <c r="AL95" i="108"/>
  <c r="AL9" i="108"/>
  <c r="AM57" i="108"/>
  <c r="AL57" i="108"/>
  <c r="AL40" i="108"/>
  <c r="AM21" i="108"/>
  <c r="AM65" i="108"/>
  <c r="AL15" i="108"/>
  <c r="AM63" i="108"/>
  <c r="AL85" i="108"/>
  <c r="AM100" i="108"/>
  <c r="AL5" i="108"/>
  <c r="AL97" i="108"/>
  <c r="AM81" i="108"/>
  <c r="AM17" i="108"/>
  <c r="AL76" i="108"/>
  <c r="AL41" i="108"/>
  <c r="AL73" i="108"/>
  <c r="AL98" i="108"/>
  <c r="AM78" i="108"/>
  <c r="AM84" i="108"/>
  <c r="AL84" i="108"/>
  <c r="AM103" i="108"/>
  <c r="AM89" i="108"/>
  <c r="AL89" i="108"/>
  <c r="AM35" i="108"/>
  <c r="AL35" i="108"/>
  <c r="AM94" i="108"/>
  <c r="AL94" i="108"/>
  <c r="AM34" i="108"/>
  <c r="AL34" i="108"/>
  <c r="AM79" i="108"/>
  <c r="AL79" i="108"/>
  <c r="AM54" i="108"/>
  <c r="AL54" i="108"/>
  <c r="AM51" i="108"/>
  <c r="AL51" i="108"/>
  <c r="AM48" i="108"/>
  <c r="AL48" i="108"/>
  <c r="AM46" i="108"/>
  <c r="AL46" i="108"/>
  <c r="AM14" i="108"/>
  <c r="AL14" i="108"/>
  <c r="AM47" i="108"/>
  <c r="AL47" i="108"/>
  <c r="AM50" i="108"/>
  <c r="AL50" i="108"/>
  <c r="AM8" i="108"/>
  <c r="AM87" i="108"/>
  <c r="AM44" i="108"/>
  <c r="AL44" i="108"/>
  <c r="AM24" i="108"/>
  <c r="AL24" i="108"/>
  <c r="AM52" i="108"/>
  <c r="AL52" i="108"/>
  <c r="AM33" i="108"/>
  <c r="AL33" i="108"/>
  <c r="AM37" i="108"/>
  <c r="AL42" i="10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Brad GRIFFIN</author>
    <author>Griffin</author>
  </authors>
  <commentList>
    <comment ref="AO2" authorId="0" shapeId="0" xr:uid="{B1E76900-1E3B-4757-9138-EBA93A61E984}">
      <text>
        <r>
          <rPr>
            <sz val="9"/>
            <color indexed="81"/>
            <rFont val="Tahoma"/>
            <family val="2"/>
          </rPr>
          <t>We can provide activity amounts (e.g. population or number of houses per person) for all years and prices (for all fuels and services) in the first year of simulation.</t>
        </r>
      </text>
    </comment>
    <comment ref="AK21" authorId="1" shapeId="0" xr:uid="{6BC6E59B-8E59-4345-B4AD-51539FDC3157}">
      <text>
        <r>
          <rPr>
            <sz val="9"/>
            <color indexed="81"/>
            <rFont val="Tahoma"/>
            <family val="2"/>
          </rPr>
          <t>If no price given, should calculate endogenously. If price given, should use that value instead of the price calc iteration.</t>
        </r>
      </text>
    </comment>
    <comment ref="AK22" authorId="1" shapeId="0" xr:uid="{2181219F-CC40-4DA4-955E-9CD1FF9D0302}">
      <text>
        <r>
          <rPr>
            <sz val="9"/>
            <color indexed="81"/>
            <rFont val="Tahoma"/>
            <family val="2"/>
          </rPr>
          <t>If no price given, should calculate endogenously. If price given, should use that value instead of the price calc iteration.</t>
        </r>
      </text>
    </comment>
    <comment ref="AK23" authorId="1" shapeId="0" xr:uid="{FC3AEF96-72E1-42FB-9C44-9D449FC3016E}">
      <text>
        <r>
          <rPr>
            <sz val="9"/>
            <color indexed="81"/>
            <rFont val="Tahoma"/>
            <family val="2"/>
          </rPr>
          <t>If no price given, should calculate endogenously. If price given, should use that value instead of the price calc iteration.</t>
        </r>
      </text>
    </comment>
    <comment ref="AK24" authorId="1" shapeId="0" xr:uid="{21FA5C0D-630A-4248-8CD3-4490F66C1285}">
      <text>
        <r>
          <rPr>
            <sz val="9"/>
            <color indexed="81"/>
            <rFont val="Tahoma"/>
            <family val="2"/>
          </rPr>
          <t>If no price given, should calculate endogenously. If price given, should use that value instead of the price calc iteration.</t>
        </r>
      </text>
    </comment>
    <comment ref="AK25" authorId="1" shapeId="0" xr:uid="{EEAD2AFB-F241-465A-AAFE-CECE11F2ADF2}">
      <text>
        <r>
          <rPr>
            <sz val="9"/>
            <color indexed="81"/>
            <rFont val="Tahoma"/>
            <family val="2"/>
          </rPr>
          <t>If no price given, should calculate endogenously. If price given, should use that value instead of the price calc iteration.</t>
        </r>
      </text>
    </comment>
    <comment ref="AK63" authorId="0" shapeId="0" xr:uid="{B023EF81-19BC-49C7-A9A2-B8BE9ACE056F}">
      <text>
        <r>
          <rPr>
            <sz val="9"/>
            <color indexed="81"/>
            <rFont val="Tahoma"/>
            <family val="2"/>
          </rPr>
          <t>If no value given, should be 1.</t>
        </r>
      </text>
    </comment>
    <comment ref="AK64" authorId="0" shapeId="0" xr:uid="{62F89659-0AFE-463C-AF96-39A4BE8CFB88}">
      <text>
        <r>
          <rPr>
            <sz val="9"/>
            <color indexed="81"/>
            <rFont val="Tahoma"/>
            <family val="2"/>
          </rPr>
          <t>If no value given, should be 0.</t>
        </r>
      </text>
    </comment>
    <comment ref="AK65" authorId="0" shapeId="0" xr:uid="{B87C774E-1BCE-4724-A637-0E292A58064F}">
      <text>
        <r>
          <rPr>
            <sz val="9"/>
            <color indexed="81"/>
            <rFont val="Tahoma"/>
            <family val="2"/>
          </rPr>
          <t>End use demanded for each technology per unit of demand (in this case, GJ of heating per m2 of floorspace for each shell type (e.g. Pre-1960)</t>
        </r>
      </text>
    </comment>
    <comment ref="AK76" authorId="0" shapeId="0" xr:uid="{C3BD23C2-9D66-4B01-84C2-2B4BD0F11C93}">
      <text>
        <r>
          <rPr>
            <sz val="9"/>
            <color indexed="81"/>
            <rFont val="Tahoma"/>
            <family val="2"/>
          </rPr>
          <t>If no value given, should be 1.</t>
        </r>
      </text>
    </comment>
    <comment ref="AK77" authorId="0" shapeId="0" xr:uid="{FB3186F4-177C-4601-8169-4DC144FA38B9}">
      <text>
        <r>
          <rPr>
            <sz val="9"/>
            <color indexed="81"/>
            <rFont val="Tahoma"/>
            <family val="2"/>
          </rPr>
          <t>If no value given, should be 0.</t>
        </r>
      </text>
    </comment>
    <comment ref="AK89" authorId="0" shapeId="0" xr:uid="{CE200173-A7B8-450F-B12A-8B33738D058E}">
      <text>
        <r>
          <rPr>
            <sz val="9"/>
            <color indexed="81"/>
            <rFont val="Tahoma"/>
            <family val="2"/>
          </rPr>
          <t>If no value given, should be 1.</t>
        </r>
      </text>
    </comment>
    <comment ref="AK90" authorId="0" shapeId="0" xr:uid="{75DD939B-38FB-42B6-B893-163805995F01}">
      <text>
        <r>
          <rPr>
            <sz val="9"/>
            <color indexed="81"/>
            <rFont val="Tahoma"/>
            <family val="2"/>
          </rPr>
          <t>If no value given, should be 0.</t>
        </r>
      </text>
    </comment>
    <comment ref="AK102" authorId="0" shapeId="0" xr:uid="{48DD24B6-A31B-469A-BBD2-7BB2A0EC1317}">
      <text>
        <r>
          <rPr>
            <sz val="9"/>
            <color indexed="81"/>
            <rFont val="Tahoma"/>
            <family val="2"/>
          </rPr>
          <t>If no value given, should be 1.</t>
        </r>
      </text>
    </comment>
    <comment ref="AK103" authorId="0" shapeId="0" xr:uid="{163EAFE3-D799-49B0-9948-2527CFD98A1B}">
      <text>
        <r>
          <rPr>
            <sz val="9"/>
            <color indexed="81"/>
            <rFont val="Tahoma"/>
            <family val="2"/>
          </rPr>
          <t>If no value given, should be 0.</t>
        </r>
      </text>
    </comment>
    <comment ref="AK115" authorId="0" shapeId="0" xr:uid="{99A66BA7-80C8-445A-9BE1-E3A1B10A1572}">
      <text>
        <r>
          <rPr>
            <sz val="9"/>
            <color indexed="81"/>
            <rFont val="Tahoma"/>
            <family val="2"/>
          </rPr>
          <t>If no value given, should be 1.</t>
        </r>
      </text>
    </comment>
    <comment ref="AK116" authorId="0" shapeId="0" xr:uid="{EA670CE7-D256-48CE-8241-3B1EEF7C620F}">
      <text>
        <r>
          <rPr>
            <sz val="9"/>
            <color indexed="81"/>
            <rFont val="Tahoma"/>
            <family val="2"/>
          </rPr>
          <t>If no value given, should be 0.</t>
        </r>
      </text>
    </comment>
    <comment ref="AK134" authorId="0" shapeId="0" xr:uid="{C8DE0438-BE72-4626-BC86-006F0DFF2B6E}">
      <text>
        <r>
          <rPr>
            <sz val="9"/>
            <color indexed="81"/>
            <rFont val="Tahoma"/>
            <family val="2"/>
          </rPr>
          <t>If no value given, should be 1.</t>
        </r>
      </text>
    </comment>
    <comment ref="AK135" authorId="0" shapeId="0" xr:uid="{6D3250B4-7D35-4B94-B87E-6870A73D5200}">
      <text>
        <r>
          <rPr>
            <sz val="9"/>
            <color indexed="81"/>
            <rFont val="Tahoma"/>
            <family val="2"/>
          </rPr>
          <t>If no value given, should be 0.</t>
        </r>
      </text>
    </comment>
    <comment ref="AK136" authorId="0" shapeId="0" xr:uid="{E0B3380B-813F-4D74-87FC-026DDCD7DDF7}">
      <text>
        <r>
          <rPr>
            <sz val="9"/>
            <color indexed="81"/>
            <rFont val="Tahoma"/>
            <family val="2"/>
          </rPr>
          <t>If no value given, should be 1.</t>
        </r>
      </text>
    </comment>
    <comment ref="AK137" authorId="0" shapeId="0" xr:uid="{215F38F0-FF59-4B38-A481-E643E4F7553C}">
      <text>
        <r>
          <rPr>
            <sz val="9"/>
            <color indexed="81"/>
            <rFont val="Tahoma"/>
            <family val="2"/>
          </rPr>
          <t>If no value given, should be 0.</t>
        </r>
      </text>
    </comment>
    <comment ref="AM138" authorId="0" shapeId="0" xr:uid="{2BE6BAE8-512B-4232-A46E-89CFD372A16C}">
      <text>
        <r>
          <rPr>
            <sz val="9"/>
            <color indexed="81"/>
            <rFont val="Tahoma"/>
            <family val="2"/>
          </rPr>
          <t>This is the inverse of efficiency (GJ of energy provided per GJ of fuel used).</t>
        </r>
      </text>
    </comment>
    <comment ref="AK143" authorId="1" shapeId="0" xr:uid="{D3E45037-5E46-4159-AD48-44BCF676478A}">
      <text>
        <r>
          <rPr>
            <sz val="9"/>
            <color indexed="81"/>
            <rFont val="Tahoma"/>
            <family val="2"/>
          </rPr>
          <t>Service cost =
Service demand * weighted average Life Cycle Cost of child technologies
Life Cycle Cost=
Capital cost +
Operating cost +
Intangible cost +
Service cost</t>
        </r>
      </text>
    </comment>
    <comment ref="AO143" authorId="1" shapeId="0" xr:uid="{5D36C35E-8936-4C5B-8286-6980AEEFB65E}">
      <text>
        <r>
          <rPr>
            <sz val="9"/>
            <color indexed="81"/>
            <rFont val="Tahoma"/>
            <family val="2"/>
          </rPr>
          <t>Weighted average of LCCs from child node.
Use previous year final value to start next year price iterations.
Use previous iteration supply prices to calculate weighted average for current iteration.</t>
        </r>
      </text>
    </comment>
    <comment ref="AK144" authorId="0" shapeId="0" xr:uid="{A952F832-B8D6-4923-8F75-6D6D11C11D11}">
      <text>
        <r>
          <rPr>
            <sz val="9"/>
            <color indexed="81"/>
            <rFont val="Tahoma"/>
            <family val="2"/>
          </rPr>
          <t>If no value given, should be 1.</t>
        </r>
      </text>
    </comment>
    <comment ref="AK145" authorId="0" shapeId="0" xr:uid="{F40F47D0-D77F-4B57-8FE0-00E1F0427474}">
      <text>
        <r>
          <rPr>
            <sz val="9"/>
            <color indexed="81"/>
            <rFont val="Tahoma"/>
            <family val="2"/>
          </rPr>
          <t>If no value given, should be 0.</t>
        </r>
      </text>
    </comment>
    <comment ref="AK146" authorId="0" shapeId="0" xr:uid="{E613CB99-830E-40D8-850C-E013B3897154}">
      <text>
        <r>
          <rPr>
            <sz val="9"/>
            <color indexed="81"/>
            <rFont val="Tahoma"/>
            <family val="2"/>
          </rPr>
          <t>If no value given, should be 1.</t>
        </r>
      </text>
    </comment>
    <comment ref="AK147" authorId="0" shapeId="0" xr:uid="{6CFC2874-234D-4248-A5D4-22848551FA1A}">
      <text>
        <r>
          <rPr>
            <sz val="9"/>
            <color indexed="81"/>
            <rFont val="Tahoma"/>
            <family val="2"/>
          </rPr>
          <t>If no value given, should be 0.</t>
        </r>
      </text>
    </comment>
    <comment ref="AM148" authorId="0" shapeId="0" xr:uid="{FFCF7C71-4079-4C5B-BD7A-C4A0B2518245}">
      <text>
        <r>
          <rPr>
            <sz val="9"/>
            <color indexed="81"/>
            <rFont val="Tahoma"/>
            <family val="2"/>
          </rPr>
          <t>This ratio is to pass along the GJ requirement (i.e. we want 1 GJ of heating, so require 1 GJ of furnace heating)</t>
        </r>
      </text>
    </comment>
    <comment ref="AL164" authorId="0" shapeId="0" xr:uid="{5654881E-1B78-4A51-901E-AB3E3B5B2686}">
      <text>
        <r>
          <rPr>
            <sz val="9"/>
            <color indexed="81"/>
            <rFont val="Tahoma"/>
            <family val="2"/>
          </rPr>
          <t>Note this is Canada, not Alberta for this fuel/price.
Need some way to actually allocate fuel at this point so that we can calculate GHG emissions later.</t>
        </r>
      </text>
    </comment>
    <comment ref="AL165" authorId="0" shapeId="0" xr:uid="{E291F844-97EA-4115-B307-96923805DF1A}">
      <text>
        <r>
          <rPr>
            <sz val="9"/>
            <color indexed="81"/>
            <rFont val="Tahoma"/>
            <family val="2"/>
          </rPr>
          <t>Note this is Canada, not Alberta for this fuel/price.
Need some way to actually allocate fuel at this point so that we can calculate GHG emissions later.</t>
        </r>
      </text>
    </comment>
    <comment ref="AM165" authorId="0" shapeId="0" xr:uid="{8CAFC440-5F11-4A7A-8EFE-24145CCDCC3C}">
      <text>
        <r>
          <rPr>
            <sz val="9"/>
            <color indexed="81"/>
            <rFont val="Tahoma"/>
            <family val="2"/>
          </rPr>
          <t>This is the inverse of efficiency (GJ of energy provided per GJ of fuel used).</t>
        </r>
      </text>
    </comment>
    <comment ref="AK177" authorId="0" shapeId="0" xr:uid="{14986DB0-0B57-444D-857D-2159EB947BE2}">
      <text>
        <r>
          <rPr>
            <sz val="9"/>
            <color indexed="81"/>
            <rFont val="Tahoma"/>
            <family val="2"/>
          </rPr>
          <t>If no value given, should be 1.</t>
        </r>
      </text>
    </comment>
    <comment ref="AK178" authorId="0" shapeId="0" xr:uid="{013B5304-FBEE-467B-B8EF-23E85CC51E47}">
      <text>
        <r>
          <rPr>
            <sz val="9"/>
            <color indexed="81"/>
            <rFont val="Tahoma"/>
            <family val="2"/>
          </rPr>
          <t>If no value given, should be 0.</t>
        </r>
      </text>
    </comment>
    <comment ref="AM179" authorId="0" shapeId="0" xr:uid="{4DFB2519-B8E6-4EE2-8554-624BEC2C1257}">
      <text>
        <r>
          <rPr>
            <sz val="9"/>
            <color indexed="81"/>
            <rFont val="Tahoma"/>
            <family val="2"/>
          </rPr>
          <t>This is the inverse of efficiency (GJ of energy provided per GJ of fuel used).</t>
        </r>
      </text>
    </comment>
    <comment ref="AK190" authorId="0" shapeId="0" xr:uid="{7252C6F5-6F1F-4E06-AE70-45F619ACE0EC}">
      <text>
        <r>
          <rPr>
            <sz val="9"/>
            <color indexed="81"/>
            <rFont val="Tahoma"/>
            <family val="2"/>
          </rPr>
          <t>If no value given, should be 1.</t>
        </r>
      </text>
    </comment>
    <comment ref="AK191" authorId="0" shapeId="0" xr:uid="{51D19E81-5B75-4519-868A-6AC785A5B322}">
      <text>
        <r>
          <rPr>
            <sz val="9"/>
            <color indexed="81"/>
            <rFont val="Tahoma"/>
            <family val="2"/>
          </rPr>
          <t>If no value given, should be 0.</t>
        </r>
      </text>
    </comment>
    <comment ref="AM192" authorId="0" shapeId="0" xr:uid="{16BDDDD6-2F07-4761-9738-269C6B317472}">
      <text>
        <r>
          <rPr>
            <sz val="9"/>
            <color indexed="81"/>
            <rFont val="Tahoma"/>
            <family val="2"/>
          </rPr>
          <t>This is the inverse of efficiency (GJ of energy provided per GJ of fuel used).</t>
        </r>
      </text>
    </comment>
    <comment ref="AL202" authorId="0" shapeId="0" xr:uid="{740DB15F-C78E-41FB-8801-FC6022D21A40}">
      <text>
        <r>
          <rPr>
            <sz val="9"/>
            <color indexed="81"/>
            <rFont val="Tahoma"/>
            <family val="2"/>
          </rPr>
          <t>Note this is Canada, not Alberta for this fuel/price.
Need some way to actually allocate fuel at this point so that we can calculate GHG emissions later.</t>
        </r>
      </text>
    </comment>
    <comment ref="AK203" authorId="0" shapeId="0" xr:uid="{701D3BEE-FEAC-4402-B79C-7A99BB4F3931}">
      <text>
        <r>
          <rPr>
            <sz val="9"/>
            <color indexed="81"/>
            <rFont val="Tahoma"/>
            <family val="2"/>
          </rPr>
          <t>If no value given, should be 1.</t>
        </r>
      </text>
    </comment>
    <comment ref="AK204" authorId="0" shapeId="0" xr:uid="{C6DAE44A-37A0-4466-AFE9-8B49E67DAE96}">
      <text>
        <r>
          <rPr>
            <sz val="9"/>
            <color indexed="81"/>
            <rFont val="Tahoma"/>
            <family val="2"/>
          </rPr>
          <t>If no value given, should be 0.</t>
        </r>
      </text>
    </comment>
    <comment ref="AL205" authorId="0" shapeId="0" xr:uid="{3DB9354E-3014-46A5-A6B3-1AE91B2D24B4}">
      <text>
        <r>
          <rPr>
            <sz val="9"/>
            <color indexed="81"/>
            <rFont val="Tahoma"/>
            <family val="2"/>
          </rPr>
          <t>Note this is Canada, not Alberta for this fuel/price.
Need some way to actually allocate fuel at this point so that we can calculate GHG emissions later.</t>
        </r>
      </text>
    </comment>
    <comment ref="AM205" authorId="0" shapeId="0" xr:uid="{85338F20-266B-425E-84BC-DAA75618B946}">
      <text>
        <r>
          <rPr>
            <sz val="9"/>
            <color indexed="81"/>
            <rFont val="Tahoma"/>
            <family val="2"/>
          </rPr>
          <t>This is the inverse of efficiency (GJ of energy provided per GJ of fuel used).</t>
        </r>
      </text>
    </comment>
    <comment ref="AJ208" authorId="0" shapeId="0" xr:uid="{A3045F6F-54A4-4535-A525-59C2B730BD6B}">
      <text>
        <r>
          <rPr>
            <sz val="9"/>
            <color indexed="81"/>
            <rFont val="Tahoma"/>
            <family val="2"/>
          </rPr>
          <t>Note that water heating is not requested directly by the shell technologies.
It is requested by dishwashing techs and clothes washing techs.</t>
        </r>
      </text>
    </comment>
    <comment ref="AM224" authorId="0" shapeId="0" xr:uid="{9F9F18C4-E0AA-4275-BF68-6E844FB21589}">
      <text>
        <r>
          <rPr>
            <sz val="9"/>
            <color indexed="81"/>
            <rFont val="Tahoma"/>
            <family val="2"/>
          </rPr>
          <t>This is the inverse of efficiency (GJ of energy provided per GJ of fuel used).</t>
        </r>
      </text>
    </comment>
    <comment ref="AM238" authorId="0" shapeId="0" xr:uid="{5CCE41A6-4F96-4E06-85C6-75254409AE78}">
      <text>
        <r>
          <rPr>
            <sz val="9"/>
            <color indexed="81"/>
            <rFont val="Tahoma"/>
            <family val="2"/>
          </rPr>
          <t>This is the inverse of efficiency (GJ of energy provided per GJ of fuel used).</t>
        </r>
      </text>
    </comment>
    <comment ref="AM252" authorId="0" shapeId="0" xr:uid="{0D0772FA-51B1-4BD2-B245-3AF12428BB7D}">
      <text>
        <r>
          <rPr>
            <sz val="9"/>
            <color indexed="81"/>
            <rFont val="Tahoma"/>
            <family val="2"/>
          </rPr>
          <t>This is the inverse of efficiency (GJ of energy provided per GJ of fuel used).</t>
        </r>
      </text>
    </comment>
    <comment ref="AM266" authorId="0" shapeId="0" xr:uid="{74197EA9-9945-4D5E-805B-C6346AB4BABB}">
      <text>
        <r>
          <rPr>
            <sz val="9"/>
            <color indexed="81"/>
            <rFont val="Tahoma"/>
            <family val="2"/>
          </rPr>
          <t>This is the inverse of efficiency (GJ of energy provided per GJ of fuel used).</t>
        </r>
      </text>
    </comment>
    <comment ref="AM282" authorId="0" shapeId="0" xr:uid="{B5AD5BB9-5532-432F-BBDA-6359658D2AB5}">
      <text>
        <r>
          <rPr>
            <sz val="9"/>
            <color indexed="81"/>
            <rFont val="Tahoma"/>
            <family val="2"/>
          </rPr>
          <t>This is the inverse of efficiency (GJ of energy provided per GJ of fuel used).</t>
        </r>
      </text>
    </comment>
    <comment ref="AM298" authorId="0" shapeId="0" xr:uid="{57A50753-D0FC-4616-823C-9240FCB6F679}">
      <text>
        <r>
          <rPr>
            <sz val="9"/>
            <color indexed="81"/>
            <rFont val="Tahoma"/>
            <family val="2"/>
          </rPr>
          <t>This is the inverse of efficiency (GJ of energy provided per GJ of fuel used).</t>
        </r>
      </text>
    </comment>
    <comment ref="AM314" authorId="0" shapeId="0" xr:uid="{9EAA8B53-92DE-4A0A-9B54-4875215C186D}">
      <text>
        <r>
          <rPr>
            <sz val="9"/>
            <color indexed="81"/>
            <rFont val="Tahoma"/>
            <family val="2"/>
          </rPr>
          <t>This is the inverse of efficiency (GJ of energy provided per GJ of fuel used).</t>
        </r>
      </text>
    </comment>
    <comment ref="AM330" authorId="0" shapeId="0" xr:uid="{98238A0C-9D89-4282-9091-4037B93C1A20}">
      <text>
        <r>
          <rPr>
            <sz val="9"/>
            <color indexed="81"/>
            <rFont val="Tahoma"/>
            <family val="2"/>
          </rPr>
          <t>This is the inverse of efficiency (GJ of energy provided per GJ of fuel used).</t>
        </r>
      </text>
    </comment>
    <comment ref="AK347" authorId="0" shapeId="0" xr:uid="{FD7768D7-90EE-45AC-BDE0-8DCF7642B06E}">
      <text>
        <r>
          <rPr>
            <sz val="9"/>
            <color indexed="81"/>
            <rFont val="Tahoma"/>
            <family val="2"/>
          </rPr>
          <t>If no value given, should be 1.</t>
        </r>
      </text>
    </comment>
    <comment ref="AK348" authorId="0" shapeId="0" xr:uid="{F3D2892E-1A42-48BA-98F4-9872CB511E57}">
      <text>
        <r>
          <rPr>
            <sz val="9"/>
            <color indexed="81"/>
            <rFont val="Tahoma"/>
            <family val="2"/>
          </rPr>
          <t>If no value given, should be 0.</t>
        </r>
      </text>
    </comment>
    <comment ref="AK349" authorId="0" shapeId="0" xr:uid="{F5C1F4FF-C9C4-4067-81C9-F9B59F3B415A}">
      <text>
        <r>
          <rPr>
            <sz val="9"/>
            <color indexed="81"/>
            <rFont val="Tahoma"/>
            <family val="2"/>
          </rPr>
          <t>If no value given, should be 1.</t>
        </r>
      </text>
    </comment>
    <comment ref="AK350" authorId="0" shapeId="0" xr:uid="{52BD4E14-595F-43A1-9079-E7E96E4576D9}">
      <text>
        <r>
          <rPr>
            <sz val="9"/>
            <color indexed="81"/>
            <rFont val="Tahoma"/>
            <family val="2"/>
          </rPr>
          <t>If no value given, should be 0.</t>
        </r>
      </text>
    </comment>
    <comment ref="AM351" authorId="0" shapeId="0" xr:uid="{F337CF79-4EA0-4254-BC68-14CC32DA1976}">
      <text>
        <r>
          <rPr>
            <sz val="9"/>
            <color indexed="81"/>
            <rFont val="Tahoma"/>
            <family val="2"/>
          </rPr>
          <t>This is the inverse of efficiency (GJ of energy provided per GJ of fuel used).</t>
        </r>
      </text>
    </comment>
    <comment ref="AK354" authorId="1" shapeId="0" xr:uid="{6A6F0B60-7401-4D08-AC52-A8167B061460}">
      <text>
        <r>
          <rPr>
            <sz val="9"/>
            <color indexed="81"/>
            <rFont val="Tahoma"/>
            <family val="2"/>
          </rPr>
          <t>Service cost =
Service demand * weighted average Life Cycle Cost of child technologies
Life Cycle Cost=
Capital cost +
Operating cost +
Intangible cost +
Service cost</t>
        </r>
      </text>
    </comment>
    <comment ref="AO354" authorId="1" shapeId="0" xr:uid="{3CCDB061-D815-406C-9A30-7E1173F6EBAD}">
      <text>
        <r>
          <rPr>
            <sz val="9"/>
            <color indexed="81"/>
            <rFont val="Tahoma"/>
            <family val="2"/>
          </rPr>
          <t>Weighted average of LCCs from child node.
Use previous year final value to start next year price iterations.
Use previous iteration supply prices to calculate weighted average for current iteration.</t>
        </r>
      </text>
    </comment>
    <comment ref="AM359" authorId="0" shapeId="0" xr:uid="{933D9D5D-D324-4BCE-BE23-3DAC7F6CFDE6}">
      <text>
        <r>
          <rPr>
            <sz val="9"/>
            <color indexed="81"/>
            <rFont val="Tahoma"/>
            <family val="2"/>
          </rPr>
          <t>This ratio is to pass along the GJ requirement (i.e. we want 1 GJ of heating, so require 1 GJ of furnace heating)</t>
        </r>
      </text>
    </comment>
    <comment ref="AN366" authorId="0" shapeId="0" xr:uid="{6A55E08C-2CBE-4153-A5B1-053FED3A32FB}">
      <text>
        <r>
          <rPr>
            <sz val="9"/>
            <color indexed="81"/>
            <rFont val="Tahoma"/>
            <family val="2"/>
          </rPr>
          <t>Equal to total demand for electricity from all demand nodes</t>
        </r>
      </text>
    </comment>
    <comment ref="AK372" authorId="1" shapeId="0" xr:uid="{6355C7E7-BBCF-4F50-83AB-3B032BA9DE6D}">
      <text>
        <r>
          <rPr>
            <sz val="9"/>
            <color indexed="81"/>
            <rFont val="Tahoma"/>
            <family val="2"/>
          </rPr>
          <t>If no price given, should calculate endogenously. If price given, should use that value instead of the price calc iteration.</t>
        </r>
      </text>
    </comment>
    <comment ref="AK373" authorId="1" shapeId="0" xr:uid="{56E248C6-27EC-4C61-B757-66610F86642D}">
      <text>
        <r>
          <rPr>
            <sz val="9"/>
            <color indexed="81"/>
            <rFont val="Tahoma"/>
            <family val="2"/>
          </rPr>
          <t>If no price given, should calculate endogenously. If price given, should use that value instead of the price calc iteration.</t>
        </r>
      </text>
    </comment>
    <comment ref="AK374" authorId="1" shapeId="0" xr:uid="{EA5A932F-9038-4414-B817-F8AFC17C69FB}">
      <text>
        <r>
          <rPr>
            <sz val="9"/>
            <color indexed="81"/>
            <rFont val="Tahoma"/>
            <family val="2"/>
          </rPr>
          <t>If no price given, should calculate endogenously. If price given, should use that value instead of the price calc iteration.</t>
        </r>
      </text>
    </comment>
    <comment ref="AK375" authorId="1" shapeId="0" xr:uid="{37EB77DF-C7D2-4C56-9CDC-28B411CD89EB}">
      <text>
        <r>
          <rPr>
            <sz val="9"/>
            <color indexed="81"/>
            <rFont val="Tahoma"/>
            <family val="2"/>
          </rPr>
          <t>If no price given, should calculate endogenously. If price given, should use that value instead of the price calc iteration.</t>
        </r>
      </text>
    </comment>
    <comment ref="AK376" authorId="1" shapeId="0" xr:uid="{0446BF5F-67F9-4D4B-B8EE-982DED94D09B}">
      <text>
        <r>
          <rPr>
            <sz val="9"/>
            <color indexed="81"/>
            <rFont val="Tahoma"/>
            <family val="2"/>
          </rPr>
          <t>If no price given, should calculate endogenously. If price given, should use that value instead of the price calc iteration.</t>
        </r>
      </text>
    </comment>
    <comment ref="AM380" authorId="0" shapeId="0" xr:uid="{FD129D53-52CD-4F2D-98BB-5497DD160D3B}">
      <text>
        <r>
          <rPr>
            <sz val="9"/>
            <color indexed="81"/>
            <rFont val="Tahoma"/>
            <family val="2"/>
          </rPr>
          <t>This ratio is just to pass along the GJ requirement (i.e. we want 1 GJ of electricity, so require 1 GJ of furnace generation)</t>
        </r>
      </text>
    </comment>
    <comment ref="AK396" authorId="1" shapeId="0" xr:uid="{5649D345-479F-4904-A41B-63EB6094D8C5}">
      <text>
        <r>
          <rPr>
            <sz val="9"/>
            <color indexed="81"/>
            <rFont val="Tahoma"/>
            <family val="2"/>
          </rPr>
          <t>Service cost =
Service demand * weighted average Life Cycle Cost of child technologies
Life Cycle Cost=
Capital cost +
Operating cost +
Intangible cost +
Service cost</t>
        </r>
      </text>
    </comment>
    <comment ref="AO396" authorId="1" shapeId="0" xr:uid="{5B06482B-F05E-4FAE-B695-559F3EC18835}">
      <text>
        <r>
          <rPr>
            <sz val="9"/>
            <color indexed="81"/>
            <rFont val="Tahoma"/>
            <family val="2"/>
          </rPr>
          <t>Weighted average of LCCs from child node.
Use previous year final value to start next year price iterations.
Use previous iteration supply prices to calculate weighted average for current iteration.</t>
        </r>
      </text>
    </comment>
    <comment ref="AK397" authorId="0" shapeId="0" xr:uid="{8454A418-4906-4028-8800-188B4EB9832F}">
      <text>
        <r>
          <rPr>
            <sz val="9"/>
            <color indexed="81"/>
            <rFont val="Tahoma"/>
            <family val="2"/>
          </rPr>
          <t>If no value given, should be 1.</t>
        </r>
      </text>
    </comment>
    <comment ref="AK398" authorId="0" shapeId="0" xr:uid="{9E4C7AD9-5CF9-45E9-A8B6-4859D15C939F}">
      <text>
        <r>
          <rPr>
            <sz val="9"/>
            <color indexed="81"/>
            <rFont val="Tahoma"/>
            <family val="2"/>
          </rPr>
          <t>If no value given, should be 0.</t>
        </r>
      </text>
    </comment>
    <comment ref="AK399" authorId="0" shapeId="0" xr:uid="{9D0C053E-F74F-4A8B-80B6-7DDD1D3459B7}">
      <text>
        <r>
          <rPr>
            <sz val="9"/>
            <color indexed="81"/>
            <rFont val="Tahoma"/>
            <family val="2"/>
          </rPr>
          <t>If no value given, should be 1.</t>
        </r>
      </text>
    </comment>
    <comment ref="AK400" authorId="0" shapeId="0" xr:uid="{0FE2F9CD-CAED-497B-A79B-E6DB0A9EDED3}">
      <text>
        <r>
          <rPr>
            <sz val="9"/>
            <color indexed="81"/>
            <rFont val="Tahoma"/>
            <family val="2"/>
          </rPr>
          <t>If no value given, should be 0.</t>
        </r>
      </text>
    </comment>
    <comment ref="AM401" authorId="0" shapeId="0" xr:uid="{7EF3BD0D-287E-46D2-95B9-C6D06F86DB73}">
      <text>
        <r>
          <rPr>
            <sz val="9"/>
            <color indexed="81"/>
            <rFont val="Tahoma"/>
            <family val="2"/>
          </rPr>
          <t>This ratio is to pass along the GJ requirement (i.e. we want 1 GJ of heating, so require 1 GJ of furnace heating)</t>
        </r>
      </text>
    </comment>
    <comment ref="AK406" authorId="1" shapeId="0" xr:uid="{7B986EED-A16B-4DF3-9A14-27F846D3C034}">
      <text>
        <r>
          <rPr>
            <sz val="9"/>
            <color indexed="81"/>
            <rFont val="Tahoma"/>
            <family val="2"/>
          </rPr>
          <t>Service cost =
Service demand * weighted average Life Cycle Cost of child technologies
Life Cycle Cost=
Capital cost +
Operating cost +
Intangible cost +
Service cost</t>
        </r>
      </text>
    </comment>
    <comment ref="AO406" authorId="1" shapeId="0" xr:uid="{161C87A2-F19B-4563-B2EE-1D47244B971E}">
      <text>
        <r>
          <rPr>
            <sz val="9"/>
            <color indexed="81"/>
            <rFont val="Tahoma"/>
            <family val="2"/>
          </rPr>
          <t>Weighted average of LCCs from child node.
Use previous year final value to start next year price iterations.
Use previous iteration supply prices to calculate weighted average for current iteration.</t>
        </r>
      </text>
    </comment>
    <comment ref="AK407" authorId="0" shapeId="0" xr:uid="{ACE0B4CF-BF84-4AAB-86EB-1FBA7BAD947F}">
      <text>
        <r>
          <rPr>
            <sz val="9"/>
            <color indexed="81"/>
            <rFont val="Tahoma"/>
            <family val="2"/>
          </rPr>
          <t>If no value given, should be 1.</t>
        </r>
      </text>
    </comment>
    <comment ref="AK408" authorId="0" shapeId="0" xr:uid="{E56722FD-F462-404E-A21C-04CF36E23152}">
      <text>
        <r>
          <rPr>
            <sz val="9"/>
            <color indexed="81"/>
            <rFont val="Tahoma"/>
            <family val="2"/>
          </rPr>
          <t>If no value given, should be 0.</t>
        </r>
      </text>
    </comment>
    <comment ref="AK409" authorId="0" shapeId="0" xr:uid="{331A0FE7-55ED-40BD-B776-B7151163689D}">
      <text>
        <r>
          <rPr>
            <sz val="9"/>
            <color indexed="81"/>
            <rFont val="Tahoma"/>
            <family val="2"/>
          </rPr>
          <t>If no value given, should be 1.</t>
        </r>
      </text>
    </comment>
    <comment ref="AK410" authorId="0" shapeId="0" xr:uid="{B3B0FB2F-D860-4B80-BB31-92B081DAD580}">
      <text>
        <r>
          <rPr>
            <sz val="9"/>
            <color indexed="81"/>
            <rFont val="Tahoma"/>
            <family val="2"/>
          </rPr>
          <t>If no value given, should be 0.</t>
        </r>
      </text>
    </comment>
    <comment ref="AM411" authorId="0" shapeId="0" xr:uid="{D759A30C-1152-4DE9-934D-C731EDC60C54}">
      <text>
        <r>
          <rPr>
            <sz val="9"/>
            <color indexed="81"/>
            <rFont val="Tahoma"/>
            <family val="2"/>
          </rPr>
          <t>This ratio is to pass along the GJ requirement (i.e. we want 1 GJ of heating, so require 1 GJ of furnace heating)</t>
        </r>
      </text>
    </comment>
    <comment ref="AO419" authorId="0" shapeId="0" xr:uid="{0F5FE473-BE43-488B-A549-44133240D0E6}">
      <text>
        <r>
          <rPr>
            <b/>
            <sz val="9"/>
            <color indexed="81"/>
            <rFont val="Tahoma"/>
            <family val="2"/>
          </rPr>
          <t>Should be enough to satisfy demand in 2000</t>
        </r>
      </text>
    </comment>
    <comment ref="AL428" authorId="0" shapeId="0" xr:uid="{C4A9AFC9-89C5-411D-84AB-113FC1428AA7}">
      <text>
        <r>
          <rPr>
            <sz val="9"/>
            <color indexed="81"/>
            <rFont val="Tahoma"/>
            <family val="2"/>
          </rPr>
          <t>Note this is Canada, not Alberta for this fuel/price.
Need some way to actually allocate fuel at this point so that we can calculate GHG emissions later.</t>
        </r>
      </text>
    </comment>
    <comment ref="AL429" authorId="0" shapeId="0" xr:uid="{C80A4321-0E7C-477F-870B-DA263ED9DB91}">
      <text>
        <r>
          <rPr>
            <sz val="9"/>
            <color indexed="81"/>
            <rFont val="Tahoma"/>
            <family val="2"/>
          </rPr>
          <t>Note this is Canada, not Alberta for this fuel/price.
Need some way to actually allocate fuel at this point so that we can calculate GHG emissions later.</t>
        </r>
      </text>
    </comment>
    <comment ref="AM429" authorId="0" shapeId="0" xr:uid="{2A4A75DC-8EDF-433F-8565-19193D07500C}">
      <text>
        <r>
          <rPr>
            <sz val="9"/>
            <color indexed="81"/>
            <rFont val="Tahoma"/>
            <family val="2"/>
          </rPr>
          <t>This is the inverse of efficiency (GJ of energy provided per GJ of fuel used).</t>
        </r>
      </text>
    </comment>
    <comment ref="AK441" authorId="0" shapeId="0" xr:uid="{B3CF7994-015E-4144-96C3-01DE5FF5509F}">
      <text>
        <r>
          <rPr>
            <sz val="9"/>
            <color indexed="81"/>
            <rFont val="Tahoma"/>
            <family val="2"/>
          </rPr>
          <t>If no value given, should be 1.</t>
        </r>
      </text>
    </comment>
    <comment ref="AK442" authorId="0" shapeId="0" xr:uid="{DEC3A99C-E4B0-4ACF-9F5A-2C441686DB3E}">
      <text>
        <r>
          <rPr>
            <sz val="9"/>
            <color indexed="81"/>
            <rFont val="Tahoma"/>
            <family val="2"/>
          </rPr>
          <t>If no value given, should be 0.</t>
        </r>
      </text>
    </comment>
    <comment ref="AM443" authorId="0" shapeId="0" xr:uid="{41482F2C-0069-4788-9DFC-5EE68E78477F}">
      <text>
        <r>
          <rPr>
            <sz val="9"/>
            <color indexed="81"/>
            <rFont val="Tahoma"/>
            <family val="2"/>
          </rPr>
          <t>This is the inverse of efficiency (GJ of energy provided per GJ of fuel used).</t>
        </r>
      </text>
    </comment>
    <comment ref="AK454" authorId="0" shapeId="0" xr:uid="{7BEA9ECE-01BD-4011-ACA4-08E540921113}">
      <text>
        <r>
          <rPr>
            <sz val="9"/>
            <color indexed="81"/>
            <rFont val="Tahoma"/>
            <family val="2"/>
          </rPr>
          <t>If no value given, should be 1.</t>
        </r>
      </text>
    </comment>
    <comment ref="AK455" authorId="0" shapeId="0" xr:uid="{51293B9E-EF34-44B3-9130-16716838B7F5}">
      <text>
        <r>
          <rPr>
            <sz val="9"/>
            <color indexed="81"/>
            <rFont val="Tahoma"/>
            <family val="2"/>
          </rPr>
          <t>If no value given, should be 0.</t>
        </r>
      </text>
    </comment>
    <comment ref="AM456" authorId="0" shapeId="0" xr:uid="{07D5BDDC-361B-4097-9C34-10169FA1195F}">
      <text>
        <r>
          <rPr>
            <sz val="9"/>
            <color indexed="81"/>
            <rFont val="Tahoma"/>
            <family val="2"/>
          </rPr>
          <t>This is the inverse of efficiency (GJ of energy provided per GJ of fuel used).</t>
        </r>
      </text>
    </comment>
  </commentList>
</comments>
</file>

<file path=xl/sharedStrings.xml><?xml version="1.0" encoding="utf-8"?>
<sst xmlns="http://schemas.openxmlformats.org/spreadsheetml/2006/main" count="3006" uniqueCount="230">
  <si>
    <t>Residential</t>
  </si>
  <si>
    <t>Shell</t>
  </si>
  <si>
    <t>Electricity</t>
  </si>
  <si>
    <t>Base load</t>
  </si>
  <si>
    <t>Generation</t>
  </si>
  <si>
    <t>Alberta</t>
  </si>
  <si>
    <t>Branch</t>
  </si>
  <si>
    <t>Retrofit Variance</t>
  </si>
  <si>
    <t>Value</t>
  </si>
  <si>
    <t>Parameter</t>
  </si>
  <si>
    <t>Years</t>
  </si>
  <si>
    <t>Price</t>
  </si>
  <si>
    <t>Diesel</t>
  </si>
  <si>
    <t>Light Fuel Oil</t>
  </si>
  <si>
    <t>Natural Gas</t>
  </si>
  <si>
    <t>Wood</t>
  </si>
  <si>
    <t>Unit</t>
  </si>
  <si>
    <t>2015$/GJ</t>
  </si>
  <si>
    <t>2015$/tCO2</t>
  </si>
  <si>
    <t>CO2</t>
  </si>
  <si>
    <t>CH4</t>
  </si>
  <si>
    <t>N2O</t>
  </si>
  <si>
    <t>Consumer Price Index</t>
  </si>
  <si>
    <t>Tech Compete</t>
  </si>
  <si>
    <t>Fixed Ratio</t>
  </si>
  <si>
    <t>Single Family Detached</t>
  </si>
  <si>
    <t>Single Family Attached</t>
  </si>
  <si>
    <t>Apartment</t>
  </si>
  <si>
    <t>Mobile</t>
  </si>
  <si>
    <t>Post-1960</t>
  </si>
  <si>
    <t>Pre-1960</t>
  </si>
  <si>
    <t>Standard</t>
  </si>
  <si>
    <t>R2000</t>
  </si>
  <si>
    <t>LEED</t>
  </si>
  <si>
    <t>Electric baseboard</t>
  </si>
  <si>
    <t>Furnace</t>
  </si>
  <si>
    <t>GJ</t>
  </si>
  <si>
    <t>v</t>
  </si>
  <si>
    <t>Capital Cost</t>
  </si>
  <si>
    <t>m2 floorspace</t>
  </si>
  <si>
    <t>Unavailable</t>
  </si>
  <si>
    <t>Available</t>
  </si>
  <si>
    <t>Lifetime</t>
  </si>
  <si>
    <t>Date</t>
  </si>
  <si>
    <t>Operating Cost</t>
  </si>
  <si>
    <t>r</t>
  </si>
  <si>
    <t>CPI</t>
  </si>
  <si>
    <t>Market share_Max</t>
  </si>
  <si>
    <t>Market share_Min</t>
  </si>
  <si>
    <t>Market penetration_Max</t>
  </si>
  <si>
    <t>Market penetration_Min</t>
  </si>
  <si>
    <t>Intangible Cost</t>
  </si>
  <si>
    <t>Population</t>
  </si>
  <si>
    <t>GDP</t>
  </si>
  <si>
    <t>GJ/m2 floorspace</t>
  </si>
  <si>
    <t>2015$ billion</t>
  </si>
  <si>
    <t>person</t>
  </si>
  <si>
    <t>GJ used / GJ provided</t>
  </si>
  <si>
    <t>Competition type</t>
  </si>
  <si>
    <t>Canada</t>
  </si>
  <si>
    <t>Node</t>
  </si>
  <si>
    <t>Social discount rate</t>
  </si>
  <si>
    <t>Risk rate</t>
  </si>
  <si>
    <t>Technology</t>
  </si>
  <si>
    <t>Natural Gas_existing</t>
  </si>
  <si>
    <t>Natural Gas_high efficiency</t>
  </si>
  <si>
    <t>Heat pump_air source</t>
  </si>
  <si>
    <t>Financial discount rate</t>
  </si>
  <si>
    <t>2015$/m2 floorspace</t>
  </si>
  <si>
    <t>GHG</t>
  </si>
  <si>
    <t>Sector</t>
  </si>
  <si>
    <t>Fuel</t>
  </si>
  <si>
    <t>Commercial</t>
  </si>
  <si>
    <t>Region</t>
  </si>
  <si>
    <t>Region_code</t>
  </si>
  <si>
    <t>British Columbia</t>
  </si>
  <si>
    <t>CAN</t>
  </si>
  <si>
    <t>AB</t>
  </si>
  <si>
    <t>BC</t>
  </si>
  <si>
    <t>Winner Take All</t>
  </si>
  <si>
    <t>Heterogeneity</t>
  </si>
  <si>
    <t>Simulation</t>
  </si>
  <si>
    <t>Simulation Time</t>
  </si>
  <si>
    <t>Country</t>
  </si>
  <si>
    <t>Clothes washing</t>
  </si>
  <si>
    <t>Water heating</t>
  </si>
  <si>
    <t>Space heating</t>
  </si>
  <si>
    <t>Conventional</t>
  </si>
  <si>
    <t>Renewables</t>
  </si>
  <si>
    <t>Floorspace</t>
  </si>
  <si>
    <t>Service</t>
  </si>
  <si>
    <t>Market share</t>
  </si>
  <si>
    <t>Comments / Calcs</t>
  </si>
  <si>
    <t>Service supply</t>
  </si>
  <si>
    <t>Service demand</t>
  </si>
  <si>
    <t>Service Cost</t>
  </si>
  <si>
    <t>Data</t>
  </si>
  <si>
    <t>Source</t>
  </si>
  <si>
    <t>Reference</t>
  </si>
  <si>
    <t>million m2</t>
  </si>
  <si>
    <t>NRCan NEUD</t>
  </si>
  <si>
    <t>Households</t>
  </si>
  <si>
    <t>persons</t>
  </si>
  <si>
    <t>StatCan</t>
  </si>
  <si>
    <t>calc</t>
  </si>
  <si>
    <t>Close all nodes</t>
  </si>
  <si>
    <t>Newfoundland and Labrador</t>
  </si>
  <si>
    <t>Prince Edward Island</t>
  </si>
  <si>
    <t>Nova Scotia</t>
  </si>
  <si>
    <t>New Brunswick</t>
  </si>
  <si>
    <t>Quebec</t>
  </si>
  <si>
    <t>Ontario</t>
  </si>
  <si>
    <t>Manitoba</t>
  </si>
  <si>
    <t>Saskatchewan</t>
  </si>
  <si>
    <t>Yukon</t>
  </si>
  <si>
    <t>Nunavut</t>
  </si>
  <si>
    <t>Northwest Territories</t>
  </si>
  <si>
    <t>StatCan, Scenario M1</t>
  </si>
  <si>
    <t>%</t>
  </si>
  <si>
    <t>Population annual growth rate</t>
  </si>
  <si>
    <t>Population forecast</t>
  </si>
  <si>
    <t>2012 constant prices, M$</t>
  </si>
  <si>
    <t>OECD long-term forecast</t>
  </si>
  <si>
    <t>2010 ppp, real dollars, M$ USD</t>
  </si>
  <si>
    <t>2012 ppp, real dollars, M$ CAD</t>
  </si>
  <si>
    <t>Purchasing Power Parities for GDP</t>
  </si>
  <si>
    <t>CAD per USD</t>
  </si>
  <si>
    <t>OECD PPP rates</t>
  </si>
  <si>
    <t>Average household size in private dwellings</t>
  </si>
  <si>
    <t>Census</t>
  </si>
  <si>
    <t>Buildings</t>
  </si>
  <si>
    <t>Persons per household</t>
  </si>
  <si>
    <t>Type</t>
  </si>
  <si>
    <t>Demand</t>
  </si>
  <si>
    <t>Supply</t>
  </si>
  <si>
    <t>Dishwashing</t>
  </si>
  <si>
    <t>GDP deflator</t>
  </si>
  <si>
    <t>Description</t>
  </si>
  <si>
    <t>Competition type for child nodes</t>
  </si>
  <si>
    <t>Heat pump_ground source</t>
  </si>
  <si>
    <t>Red combinations not allowed</t>
  </si>
  <si>
    <t>Canada.Alberta</t>
  </si>
  <si>
    <t>Canada.Alberta.Residential</t>
  </si>
  <si>
    <t>Canada.Alberta.Electricity</t>
  </si>
  <si>
    <t>Canada.Alberta.Residential.Buildings</t>
  </si>
  <si>
    <t>Canada.Alberta.Electricity.Generation</t>
  </si>
  <si>
    <t>Competition exclude</t>
  </si>
  <si>
    <t>Canada.Alberta.Residential.Furnace</t>
  </si>
  <si>
    <t>Canada.Alberta.Residential.Buildings.Shell</t>
  </si>
  <si>
    <t>Canada.Alberta.Residential.Buildings.Shell.Space heating</t>
  </si>
  <si>
    <t>Canada.Alberta.Residential.Buildings.Shell.Air conditioning</t>
  </si>
  <si>
    <t>Canada.Alberta.Residential.Buildings.Shell.Space Heating</t>
  </si>
  <si>
    <t>Canada.Alberta.Residential.Buildings.Shell.Space heating.Furnace</t>
  </si>
  <si>
    <t>Canada.Alberta.Residential.Buildings.Shell.Water heating</t>
  </si>
  <si>
    <t>House_Natural Gas_existing stock</t>
  </si>
  <si>
    <t>House_Natural Gas_Standard</t>
  </si>
  <si>
    <t>House_Electric_existing stock</t>
  </si>
  <si>
    <t>House_Electric_Standard</t>
  </si>
  <si>
    <t>Canada.Alberta.Residential.Buildings.Shell.Dishwashing</t>
  </si>
  <si>
    <t>Canada.Alberta.Residential.Buildings.Clothes washing</t>
  </si>
  <si>
    <t>Canada.Alberta.Residential.Buildings.Dishwashing</t>
  </si>
  <si>
    <t>#/building</t>
  </si>
  <si>
    <t>Canada.Alberta.Residential.Buildingss(Apartment)</t>
  </si>
  <si>
    <t>Canada.Alberta.Residential.Buildingss(Mobile)</t>
  </si>
  <si>
    <t>Canada.Alberta.Residential.Buildingss(Single Family Detached)</t>
  </si>
  <si>
    <t>Canada.Alberta.Residential.Buildingss(Single Family Attached)</t>
  </si>
  <si>
    <t>household</t>
  </si>
  <si>
    <t>fixed shares</t>
  </si>
  <si>
    <t>tech compete</t>
  </si>
  <si>
    <t>Stock</t>
  </si>
  <si>
    <t>thousands</t>
  </si>
  <si>
    <t>Single family detached</t>
  </si>
  <si>
    <t>Single family attached</t>
  </si>
  <si>
    <t>building/household</t>
  </si>
  <si>
    <t>building</t>
  </si>
  <si>
    <t>m2 floorspace/building</t>
  </si>
  <si>
    <t>household/person</t>
  </si>
  <si>
    <t>households/person</t>
  </si>
  <si>
    <t>buildings/household</t>
  </si>
  <si>
    <t>buildings</t>
  </si>
  <si>
    <t>supply</t>
  </si>
  <si>
    <t>demand</t>
  </si>
  <si>
    <t>competition</t>
  </si>
  <si>
    <t>LCC</t>
  </si>
  <si>
    <t>GJ elec</t>
  </si>
  <si>
    <t>GJ natural gas</t>
  </si>
  <si>
    <t>GJ furnace/GJ heat</t>
  </si>
  <si>
    <t>GJ elec / GJ heat</t>
  </si>
  <si>
    <t>Apartment &gt; … &gt; Heat pump_air source</t>
  </si>
  <si>
    <t>existing stock</t>
  </si>
  <si>
    <t>split of existing options</t>
  </si>
  <si>
    <t>Market share total_Max</t>
  </si>
  <si>
    <t>Market share total_Min</t>
  </si>
  <si>
    <t>Market share new_Max</t>
  </si>
  <si>
    <t>Market share new_Min</t>
  </si>
  <si>
    <t>Calculated by python code</t>
  </si>
  <si>
    <t>Adjusted due to disallowed combination</t>
  </si>
  <si>
    <t>Capital cost</t>
  </si>
  <si>
    <t>lifetime</t>
  </si>
  <si>
    <t>operating cost</t>
  </si>
  <si>
    <t>intangible cost</t>
  </si>
  <si>
    <t>service cost</t>
  </si>
  <si>
    <t>m2 floorspade/building</t>
  </si>
  <si>
    <t>GJ/m2 floorspade</t>
  </si>
  <si>
    <t>calc: for this example, assume 80% existing stock remains from last time step</t>
  </si>
  <si>
    <t>stock remaining</t>
  </si>
  <si>
    <t>Each row is a tree branch</t>
  </si>
  <si>
    <t>calc: remove remaining stock and then use tech compete shares on gap</t>
  </si>
  <si>
    <t>remaining demand</t>
  </si>
  <si>
    <t>Only include techs with available year &lt; current year AND unavailable year &gt; current year</t>
  </si>
  <si>
    <t>calc: for this example, assume 95% existing stock remains from last time step</t>
  </si>
  <si>
    <t>&lt;- these should actually be calculated by python</t>
  </si>
  <si>
    <t>Canada.Alberta.Natural Gas</t>
  </si>
  <si>
    <t>Fixed Market Shares</t>
  </si>
  <si>
    <t>Demand?</t>
  </si>
  <si>
    <t>Multiplier for "End use supply" (i.e. demand how many units of child node per unit supplied by parent node).</t>
  </si>
  <si>
    <t>Market shares applied to technologies within node. Must add to 1.</t>
  </si>
  <si>
    <t>Use market share equation to allocate shares to (available) technologies within node. Market share equation based on life cycle costs for each technology.</t>
  </si>
  <si>
    <t>Allocate all demand to the technology within the node with the lowest life cycle cost.</t>
  </si>
  <si>
    <t>Canada.Alberta.Electricity.Generation.Base load</t>
  </si>
  <si>
    <t>GJ supplied / GJ generated</t>
  </si>
  <si>
    <t>Canada.Alberta.Electricity.Generation.Shoulder load</t>
  </si>
  <si>
    <t>Canada.Alberta.Electricity.Generation.Peak load</t>
  </si>
  <si>
    <t>Shoulder load</t>
  </si>
  <si>
    <t>Peak load</t>
  </si>
  <si>
    <t>Canada.Alberta.Electricity.Generation.Base load.Conventional</t>
  </si>
  <si>
    <t>Natural Gas_Single Cycle Gas Turbine</t>
  </si>
  <si>
    <t>Solar PV</t>
  </si>
  <si>
    <t>Wind</t>
  </si>
  <si>
    <t>Adjusted due to unavailable tech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</si>
</sst>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#,##0_ ;\-#,##0\ "/>
    <numFmt numFmtId="167" formatCode="#,##0.0"/>
    <numFmt numFmtId="168" formatCode="#,##0.0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9"/>
      <color indexed="81"/>
      <name val="Tahoma"/>
      <family val="2"/>
    </font>
  </fonts>
  <fills count="11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/>
      <top/>
      <bottom/>
      <diagonal/>
    </border>
  </borders>
  <cellStyleXfs count="3">
    <xf numFmtId="0" fontId="0" fillId="0" borderId="0"/>
    <xf numFmtId="166" fontId="3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176">
    <xf numFmtId="0" fontId="0" fillId="0" borderId="0" xfId="0"/>
    <xf numFmtId="0" fontId="1" fillId="0" borderId="0" xfId="0" applyFont="1"/>
    <xf numFmtId="164" fontId="0" fillId="0" borderId="0" xfId="0" applyNumberFormat="1"/>
    <xf numFmtId="0" fontId="0" fillId="0" borderId="0" xfId="0" applyFont="1"/>
    <xf numFmtId="0" fontId="0" fillId="5" borderId="0" xfId="0" applyFill="1"/>
    <xf numFmtId="0" fontId="0" fillId="0" borderId="0" xfId="0" applyFont="1" applyFill="1"/>
    <xf numFmtId="0" fontId="0" fillId="0" borderId="0" xfId="0" applyFont="1" applyFill="1" applyBorder="1"/>
    <xf numFmtId="0" fontId="0" fillId="6" borderId="0" xfId="0" applyFont="1" applyFill="1"/>
    <xf numFmtId="0" fontId="1" fillId="3" borderId="0" xfId="0" applyFont="1" applyFill="1" applyBorder="1"/>
    <xf numFmtId="0" fontId="1" fillId="2" borderId="0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left"/>
    </xf>
    <xf numFmtId="0" fontId="0" fillId="0" borderId="9" xfId="0" applyFont="1" applyFill="1" applyBorder="1" applyAlignment="1">
      <alignment horizontal="left"/>
    </xf>
    <xf numFmtId="0" fontId="0" fillId="0" borderId="0" xfId="0" applyFont="1" applyFill="1" applyAlignment="1">
      <alignment horizontal="center"/>
    </xf>
    <xf numFmtId="0" fontId="0" fillId="6" borderId="0" xfId="0" applyFont="1" applyFill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left"/>
    </xf>
    <xf numFmtId="0" fontId="0" fillId="0" borderId="9" xfId="0" applyFont="1" applyFill="1" applyBorder="1"/>
    <xf numFmtId="0" fontId="0" fillId="0" borderId="0" xfId="0" applyFont="1" applyBorder="1"/>
    <xf numFmtId="0" fontId="0" fillId="0" borderId="9" xfId="0" applyFont="1" applyBorder="1" applyAlignment="1">
      <alignment horizontal="left"/>
    </xf>
    <xf numFmtId="3" fontId="0" fillId="0" borderId="0" xfId="0" applyNumberFormat="1" applyFont="1" applyBorder="1"/>
    <xf numFmtId="165" fontId="0" fillId="0" borderId="0" xfId="0" applyNumberFormat="1" applyFont="1" applyBorder="1"/>
    <xf numFmtId="164" fontId="0" fillId="0" borderId="0" xfId="0" applyNumberFormat="1" applyFont="1" applyBorder="1"/>
    <xf numFmtId="165" fontId="0" fillId="0" borderId="0" xfId="0" applyNumberFormat="1" applyFont="1"/>
    <xf numFmtId="2" fontId="0" fillId="0" borderId="0" xfId="0" applyNumberFormat="1" applyFont="1"/>
    <xf numFmtId="0" fontId="1" fillId="0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5" borderId="0" xfId="0" applyFont="1" applyFill="1" applyBorder="1"/>
    <xf numFmtId="0" fontId="1" fillId="5" borderId="0" xfId="2" applyFont="1" applyFill="1" applyBorder="1"/>
    <xf numFmtId="0" fontId="1" fillId="5" borderId="0" xfId="0" applyFont="1" applyFill="1"/>
    <xf numFmtId="0" fontId="0" fillId="0" borderId="9" xfId="0" applyBorder="1"/>
    <xf numFmtId="0" fontId="1" fillId="0" borderId="2" xfId="2" applyFont="1" applyFill="1" applyBorder="1"/>
    <xf numFmtId="0" fontId="1" fillId="0" borderId="8" xfId="2" applyFont="1" applyFill="1" applyBorder="1"/>
    <xf numFmtId="0" fontId="1" fillId="5" borderId="0" xfId="2" applyFont="1" applyFill="1"/>
    <xf numFmtId="2" fontId="0" fillId="0" borderId="0" xfId="0" applyNumberFormat="1" applyFont="1" applyBorder="1"/>
    <xf numFmtId="0" fontId="1" fillId="3" borderId="0" xfId="0" applyFont="1" applyFill="1" applyAlignment="1">
      <alignment horizontal="left"/>
    </xf>
    <xf numFmtId="0" fontId="1" fillId="3" borderId="0" xfId="0" applyFont="1" applyFill="1" applyBorder="1" applyAlignment="1">
      <alignment horizontal="left"/>
    </xf>
    <xf numFmtId="0" fontId="0" fillId="0" borderId="0" xfId="0" applyFont="1" applyBorder="1" applyAlignment="1">
      <alignment horizontal="left"/>
    </xf>
    <xf numFmtId="0" fontId="0" fillId="0" borderId="9" xfId="0" applyFont="1" applyBorder="1"/>
    <xf numFmtId="0" fontId="4" fillId="0" borderId="9" xfId="2" applyBorder="1" applyAlignment="1">
      <alignment horizontal="left"/>
    </xf>
    <xf numFmtId="167" fontId="0" fillId="0" borderId="0" xfId="0" applyNumberFormat="1" applyFont="1" applyFill="1" applyBorder="1" applyAlignment="1">
      <alignment horizontal="center"/>
    </xf>
    <xf numFmtId="167" fontId="0" fillId="0" borderId="0" xfId="0" applyNumberFormat="1" applyFont="1" applyFill="1" applyBorder="1"/>
    <xf numFmtId="167" fontId="0" fillId="0" borderId="0" xfId="0" applyNumberFormat="1" applyFont="1" applyBorder="1"/>
    <xf numFmtId="167" fontId="0" fillId="0" borderId="0" xfId="0" applyNumberFormat="1" applyFont="1"/>
    <xf numFmtId="167" fontId="0" fillId="0" borderId="0" xfId="0" applyNumberFormat="1" applyFont="1" applyFill="1"/>
    <xf numFmtId="0" fontId="1" fillId="2" borderId="0" xfId="0" applyNumberFormat="1" applyFont="1" applyFill="1" applyBorder="1" applyAlignment="1">
      <alignment horizontal="center"/>
    </xf>
    <xf numFmtId="4" fontId="0" fillId="0" borderId="0" xfId="0" applyNumberFormat="1" applyFont="1" applyBorder="1"/>
    <xf numFmtId="167" fontId="0" fillId="4" borderId="0" xfId="0" applyNumberFormat="1" applyFont="1" applyFill="1" applyBorder="1"/>
    <xf numFmtId="167" fontId="1" fillId="0" borderId="0" xfId="0" applyNumberFormat="1" applyFont="1" applyFill="1" applyBorder="1" applyAlignment="1">
      <alignment horizontal="center"/>
    </xf>
    <xf numFmtId="0" fontId="1" fillId="6" borderId="0" xfId="0" applyFont="1" applyFill="1" applyBorder="1" applyAlignment="1">
      <alignment horizontal="center"/>
    </xf>
    <xf numFmtId="0" fontId="0" fillId="6" borderId="0" xfId="0" applyFont="1" applyFill="1" applyBorder="1" applyAlignment="1">
      <alignment horizontal="center"/>
    </xf>
    <xf numFmtId="0" fontId="0" fillId="6" borderId="0" xfId="0" applyFont="1" applyFill="1" applyBorder="1"/>
    <xf numFmtId="3" fontId="0" fillId="0" borderId="0" xfId="0" applyNumberFormat="1"/>
    <xf numFmtId="167" fontId="0" fillId="0" borderId="0" xfId="0" applyNumberFormat="1"/>
    <xf numFmtId="4" fontId="0" fillId="0" borderId="0" xfId="0" applyNumberFormat="1"/>
    <xf numFmtId="0" fontId="4" fillId="0" borderId="0" xfId="2"/>
    <xf numFmtId="3" fontId="5" fillId="0" borderId="0" xfId="0" applyNumberFormat="1" applyFont="1" applyBorder="1"/>
    <xf numFmtId="167" fontId="5" fillId="0" borderId="0" xfId="0" applyNumberFormat="1" applyFont="1" applyBorder="1"/>
    <xf numFmtId="167" fontId="6" fillId="0" borderId="0" xfId="0" applyNumberFormat="1" applyFont="1" applyBorder="1"/>
    <xf numFmtId="168" fontId="0" fillId="0" borderId="0" xfId="0" applyNumberFormat="1" applyFont="1" applyBorder="1"/>
    <xf numFmtId="0" fontId="0" fillId="6" borderId="11" xfId="0" applyFont="1" applyFill="1" applyBorder="1"/>
    <xf numFmtId="0" fontId="0" fillId="0" borderId="11" xfId="0" applyFont="1" applyBorder="1" applyAlignment="1">
      <alignment horizontal="left"/>
    </xf>
    <xf numFmtId="0" fontId="0" fillId="0" borderId="12" xfId="0" applyFont="1" applyBorder="1" applyAlignment="1">
      <alignment horizontal="left"/>
    </xf>
    <xf numFmtId="167" fontId="0" fillId="0" borderId="11" xfId="0" applyNumberFormat="1" applyFont="1" applyBorder="1"/>
    <xf numFmtId="3" fontId="0" fillId="0" borderId="11" xfId="0" applyNumberFormat="1" applyFont="1" applyBorder="1"/>
    <xf numFmtId="3" fontId="0" fillId="0" borderId="11" xfId="0" applyNumberFormat="1" applyBorder="1"/>
    <xf numFmtId="0" fontId="0" fillId="0" borderId="11" xfId="0" applyBorder="1"/>
    <xf numFmtId="4" fontId="5" fillId="0" borderId="0" xfId="0" applyNumberFormat="1" applyFont="1" applyBorder="1"/>
    <xf numFmtId="4" fontId="0" fillId="0" borderId="0" xfId="0" applyNumberFormat="1" applyFont="1" applyFill="1" applyBorder="1"/>
    <xf numFmtId="3" fontId="0" fillId="0" borderId="0" xfId="0" applyNumberFormat="1" applyFont="1" applyFill="1" applyBorder="1"/>
    <xf numFmtId="3" fontId="5" fillId="0" borderId="0" xfId="0" applyNumberFormat="1" applyFont="1" applyFill="1" applyBorder="1"/>
    <xf numFmtId="0" fontId="1" fillId="0" borderId="0" xfId="0" applyFont="1" applyBorder="1" applyAlignment="1">
      <alignment horizontal="left"/>
    </xf>
    <xf numFmtId="0" fontId="8" fillId="0" borderId="0" xfId="0" applyFont="1" applyFill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7" fillId="0" borderId="0" xfId="0" applyFont="1" applyFill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7" fillId="0" borderId="0" xfId="0" applyFont="1" applyFill="1"/>
    <xf numFmtId="0" fontId="7" fillId="0" borderId="0" xfId="0" applyFont="1" applyFill="1" applyBorder="1"/>
    <xf numFmtId="0" fontId="7" fillId="0" borderId="1" xfId="2" applyFont="1" applyFill="1" applyBorder="1"/>
    <xf numFmtId="0" fontId="7" fillId="0" borderId="0" xfId="2" applyFont="1" applyFill="1" applyBorder="1"/>
    <xf numFmtId="0" fontId="7" fillId="0" borderId="6" xfId="0" applyFont="1" applyFill="1" applyBorder="1"/>
    <xf numFmtId="0" fontId="7" fillId="0" borderId="7" xfId="0" applyFont="1" applyFill="1" applyBorder="1"/>
    <xf numFmtId="0" fontId="7" fillId="0" borderId="1" xfId="0" applyFont="1" applyFill="1" applyBorder="1"/>
    <xf numFmtId="0" fontId="7" fillId="0" borderId="5" xfId="0" applyFont="1" applyFill="1" applyBorder="1"/>
    <xf numFmtId="0" fontId="7" fillId="0" borderId="3" xfId="0" applyFont="1" applyFill="1" applyBorder="1"/>
    <xf numFmtId="0" fontId="7" fillId="0" borderId="5" xfId="2" applyFont="1" applyFill="1" applyBorder="1"/>
    <xf numFmtId="0" fontId="7" fillId="0" borderId="4" xfId="0" applyFont="1" applyFill="1" applyBorder="1"/>
    <xf numFmtId="0" fontId="7" fillId="4" borderId="10" xfId="2" applyFont="1" applyFill="1" applyBorder="1" applyAlignment="1">
      <alignment horizontal="center"/>
    </xf>
    <xf numFmtId="0" fontId="1" fillId="0" borderId="9" xfId="2" applyFont="1" applyBorder="1" applyAlignment="1">
      <alignment horizontal="left"/>
    </xf>
    <xf numFmtId="0" fontId="0" fillId="4" borderId="9" xfId="0" applyFont="1" applyFill="1" applyBorder="1" applyAlignment="1">
      <alignment horizontal="left"/>
    </xf>
    <xf numFmtId="0" fontId="0" fillId="4" borderId="0" xfId="0" applyFont="1" applyFill="1"/>
    <xf numFmtId="2" fontId="0" fillId="4" borderId="0" xfId="0" applyNumberFormat="1" applyFont="1" applyFill="1"/>
    <xf numFmtId="165" fontId="0" fillId="4" borderId="0" xfId="0" applyNumberFormat="1" applyFont="1" applyFill="1"/>
    <xf numFmtId="0" fontId="0" fillId="4" borderId="0" xfId="0" applyFont="1" applyFill="1" applyBorder="1" applyAlignment="1">
      <alignment horizontal="left"/>
    </xf>
    <xf numFmtId="167" fontId="0" fillId="4" borderId="0" xfId="0" applyNumberFormat="1" applyFont="1" applyFill="1"/>
    <xf numFmtId="0" fontId="0" fillId="0" borderId="0" xfId="0" applyFill="1"/>
    <xf numFmtId="0" fontId="1" fillId="0" borderId="0" xfId="0" applyFont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" fillId="4" borderId="0" xfId="0" applyFont="1" applyFill="1"/>
    <xf numFmtId="0" fontId="9" fillId="0" borderId="0" xfId="0" applyFont="1"/>
    <xf numFmtId="0" fontId="11" fillId="0" borderId="0" xfId="0" applyFont="1"/>
    <xf numFmtId="0" fontId="1" fillId="0" borderId="0" xfId="2" applyFont="1" applyFill="1" applyBorder="1"/>
    <xf numFmtId="0" fontId="1" fillId="4" borderId="0" xfId="0" applyFont="1" applyFill="1" applyBorder="1"/>
    <xf numFmtId="0" fontId="0" fillId="0" borderId="0" xfId="0" applyBorder="1"/>
    <xf numFmtId="0" fontId="1" fillId="0" borderId="0" xfId="0" applyFont="1" applyBorder="1"/>
    <xf numFmtId="0" fontId="7" fillId="4" borderId="0" xfId="0" applyFont="1" applyFill="1"/>
    <xf numFmtId="0" fontId="7" fillId="0" borderId="0" xfId="0" applyFont="1"/>
    <xf numFmtId="4" fontId="0" fillId="0" borderId="0" xfId="0" applyNumberFormat="1" applyBorder="1"/>
    <xf numFmtId="4" fontId="11" fillId="0" borderId="0" xfId="0" applyNumberFormat="1" applyFont="1"/>
    <xf numFmtId="4" fontId="9" fillId="0" borderId="0" xfId="0" applyNumberFormat="1" applyFont="1"/>
    <xf numFmtId="4" fontId="9" fillId="0" borderId="0" xfId="0" applyNumberFormat="1" applyFont="1" applyBorder="1"/>
    <xf numFmtId="0" fontId="1" fillId="4" borderId="13" xfId="0" applyFont="1" applyFill="1" applyBorder="1"/>
    <xf numFmtId="0" fontId="1" fillId="0" borderId="13" xfId="0" applyFont="1" applyBorder="1"/>
    <xf numFmtId="0" fontId="0" fillId="0" borderId="13" xfId="0" applyBorder="1"/>
    <xf numFmtId="4" fontId="0" fillId="0" borderId="13" xfId="0" applyNumberFormat="1" applyBorder="1"/>
    <xf numFmtId="4" fontId="9" fillId="0" borderId="13" xfId="0" applyNumberFormat="1" applyFont="1" applyBorder="1"/>
    <xf numFmtId="0" fontId="1" fillId="0" borderId="0" xfId="0" applyFont="1" applyFill="1" applyBorder="1"/>
    <xf numFmtId="0" fontId="1" fillId="0" borderId="13" xfId="0" applyFont="1" applyFill="1" applyBorder="1"/>
    <xf numFmtId="4" fontId="11" fillId="0" borderId="0" xfId="0" applyNumberFormat="1" applyFont="1" applyBorder="1"/>
    <xf numFmtId="4" fontId="11" fillId="0" borderId="13" xfId="0" applyNumberFormat="1" applyFont="1" applyBorder="1"/>
    <xf numFmtId="0" fontId="1" fillId="0" borderId="13" xfId="0" applyFont="1" applyBorder="1" applyAlignment="1">
      <alignment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Border="1" applyAlignment="1">
      <alignment vertical="top" wrapText="1"/>
    </xf>
    <xf numFmtId="0" fontId="1" fillId="0" borderId="0" xfId="0" applyFont="1" applyFill="1" applyBorder="1" applyAlignment="1">
      <alignment vertical="top" wrapText="1"/>
    </xf>
    <xf numFmtId="0" fontId="1" fillId="0" borderId="13" xfId="0" applyFont="1" applyFill="1" applyBorder="1" applyAlignment="1">
      <alignment vertical="top" wrapText="1"/>
    </xf>
    <xf numFmtId="0" fontId="7" fillId="0" borderId="0" xfId="0" applyFont="1" applyAlignment="1">
      <alignment vertical="top" wrapText="1"/>
    </xf>
    <xf numFmtId="0" fontId="0" fillId="7" borderId="0" xfId="0" applyFill="1"/>
    <xf numFmtId="4" fontId="0" fillId="7" borderId="13" xfId="0" applyNumberFormat="1" applyFill="1" applyBorder="1"/>
    <xf numFmtId="4" fontId="0" fillId="7" borderId="0" xfId="0" applyNumberFormat="1" applyFill="1" applyBorder="1"/>
    <xf numFmtId="4" fontId="9" fillId="7" borderId="0" xfId="0" applyNumberFormat="1" applyFont="1" applyFill="1" applyBorder="1"/>
    <xf numFmtId="4" fontId="11" fillId="7" borderId="0" xfId="0" applyNumberFormat="1" applyFont="1" applyFill="1" applyBorder="1"/>
    <xf numFmtId="4" fontId="9" fillId="7" borderId="13" xfId="0" applyNumberFormat="1" applyFont="1" applyFill="1" applyBorder="1"/>
    <xf numFmtId="4" fontId="11" fillId="7" borderId="13" xfId="0" applyNumberFormat="1" applyFont="1" applyFill="1" applyBorder="1"/>
    <xf numFmtId="0" fontId="10" fillId="0" borderId="0" xfId="0" applyFont="1" applyFill="1"/>
    <xf numFmtId="0" fontId="0" fillId="8" borderId="0" xfId="0" applyFill="1"/>
    <xf numFmtId="11" fontId="0" fillId="0" borderId="0" xfId="0" applyNumberFormat="1"/>
    <xf numFmtId="0" fontId="1" fillId="0" borderId="13" xfId="0" applyFont="1" applyBorder="1" applyAlignment="1">
      <alignment vertical="top"/>
    </xf>
    <xf numFmtId="0" fontId="1" fillId="0" borderId="0" xfId="0" applyFont="1" applyAlignment="1">
      <alignment vertical="top"/>
    </xf>
    <xf numFmtId="0" fontId="1" fillId="0" borderId="0" xfId="0" applyFont="1" applyBorder="1" applyAlignment="1">
      <alignment vertical="top"/>
    </xf>
    <xf numFmtId="0" fontId="1" fillId="0" borderId="0" xfId="0" applyFont="1" applyFill="1" applyBorder="1" applyAlignment="1">
      <alignment vertical="top"/>
    </xf>
    <xf numFmtId="0" fontId="1" fillId="0" borderId="13" xfId="0" applyFont="1" applyFill="1" applyBorder="1" applyAlignment="1">
      <alignment vertical="top"/>
    </xf>
    <xf numFmtId="0" fontId="7" fillId="0" borderId="0" xfId="0" applyFont="1" applyAlignment="1">
      <alignment vertical="top"/>
    </xf>
    <xf numFmtId="0" fontId="0" fillId="0" borderId="0" xfId="0" applyAlignment="1">
      <alignment wrapText="1"/>
    </xf>
    <xf numFmtId="0" fontId="1" fillId="0" borderId="0" xfId="0" applyFont="1" applyAlignment="1">
      <alignment wrapText="1"/>
    </xf>
    <xf numFmtId="2" fontId="0" fillId="0" borderId="0" xfId="0" applyNumberFormat="1"/>
    <xf numFmtId="4" fontId="0" fillId="0" borderId="0" xfId="0" applyNumberFormat="1" applyFill="1" applyBorder="1"/>
    <xf numFmtId="4" fontId="9" fillId="0" borderId="0" xfId="0" applyNumberFormat="1" applyFont="1" applyFill="1" applyBorder="1"/>
    <xf numFmtId="4" fontId="11" fillId="0" borderId="0" xfId="0" applyNumberFormat="1" applyFont="1" applyFill="1" applyBorder="1"/>
    <xf numFmtId="4" fontId="9" fillId="8" borderId="0" xfId="0" applyNumberFormat="1" applyFont="1" applyFill="1" applyBorder="1"/>
    <xf numFmtId="3" fontId="0" fillId="0" borderId="13" xfId="0" applyNumberFormat="1" applyBorder="1"/>
    <xf numFmtId="3" fontId="0" fillId="7" borderId="13" xfId="0" applyNumberFormat="1" applyFill="1" applyBorder="1"/>
    <xf numFmtId="0" fontId="1" fillId="9" borderId="0" xfId="0" applyFont="1" applyFill="1" applyBorder="1" applyAlignment="1">
      <alignment vertical="top" wrapText="1"/>
    </xf>
    <xf numFmtId="0" fontId="0" fillId="0" borderId="0" xfId="0" applyAlignment="1">
      <alignment vertical="top" wrapText="1"/>
    </xf>
    <xf numFmtId="0" fontId="1" fillId="4" borderId="0" xfId="0" applyFont="1" applyFill="1" applyAlignment="1">
      <alignment vertical="top" wrapText="1"/>
    </xf>
    <xf numFmtId="2" fontId="11" fillId="0" borderId="0" xfId="0" applyNumberFormat="1" applyFont="1"/>
    <xf numFmtId="0" fontId="1" fillId="4" borderId="0" xfId="0" applyFont="1" applyFill="1" applyAlignment="1">
      <alignment vertical="top"/>
    </xf>
    <xf numFmtId="0" fontId="1" fillId="4" borderId="13" xfId="0" applyFont="1" applyFill="1" applyBorder="1" applyAlignment="1">
      <alignment vertical="top"/>
    </xf>
    <xf numFmtId="0" fontId="1" fillId="4" borderId="0" xfId="0" applyFont="1" applyFill="1" applyBorder="1" applyAlignment="1">
      <alignment vertical="top"/>
    </xf>
    <xf numFmtId="0" fontId="7" fillId="4" borderId="0" xfId="0" applyFont="1" applyFill="1" applyAlignment="1">
      <alignment vertical="top"/>
    </xf>
    <xf numFmtId="0" fontId="0" fillId="0" borderId="0" xfId="0" applyAlignment="1">
      <alignment vertical="top"/>
    </xf>
    <xf numFmtId="165" fontId="0" fillId="0" borderId="0" xfId="0" applyNumberFormat="1" applyFont="1" applyFill="1" applyBorder="1"/>
    <xf numFmtId="2" fontId="0" fillId="0" borderId="0" xfId="0" applyNumberFormat="1" applyFont="1" applyFill="1" applyBorder="1"/>
    <xf numFmtId="0" fontId="0" fillId="4" borderId="0" xfId="0" applyFill="1" applyAlignment="1">
      <alignment vertical="top" wrapText="1"/>
    </xf>
    <xf numFmtId="2" fontId="0" fillId="7" borderId="0" xfId="0" applyNumberFormat="1" applyFill="1"/>
    <xf numFmtId="3" fontId="9" fillId="0" borderId="13" xfId="0" applyNumberFormat="1" applyFont="1" applyBorder="1"/>
    <xf numFmtId="3" fontId="9" fillId="7" borderId="13" xfId="0" applyNumberFormat="1" applyFont="1" applyFill="1" applyBorder="1"/>
    <xf numFmtId="3" fontId="9" fillId="0" borderId="0" xfId="0" applyNumberFormat="1" applyFont="1"/>
    <xf numFmtId="0" fontId="1" fillId="10" borderId="8" xfId="2" applyFont="1" applyFill="1" applyBorder="1"/>
    <xf numFmtId="0" fontId="0" fillId="0" borderId="9" xfId="0" applyFill="1" applyBorder="1"/>
    <xf numFmtId="0" fontId="1" fillId="0" borderId="9" xfId="2" applyFont="1" applyFill="1" applyBorder="1"/>
    <xf numFmtId="0" fontId="7" fillId="0" borderId="9" xfId="2" applyFont="1" applyFill="1" applyBorder="1"/>
    <xf numFmtId="165" fontId="0" fillId="0" borderId="0" xfId="0" applyNumberFormat="1" applyFont="1" applyFill="1"/>
    <xf numFmtId="4" fontId="0" fillId="0" borderId="0" xfId="0" applyNumberFormat="1" applyFont="1"/>
    <xf numFmtId="0" fontId="0" fillId="9" borderId="0" xfId="0" applyFill="1"/>
    <xf numFmtId="4" fontId="0" fillId="9" borderId="0" xfId="0" applyNumberFormat="1" applyFill="1" applyBorder="1"/>
  </cellXfs>
  <cellStyles count="3">
    <cellStyle name="Comma" xfId="1" builtinId="3" customBuiltin="1"/>
    <cellStyle name="Hyperlink" xfId="2" builtinId="8"/>
    <cellStyle name="Normal" xfId="0" builtinId="0"/>
  </cellStyles>
  <dxfs count="14">
    <dxf>
      <font>
        <b/>
        <i val="0"/>
      </font>
    </dxf>
    <dxf>
      <border>
        <bottom style="thin">
          <color auto="1"/>
        </bottom>
      </border>
    </dxf>
    <dxf>
      <fill>
        <patternFill>
          <fgColor indexed="64"/>
          <bgColor theme="8" tint="0.39994506668294322"/>
        </patternFill>
      </fill>
    </dxf>
    <dxf>
      <fill>
        <patternFill>
          <fgColor indexed="64"/>
          <bgColor theme="9" tint="0.39994506668294322"/>
        </patternFill>
      </fill>
    </dxf>
    <dxf>
      <font>
        <color theme="0"/>
      </font>
      <fill>
        <patternFill>
          <fgColor indexed="64"/>
          <bgColor rgb="FF0070C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b/>
        <i val="0"/>
      </font>
    </dxf>
    <dxf>
      <border>
        <bottom style="thin">
          <color auto="1"/>
        </bottom>
      </border>
    </dxf>
    <dxf>
      <fill>
        <patternFill>
          <fgColor indexed="64"/>
          <bgColor theme="8" tint="0.39994506668294322"/>
        </patternFill>
      </fill>
    </dxf>
    <dxf>
      <fill>
        <patternFill>
          <fgColor indexed="64"/>
          <bgColor theme="9" tint="0.39994506668294322"/>
        </patternFill>
      </fill>
    </dxf>
    <dxf>
      <font>
        <color theme="0"/>
      </font>
      <fill>
        <patternFill>
          <fgColor indexed="64"/>
          <bgColor rgb="FF0070C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ont>
        <color theme="0"/>
      </font>
      <fill>
        <patternFill>
          <fgColor indexed="64"/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https://data.oecd.org/gdp/gdp-long-term-forecast.htm" TargetMode="External"/><Relationship Id="rId7" Type="http://schemas.openxmlformats.org/officeDocument/2006/relationships/hyperlink" Target="https://www150.statcan.gc.ca/t1/tbl1/en/cv.action?pid=1710000501" TargetMode="External"/><Relationship Id="rId2" Type="http://schemas.openxmlformats.org/officeDocument/2006/relationships/hyperlink" Target="https://data.oecd.org/conversion/purchasing-power-parities-ppp.htm" TargetMode="External"/><Relationship Id="rId1" Type="http://schemas.openxmlformats.org/officeDocument/2006/relationships/hyperlink" Target="https://data.oecd.org/gdp/gdp-long-term-forecast.htm" TargetMode="External"/><Relationship Id="rId6" Type="http://schemas.openxmlformats.org/officeDocument/2006/relationships/hyperlink" Target="https://www150.statcan.gc.ca/t1/tbl1/en/cv.action?pid=1710000501" TargetMode="External"/><Relationship Id="rId5" Type="http://schemas.openxmlformats.org/officeDocument/2006/relationships/hyperlink" Target="https://www150.statcan.gc.ca/t1/tbl1/en/tv.action?pid=1710005801" TargetMode="External"/><Relationship Id="rId4" Type="http://schemas.openxmlformats.org/officeDocument/2006/relationships/hyperlink" Target="https://www150.statcan.gc.ca/t1/tbl1/en/tv.action?pid=1710005801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://oee.nrcan.gc.ca/corporate/statistics/neud/dpa/showTable.cfm?type=CP&amp;sector=res&amp;juris=ab&amp;rn=18&amp;page=2" TargetMode="External"/><Relationship Id="rId13" Type="http://schemas.openxmlformats.org/officeDocument/2006/relationships/hyperlink" Target="http://oee.nrcan.gc.ca/corporate/statistics/neud/dpa/showTable.cfm?type=CP&amp;sector=res&amp;juris=ab&amp;rn=18&amp;page=2" TargetMode="External"/><Relationship Id="rId18" Type="http://schemas.openxmlformats.org/officeDocument/2006/relationships/hyperlink" Target="http://oee.nrcan.gc.ca/corporate/statistics/neud/dpa/showTable.cfm?type=CP&amp;sector=res&amp;juris=ab&amp;rn=18&amp;page=2" TargetMode="External"/><Relationship Id="rId3" Type="http://schemas.openxmlformats.org/officeDocument/2006/relationships/hyperlink" Target="https://www12.statcan.gc.ca/census-recensement/2016/dp-pd/dt-td/Rp-eng.cfm?TABID=4&amp;LANG=E&amp;A=R&amp;APATH=3&amp;DETAIL=0&amp;DIM=0&amp;FL=A&amp;FREE=0&amp;GC=01&amp;GL=-1&amp;GID=1234492&amp;GK=1&amp;GRP=1&amp;O=D&amp;PID=109532&amp;PRID=10&amp;PTYPE=109445&amp;S=0&amp;SHOWALL=0&amp;SUB=0&amp;Temporal=2016&amp;THEME=116&amp;VID=0&amp;VNAMEE=&amp;VNAMEF=&amp;D1=0&amp;D2=0&amp;D3=0&amp;D4=0&amp;D5=0&amp;D6=0" TargetMode="External"/><Relationship Id="rId7" Type="http://schemas.openxmlformats.org/officeDocument/2006/relationships/hyperlink" Target="http://oee.nrcan.gc.ca/corporate/statistics/neud/dpa/showTable.cfm?type=CP&amp;sector=res&amp;juris=ab&amp;rn=18&amp;page=2" TargetMode="External"/><Relationship Id="rId12" Type="http://schemas.openxmlformats.org/officeDocument/2006/relationships/hyperlink" Target="http://oee.nrcan.gc.ca/corporate/statistics/neud/dpa/showTable.cfm?type=CP&amp;sector=res&amp;juris=ab&amp;rn=18&amp;page=2" TargetMode="External"/><Relationship Id="rId17" Type="http://schemas.openxmlformats.org/officeDocument/2006/relationships/hyperlink" Target="http://oee.nrcan.gc.ca/corporate/statistics/neud/dpa/showTable.cfm?type=CP&amp;sector=res&amp;juris=ab&amp;rn=18&amp;page=2" TargetMode="External"/><Relationship Id="rId2" Type="http://schemas.openxmlformats.org/officeDocument/2006/relationships/hyperlink" Target="https://www12.statcan.gc.ca/census-recensement/2016/dp-pd/dt-td/Rp-eng.cfm?TABID=4&amp;LANG=E&amp;A=R&amp;APATH=3&amp;DETAIL=0&amp;DIM=0&amp;FL=A&amp;FREE=0&amp;GC=01&amp;GL=-1&amp;GID=1234492&amp;GK=1&amp;GRP=1&amp;O=D&amp;PID=109532&amp;PRID=10&amp;PTYPE=109445&amp;S=0&amp;SHOWALL=0&amp;SUB=0&amp;Temporal=2016&amp;THEME=116&amp;VID=0&amp;VNAMEE=&amp;VNAMEF=&amp;D1=0&amp;D2=0&amp;D3=0&amp;D4=0&amp;D5=0&amp;D6=0" TargetMode="External"/><Relationship Id="rId16" Type="http://schemas.openxmlformats.org/officeDocument/2006/relationships/hyperlink" Target="http://oee.nrcan.gc.ca/corporate/statistics/neud/dpa/showTable.cfm?type=CP&amp;sector=res&amp;juris=ab&amp;rn=18&amp;page=2" TargetMode="External"/><Relationship Id="rId20" Type="http://schemas.openxmlformats.org/officeDocument/2006/relationships/printerSettings" Target="../printerSettings/printerSettings2.bin"/><Relationship Id="rId1" Type="http://schemas.openxmlformats.org/officeDocument/2006/relationships/hyperlink" Target="http://oee.nrcan.gc.ca/corporate/statistics/neud/dpa/showTable.cfm?type=CP&amp;sector=res&amp;juris=ab&amp;rn=18&amp;page=2" TargetMode="External"/><Relationship Id="rId6" Type="http://schemas.openxmlformats.org/officeDocument/2006/relationships/hyperlink" Target="http://oee.nrcan.gc.ca/corporate/statistics/neud/dpa/showTable.cfm?type=CP&amp;sector=res&amp;juris=ab&amp;rn=18&amp;page=2" TargetMode="External"/><Relationship Id="rId11" Type="http://schemas.openxmlformats.org/officeDocument/2006/relationships/hyperlink" Target="https://www12.statcan.gc.ca/census-recensement/2016/dp-pd/dt-td/Rp-eng.cfm?TABID=4&amp;LANG=E&amp;A=R&amp;APATH=3&amp;DETAIL=0&amp;DIM=0&amp;FL=A&amp;FREE=0&amp;GC=01&amp;GL=-1&amp;GID=1234492&amp;GK=1&amp;GRP=1&amp;O=D&amp;PID=109532&amp;PRID=10&amp;PTYPE=109445&amp;S=0&amp;SHOWALL=0&amp;SUB=0&amp;Temporal=2016&amp;THEME=116&amp;VID=0&amp;VNAMEE=&amp;VNAMEF=&amp;D1=0&amp;D2=0&amp;D3=0&amp;D4=0&amp;D5=0&amp;D6=0" TargetMode="External"/><Relationship Id="rId5" Type="http://schemas.openxmlformats.org/officeDocument/2006/relationships/hyperlink" Target="http://oee.nrcan.gc.ca/corporate/statistics/neud/dpa/showTable.cfm?type=CP&amp;sector=res&amp;juris=ab&amp;rn=18&amp;page=2" TargetMode="External"/><Relationship Id="rId15" Type="http://schemas.openxmlformats.org/officeDocument/2006/relationships/hyperlink" Target="http://oee.nrcan.gc.ca/corporate/statistics/neud/dpa/showTable.cfm?type=CP&amp;sector=res&amp;juris=ab&amp;rn=18&amp;page=2" TargetMode="External"/><Relationship Id="rId10" Type="http://schemas.openxmlformats.org/officeDocument/2006/relationships/hyperlink" Target="http://oee.nrcan.gc.ca/corporate/statistics/neud/dpa/showTable.cfm?type=CP&amp;sector=res&amp;juris=ab&amp;rn=18&amp;page=2" TargetMode="External"/><Relationship Id="rId19" Type="http://schemas.openxmlformats.org/officeDocument/2006/relationships/hyperlink" Target="http://oee.nrcan.gc.ca/corporate/statistics/neud/dpa/showTable.cfm?type=CP&amp;sector=res&amp;juris=ab&amp;rn=18&amp;page=2" TargetMode="External"/><Relationship Id="rId4" Type="http://schemas.openxmlformats.org/officeDocument/2006/relationships/hyperlink" Target="http://oee.nrcan.gc.ca/corporate/statistics/neud/dpa/showTable.cfm?type=CP&amp;sector=res&amp;juris=ab&amp;rn=18&amp;page=2" TargetMode="External"/><Relationship Id="rId9" Type="http://schemas.openxmlformats.org/officeDocument/2006/relationships/hyperlink" Target="http://oee.nrcan.gc.ca/corporate/statistics/neud/dpa/showTable.cfm?type=CP&amp;sector=res&amp;juris=ab&amp;rn=18&amp;page=2" TargetMode="External"/><Relationship Id="rId14" Type="http://schemas.openxmlformats.org/officeDocument/2006/relationships/hyperlink" Target="http://oee.nrcan.gc.ca/corporate/statistics/neud/dpa/showTable.cfm?type=CP&amp;sector=res&amp;juris=ab&amp;rn=18&amp;page=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449E9-551D-4918-9891-B804DE91249B}">
  <sheetPr codeName="Sheet7">
    <tabColor theme="1" tint="0.499984740745262"/>
    <outlinePr summaryBelow="0" summaryRight="0"/>
  </sheetPr>
  <dimension ref="A1:L6"/>
  <sheetViews>
    <sheetView zoomScale="85" zoomScaleNormal="85" workbookViewId="0">
      <pane ySplit="1" topLeftCell="A2" activePane="bottomLeft" state="frozen"/>
      <selection pane="bottomLeft" activeCell="B6" sqref="B6"/>
    </sheetView>
  </sheetViews>
  <sheetFormatPr defaultRowHeight="15" x14ac:dyDescent="0.25"/>
  <cols>
    <col min="1" max="1" width="20" style="97" bestFit="1" customWidth="1"/>
    <col min="2" max="2" width="46.42578125" style="98" customWidth="1"/>
    <col min="3" max="3" width="3.140625" style="97" customWidth="1"/>
    <col min="4" max="4" width="16.5703125" style="97" bestFit="1" customWidth="1"/>
    <col min="5" max="5" width="11.85546875" style="97" customWidth="1"/>
    <col min="6" max="6" width="3.140625" style="97" customWidth="1"/>
    <col min="7" max="7" width="22" style="97" bestFit="1" customWidth="1"/>
    <col min="8" max="8" width="11.85546875" style="97" customWidth="1"/>
    <col min="9" max="9" width="3.140625" style="97" customWidth="1"/>
    <col min="10" max="10" width="12.140625" style="97" bestFit="1" customWidth="1"/>
    <col min="11" max="11" width="3.140625" style="97" customWidth="1"/>
    <col min="12" max="12" width="9.140625" style="97"/>
    <col min="13" max="13" width="3.140625" style="97" customWidth="1"/>
    <col min="14" max="16384" width="9.140625" style="97"/>
  </cols>
  <sheetData>
    <row r="1" spans="1:12" s="96" customFormat="1" ht="45" x14ac:dyDescent="0.25">
      <c r="A1" s="96" t="s">
        <v>138</v>
      </c>
      <c r="B1" s="96" t="s">
        <v>137</v>
      </c>
      <c r="D1" s="96" t="s">
        <v>73</v>
      </c>
      <c r="E1" s="96" t="s">
        <v>74</v>
      </c>
      <c r="G1" s="96" t="s">
        <v>70</v>
      </c>
      <c r="H1" s="96" t="s">
        <v>132</v>
      </c>
      <c r="J1" s="96" t="s">
        <v>71</v>
      </c>
      <c r="L1" s="96" t="s">
        <v>69</v>
      </c>
    </row>
    <row r="2" spans="1:12" ht="45" x14ac:dyDescent="0.25">
      <c r="A2" s="97" t="s">
        <v>24</v>
      </c>
      <c r="B2" s="98" t="s">
        <v>215</v>
      </c>
      <c r="D2" s="97" t="s">
        <v>59</v>
      </c>
      <c r="E2" s="97" t="s">
        <v>76</v>
      </c>
      <c r="G2" s="97" t="s">
        <v>0</v>
      </c>
      <c r="H2" s="97" t="s">
        <v>133</v>
      </c>
      <c r="J2" s="97" t="s">
        <v>2</v>
      </c>
      <c r="L2" s="97" t="s">
        <v>19</v>
      </c>
    </row>
    <row r="3" spans="1:12" ht="30" x14ac:dyDescent="0.25">
      <c r="A3" s="97" t="s">
        <v>213</v>
      </c>
      <c r="B3" s="98" t="s">
        <v>216</v>
      </c>
      <c r="D3" s="97" t="s">
        <v>5</v>
      </c>
      <c r="E3" s="97" t="s">
        <v>77</v>
      </c>
      <c r="G3" s="97" t="s">
        <v>72</v>
      </c>
      <c r="H3" s="97" t="s">
        <v>133</v>
      </c>
      <c r="J3" s="97" t="s">
        <v>14</v>
      </c>
      <c r="L3" s="97" t="s">
        <v>20</v>
      </c>
    </row>
    <row r="4" spans="1:12" ht="60" x14ac:dyDescent="0.25">
      <c r="A4" s="97" t="s">
        <v>23</v>
      </c>
      <c r="B4" s="98" t="s">
        <v>217</v>
      </c>
      <c r="D4" s="97" t="s">
        <v>75</v>
      </c>
      <c r="E4" s="97" t="s">
        <v>78</v>
      </c>
      <c r="G4" s="97" t="s">
        <v>2</v>
      </c>
      <c r="H4" s="97" t="s">
        <v>134</v>
      </c>
      <c r="L4" s="97" t="s">
        <v>21</v>
      </c>
    </row>
    <row r="5" spans="1:12" ht="30" x14ac:dyDescent="0.25">
      <c r="A5" s="97" t="s">
        <v>79</v>
      </c>
      <c r="B5" s="98" t="s">
        <v>218</v>
      </c>
      <c r="G5" s="97" t="s">
        <v>14</v>
      </c>
      <c r="H5" s="97" t="s">
        <v>134</v>
      </c>
    </row>
    <row r="6" spans="1:12" x14ac:dyDescent="0.25">
      <c r="B6" s="9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4ED32-E5FE-4314-9DA0-B00575F8E235}">
  <sheetPr codeName="Map">
    <tabColor theme="1"/>
    <outlinePr summaryBelow="0" summaryRight="0"/>
  </sheetPr>
  <dimension ref="A1:BN463"/>
  <sheetViews>
    <sheetView showGridLines="0" zoomScale="85" zoomScaleNormal="85" workbookViewId="0">
      <pane ySplit="2" topLeftCell="A408" activePane="bottomLeft" state="frozen"/>
      <selection pane="bottomLeft" activeCell="AO425" sqref="AO425"/>
    </sheetView>
  </sheetViews>
  <sheetFormatPr defaultRowHeight="15" outlineLevelCol="1" x14ac:dyDescent="0.25"/>
  <cols>
    <col min="1" max="1" width="2.7109375" style="3" customWidth="1" collapsed="1"/>
    <col min="2" max="12" width="9.140625" style="3" hidden="1" customWidth="1" outlineLevel="1"/>
    <col min="13" max="13" width="2.7109375" style="3" customWidth="1"/>
    <col min="14" max="14" width="11.140625" style="76" customWidth="1"/>
    <col min="15" max="15" width="2.5703125" style="76" customWidth="1" outlineLevel="1"/>
    <col min="16" max="16" width="10" style="76" customWidth="1" outlineLevel="1"/>
    <col min="17" max="17" width="2.7109375" style="76" customWidth="1" outlineLevel="1"/>
    <col min="18" max="18" width="12.42578125" style="76" customWidth="1" outlineLevel="1"/>
    <col min="19" max="19" width="2.7109375" style="76" customWidth="1" outlineLevel="1"/>
    <col min="20" max="20" width="35.7109375" style="76" customWidth="1" outlineLevel="1"/>
    <col min="21" max="21" width="2.7109375" style="76" customWidth="1" outlineLevel="1"/>
    <col min="22" max="22" width="35.42578125" style="76" customWidth="1" outlineLevel="1"/>
    <col min="23" max="23" width="2.7109375" style="76" customWidth="1" outlineLevel="1"/>
    <col min="24" max="24" width="42.85546875" style="76" customWidth="1" outlineLevel="1"/>
    <col min="25" max="25" width="2.7109375" style="76" customWidth="1" outlineLevel="1"/>
    <col min="26" max="26" width="19.140625" style="76" customWidth="1" outlineLevel="1"/>
    <col min="27" max="27" width="2.7109375" style="76" customWidth="1" outlineLevel="1"/>
    <col min="28" max="28" width="10.7109375" style="76" customWidth="1" outlineLevel="1"/>
    <col min="29" max="29" width="2.7109375" style="76" customWidth="1" outlineLevel="1"/>
    <col min="30" max="30" width="10.7109375" style="76" customWidth="1" outlineLevel="1"/>
    <col min="31" max="31" width="2.7109375" style="76" customWidth="1" outlineLevel="1"/>
    <col min="32" max="32" width="10.7109375" style="76" customWidth="1" outlineLevel="1"/>
    <col min="33" max="33" width="2.7109375" style="76" customWidth="1" outlineLevel="1"/>
    <col min="34" max="34" width="10.7109375" style="76" customWidth="1" outlineLevel="1"/>
    <col min="35" max="35" width="2.7109375" style="3" customWidth="1"/>
    <col min="36" max="36" width="21.28515625" style="29" customWidth="1"/>
    <col min="37" max="37" width="24.42578125" style="3" customWidth="1" outlineLevel="1"/>
    <col min="38" max="38" width="66.42578125" style="3" bestFit="1" customWidth="1" outlineLevel="1"/>
    <col min="39" max="39" width="25.7109375" style="3" customWidth="1" outlineLevel="1"/>
    <col min="40" max="40" width="36.42578125" style="3" bestFit="1" customWidth="1" outlineLevel="1"/>
    <col min="41" max="51" width="15.7109375" style="3" customWidth="1" outlineLevel="1"/>
    <col min="52" max="52" width="2.7109375" style="3" customWidth="1"/>
    <col min="53" max="53" width="27.5703125" style="17" bestFit="1" customWidth="1"/>
    <col min="54" max="55" width="22.140625" style="17" customWidth="1"/>
    <col min="56" max="66" width="15.7109375" style="42" customWidth="1" outlineLevel="1"/>
    <col min="67" max="16384" width="9.140625" style="3"/>
  </cols>
  <sheetData>
    <row r="1" spans="1:66" s="24" customFormat="1" ht="15.75" thickBot="1" x14ac:dyDescent="0.3">
      <c r="A1" s="25"/>
      <c r="M1" s="25"/>
      <c r="N1" s="72">
        <v>0</v>
      </c>
      <c r="O1" s="72"/>
      <c r="P1" s="72">
        <v>1</v>
      </c>
      <c r="Q1" s="72"/>
      <c r="R1" s="72">
        <v>2</v>
      </c>
      <c r="S1" s="72"/>
      <c r="T1" s="72">
        <v>3</v>
      </c>
      <c r="U1" s="73"/>
      <c r="V1" s="72">
        <v>4</v>
      </c>
      <c r="W1" s="73"/>
      <c r="X1" s="72">
        <v>5</v>
      </c>
      <c r="Y1" s="73"/>
      <c r="Z1" s="72">
        <v>6</v>
      </c>
      <c r="AA1" s="73"/>
      <c r="AB1" s="72">
        <v>7</v>
      </c>
      <c r="AC1" s="73"/>
      <c r="AD1" s="72">
        <v>8</v>
      </c>
      <c r="AE1" s="73"/>
      <c r="AF1" s="72">
        <v>9</v>
      </c>
      <c r="AG1" s="73"/>
      <c r="AH1" s="72">
        <v>10</v>
      </c>
      <c r="AI1" s="25"/>
      <c r="AJ1" s="35" t="s">
        <v>96</v>
      </c>
      <c r="AK1" s="87" t="s">
        <v>105</v>
      </c>
      <c r="AZ1" s="25"/>
      <c r="BA1" s="36" t="s">
        <v>98</v>
      </c>
      <c r="BB1" s="36"/>
      <c r="BC1" s="26"/>
      <c r="BD1" s="48"/>
      <c r="BE1" s="48"/>
      <c r="BF1" s="48"/>
      <c r="BG1" s="48"/>
      <c r="BH1" s="48"/>
      <c r="BI1" s="48"/>
      <c r="BJ1" s="48"/>
      <c r="BK1" s="48"/>
      <c r="BL1" s="48"/>
      <c r="BM1" s="48"/>
      <c r="BN1" s="48"/>
    </row>
    <row r="2" spans="1:66" s="24" customFormat="1" x14ac:dyDescent="0.25">
      <c r="A2" s="25"/>
      <c r="B2" s="24" t="s">
        <v>214</v>
      </c>
      <c r="M2" s="25"/>
      <c r="N2" s="74" t="s">
        <v>83</v>
      </c>
      <c r="O2" s="74"/>
      <c r="P2" s="74" t="s">
        <v>73</v>
      </c>
      <c r="Q2" s="74"/>
      <c r="R2" s="74" t="s">
        <v>70</v>
      </c>
      <c r="S2" s="74"/>
      <c r="T2" s="74" t="s">
        <v>90</v>
      </c>
      <c r="U2" s="75"/>
      <c r="V2" s="74" t="s">
        <v>90</v>
      </c>
      <c r="W2" s="75"/>
      <c r="X2" s="74" t="s">
        <v>90</v>
      </c>
      <c r="Y2" s="75"/>
      <c r="Z2" s="74" t="s">
        <v>90</v>
      </c>
      <c r="AA2" s="75"/>
      <c r="AB2" s="74" t="s">
        <v>90</v>
      </c>
      <c r="AC2" s="75"/>
      <c r="AD2" s="74" t="s">
        <v>90</v>
      </c>
      <c r="AE2" s="75"/>
      <c r="AF2" s="74" t="s">
        <v>90</v>
      </c>
      <c r="AG2" s="75"/>
      <c r="AH2" s="74" t="s">
        <v>90</v>
      </c>
      <c r="AI2" s="25"/>
      <c r="AJ2" s="8" t="s">
        <v>60</v>
      </c>
      <c r="AK2" s="8" t="s">
        <v>9</v>
      </c>
      <c r="AL2" s="8" t="s">
        <v>6</v>
      </c>
      <c r="AM2" s="8" t="s">
        <v>16</v>
      </c>
      <c r="AN2" s="10" t="s">
        <v>8</v>
      </c>
      <c r="AO2" s="9">
        <v>2000</v>
      </c>
      <c r="AP2" s="9">
        <v>2005</v>
      </c>
      <c r="AQ2" s="9">
        <v>2010</v>
      </c>
      <c r="AR2" s="9">
        <v>2015</v>
      </c>
      <c r="AS2" s="9">
        <v>2020</v>
      </c>
      <c r="AT2" s="9">
        <v>2025</v>
      </c>
      <c r="AU2" s="9">
        <v>2030</v>
      </c>
      <c r="AV2" s="9">
        <v>2035</v>
      </c>
      <c r="AW2" s="9">
        <v>2040</v>
      </c>
      <c r="AX2" s="9">
        <v>2045</v>
      </c>
      <c r="AY2" s="9">
        <v>2050</v>
      </c>
      <c r="AZ2" s="25"/>
      <c r="BA2" s="36" t="s">
        <v>92</v>
      </c>
      <c r="BB2" s="36" t="s">
        <v>16</v>
      </c>
      <c r="BC2" s="36" t="s">
        <v>97</v>
      </c>
      <c r="BD2" s="45">
        <v>2000</v>
      </c>
      <c r="BE2" s="45">
        <v>2005</v>
      </c>
      <c r="BF2" s="45">
        <v>2010</v>
      </c>
      <c r="BG2" s="45">
        <v>2015</v>
      </c>
      <c r="BH2" s="45">
        <v>2020</v>
      </c>
      <c r="BI2" s="45">
        <v>2025</v>
      </c>
      <c r="BJ2" s="45">
        <v>2030</v>
      </c>
      <c r="BK2" s="45">
        <v>2035</v>
      </c>
      <c r="BL2" s="45">
        <v>2040</v>
      </c>
      <c r="BM2" s="45">
        <v>2045</v>
      </c>
      <c r="BN2" s="45">
        <v>2050</v>
      </c>
    </row>
    <row r="3" spans="1:66" s="12" customFormat="1" x14ac:dyDescent="0.25">
      <c r="A3" s="13"/>
      <c r="B3" s="5" t="str">
        <f t="array" ref="B3">IFERROR(INDEX(DemandSupply,MATCH(INDEX($R$1:R3,SMALL(ROW($R$1:R3)+(10000*($R$1:R3="")),COUNTA($R$1:R3))),Sectors,0)),"")</f>
        <v/>
      </c>
      <c r="M3" s="13"/>
      <c r="N3" s="74"/>
      <c r="O3" s="74"/>
      <c r="P3" s="74"/>
      <c r="Q3" s="74"/>
      <c r="R3" s="74"/>
      <c r="S3" s="74"/>
      <c r="T3" s="74"/>
      <c r="U3" s="75"/>
      <c r="V3" s="74"/>
      <c r="W3" s="75"/>
      <c r="X3" s="74"/>
      <c r="Y3" s="75"/>
      <c r="Z3" s="74"/>
      <c r="AA3" s="75"/>
      <c r="AB3" s="74"/>
      <c r="AC3" s="75"/>
      <c r="AD3" s="74"/>
      <c r="AE3" s="75"/>
      <c r="AF3" s="74"/>
      <c r="AG3" s="75"/>
      <c r="AH3" s="74"/>
      <c r="AI3" s="13"/>
      <c r="AJ3" s="27" t="str">
        <f>IFERROR(INDEX($N3:$AH3,MATCH(TRUE,INDEX(($N3:$AH3&lt;&gt;0),0),0)),"")</f>
        <v/>
      </c>
      <c r="AK3" s="14"/>
      <c r="AL3" s="14"/>
      <c r="AM3" s="14"/>
      <c r="AN3" s="11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/>
      <c r="BA3" s="15"/>
      <c r="BB3" s="15"/>
      <c r="BC3" s="15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</row>
    <row r="4" spans="1:66" s="5" customFormat="1" x14ac:dyDescent="0.25">
      <c r="A4" s="7"/>
      <c r="B4" s="5" t="str">
        <f t="array" ref="B4">IFERROR(INDEX(DemandSupply,MATCH(INDEX($R$1:R4,SMALL(ROW($R$1:R4)+(10000*($R$1:R4="")),COUNTA($R$1:R4))),Sectors,0)),"")</f>
        <v/>
      </c>
      <c r="M4" s="7"/>
      <c r="N4" s="31" t="s">
        <v>81</v>
      </c>
      <c r="O4" s="76"/>
      <c r="P4" s="76"/>
      <c r="Q4" s="76"/>
      <c r="R4" s="76"/>
      <c r="S4" s="76"/>
      <c r="T4" s="76"/>
      <c r="U4" s="77"/>
      <c r="V4" s="76"/>
      <c r="W4" s="77"/>
      <c r="X4" s="76"/>
      <c r="Y4" s="77"/>
      <c r="Z4" s="76"/>
      <c r="AA4" s="77"/>
      <c r="AB4" s="76"/>
      <c r="AC4" s="77"/>
      <c r="AD4" s="76"/>
      <c r="AE4" s="77"/>
      <c r="AF4" s="76"/>
      <c r="AG4" s="77"/>
      <c r="AH4" s="76"/>
      <c r="AI4" s="7"/>
      <c r="AJ4" s="28" t="str">
        <f>IFERROR(INDEX($N4:$AH4,MATCH(TRUE,INDEX(($N4:$AH4&lt;&gt;0),0),0)),"")</f>
        <v>Simulation</v>
      </c>
      <c r="AK4" s="6"/>
      <c r="AL4" s="6"/>
      <c r="AM4" s="6"/>
      <c r="AN4" s="11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7"/>
      <c r="BA4" s="15"/>
      <c r="BB4" s="15"/>
      <c r="BC4" s="15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1"/>
    </row>
    <row r="5" spans="1:66" s="5" customFormat="1" x14ac:dyDescent="0.25">
      <c r="A5" s="7"/>
      <c r="B5" s="5" t="str">
        <f t="array" ref="B5">IFERROR(INDEX(DemandSupply,MATCH(INDEX($R$1:R5,SMALL(ROW($R$1:R5)+(10000*($R$1:R5="")),COUNTA($R$1:R5))),Sectors,0)),"")</f>
        <v/>
      </c>
      <c r="M5" s="7"/>
      <c r="N5" s="76"/>
      <c r="O5" s="76"/>
      <c r="P5" s="76"/>
      <c r="Q5" s="76"/>
      <c r="R5" s="76"/>
      <c r="S5" s="76"/>
      <c r="T5" s="76"/>
      <c r="U5" s="77"/>
      <c r="V5" s="76"/>
      <c r="W5" s="77"/>
      <c r="X5" s="76"/>
      <c r="Y5" s="77"/>
      <c r="Z5" s="76"/>
      <c r="AA5" s="77"/>
      <c r="AB5" s="76"/>
      <c r="AC5" s="77"/>
      <c r="AD5" s="76"/>
      <c r="AE5" s="77"/>
      <c r="AF5" s="76"/>
      <c r="AG5" s="77"/>
      <c r="AH5" s="76"/>
      <c r="AI5" s="7"/>
      <c r="AJ5" s="27" t="str">
        <f>IFERROR(INDEX($N5:$AH5,MATCH(TRUE,INDEX(($N5:$AH5&lt;&gt;0),0),0)),"")</f>
        <v/>
      </c>
      <c r="AK5" s="6" t="s">
        <v>82</v>
      </c>
      <c r="AL5" s="6"/>
      <c r="AM5" s="6" t="s">
        <v>10</v>
      </c>
      <c r="AN5" s="11"/>
      <c r="AO5" s="6">
        <v>2000</v>
      </c>
      <c r="AP5" s="6">
        <v>2005</v>
      </c>
      <c r="AQ5" s="6">
        <v>2010</v>
      </c>
      <c r="AR5" s="6">
        <v>2015</v>
      </c>
      <c r="AS5" s="6">
        <v>2020</v>
      </c>
      <c r="AT5" s="6">
        <v>2025</v>
      </c>
      <c r="AU5" s="6">
        <v>2030</v>
      </c>
      <c r="AV5" s="6"/>
      <c r="AW5" s="6"/>
      <c r="AX5" s="6"/>
      <c r="AY5" s="6"/>
      <c r="AZ5" s="7"/>
      <c r="BA5" s="15"/>
      <c r="BB5" s="15"/>
      <c r="BC5" s="15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1"/>
    </row>
    <row r="6" spans="1:66" s="5" customFormat="1" x14ac:dyDescent="0.25">
      <c r="A6" s="7"/>
      <c r="B6" s="5" t="str">
        <f t="array" ref="B6">IFERROR(INDEX(DemandSupply,MATCH(INDEX($R$1:R6,SMALL(ROW($R$1:R6)+(10000*($R$1:R6="")),COUNTA($R$1:R6))),Sectors,0)),"")</f>
        <v/>
      </c>
      <c r="M6" s="7"/>
      <c r="N6" s="76"/>
      <c r="O6" s="76"/>
      <c r="P6" s="76"/>
      <c r="Q6" s="76"/>
      <c r="R6" s="76"/>
      <c r="S6" s="76"/>
      <c r="T6" s="76"/>
      <c r="U6" s="77"/>
      <c r="V6" s="76"/>
      <c r="W6" s="77"/>
      <c r="X6" s="76"/>
      <c r="Y6" s="77"/>
      <c r="Z6" s="76"/>
      <c r="AA6" s="77"/>
      <c r="AB6" s="76"/>
      <c r="AC6" s="77"/>
      <c r="AD6" s="76"/>
      <c r="AE6" s="77"/>
      <c r="AF6" s="76"/>
      <c r="AG6" s="77"/>
      <c r="AH6" s="76"/>
      <c r="AI6" s="7"/>
      <c r="AJ6" s="27" t="str">
        <f>IFERROR(INDEX($N6:$AH6,MATCH(TRUE,INDEX(($N6:$AH6&lt;&gt;0),0),0)),"")</f>
        <v/>
      </c>
      <c r="AK6" s="6"/>
      <c r="AL6" s="6"/>
      <c r="AM6" s="6"/>
      <c r="AN6" s="11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7"/>
      <c r="BA6" s="15"/>
      <c r="BB6" s="15"/>
      <c r="BC6" s="15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1"/>
    </row>
    <row r="7" spans="1:66" s="5" customFormat="1" x14ac:dyDescent="0.25">
      <c r="A7" s="7"/>
      <c r="B7" s="5" t="str">
        <f t="array" ref="B7">IFERROR(INDEX(DemandSupply,MATCH(INDEX($R$1:R7,SMALL(ROW($R$1:R7)+(10000*($R$1:R7="")),COUNTA($R$1:R7))),Sectors,0)),"")</f>
        <v/>
      </c>
      <c r="M7" s="7"/>
      <c r="N7" s="31" t="s">
        <v>59</v>
      </c>
      <c r="O7" s="78"/>
      <c r="P7" s="76"/>
      <c r="Q7" s="76"/>
      <c r="R7" s="76"/>
      <c r="S7" s="76"/>
      <c r="T7" s="76"/>
      <c r="U7" s="77"/>
      <c r="V7" s="76"/>
      <c r="W7" s="77"/>
      <c r="X7" s="76"/>
      <c r="Y7" s="77"/>
      <c r="Z7" s="76"/>
      <c r="AA7" s="77"/>
      <c r="AB7" s="76"/>
      <c r="AC7" s="77"/>
      <c r="AD7" s="76"/>
      <c r="AE7" s="77"/>
      <c r="AF7" s="76"/>
      <c r="AG7" s="77"/>
      <c r="AH7" s="76"/>
      <c r="AI7" s="7"/>
      <c r="AJ7" s="28" t="str">
        <f>IFERROR(INDEX($N7:$AH7,MATCH(TRUE,INDEX(($N7:$AH7&lt;&gt;0),0),0)),"")</f>
        <v>Canada</v>
      </c>
      <c r="AK7" s="6"/>
      <c r="AL7" s="6"/>
      <c r="AM7" s="6"/>
      <c r="AN7" s="11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7"/>
      <c r="BA7" s="15"/>
      <c r="BB7" s="15"/>
      <c r="BC7" s="15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</row>
    <row r="8" spans="1:66" s="5" customFormat="1" x14ac:dyDescent="0.25">
      <c r="A8" s="7"/>
      <c r="B8" s="5" t="str">
        <f t="array" ref="B8">IFERROR(INDEX(DemandSupply,MATCH(INDEX($R$1:R8,SMALL(ROW($R$1:R8)+(10000*($R$1:R8="")),COUNTA($R$1:R8))),Sectors,0)),"")</f>
        <v/>
      </c>
      <c r="M8" s="7"/>
      <c r="N8" s="79"/>
      <c r="O8" s="78"/>
      <c r="P8" s="76"/>
      <c r="Q8" s="76"/>
      <c r="R8" s="76"/>
      <c r="S8" s="76"/>
      <c r="T8" s="76"/>
      <c r="U8" s="77"/>
      <c r="V8" s="76"/>
      <c r="W8" s="77"/>
      <c r="X8" s="76"/>
      <c r="Y8" s="77"/>
      <c r="Z8" s="76"/>
      <c r="AA8" s="77"/>
      <c r="AB8" s="76"/>
      <c r="AC8" s="77"/>
      <c r="AD8" s="76"/>
      <c r="AE8" s="77"/>
      <c r="AF8" s="76"/>
      <c r="AG8" s="77"/>
      <c r="AH8" s="76"/>
      <c r="AI8" s="7"/>
      <c r="AJ8" s="27" t="str">
        <f>IFERROR(INDEX($N8:$AH8,MATCH(TRUE,INDEX(($N8:$AH8&lt;&gt;0),0),0)),"")</f>
        <v/>
      </c>
      <c r="AK8" s="6" t="s">
        <v>93</v>
      </c>
      <c r="AL8" s="6" t="s">
        <v>59</v>
      </c>
      <c r="AM8" s="6"/>
      <c r="AN8" s="11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7"/>
      <c r="BA8" s="15"/>
      <c r="BB8" s="15"/>
      <c r="BC8" s="15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1"/>
    </row>
    <row r="9" spans="1:66" s="5" customFormat="1" x14ac:dyDescent="0.25">
      <c r="A9" s="7"/>
      <c r="B9" s="5" t="str">
        <f t="array" ref="B9">IFERROR(INDEX(DemandSupply,MATCH(INDEX($R$1:R9,SMALL(ROW($R$1:R9)+(10000*($R$1:R9="")),COUNTA($R$1:R9))),Sectors,0)),"")</f>
        <v/>
      </c>
      <c r="M9" s="7"/>
      <c r="N9" s="77"/>
      <c r="O9" s="78"/>
      <c r="P9" s="77"/>
      <c r="Q9" s="76"/>
      <c r="R9" s="76"/>
      <c r="S9" s="76"/>
      <c r="T9" s="76"/>
      <c r="U9" s="77"/>
      <c r="V9" s="76"/>
      <c r="W9" s="77"/>
      <c r="X9" s="76"/>
      <c r="Y9" s="77"/>
      <c r="Z9" s="76"/>
      <c r="AA9" s="77"/>
      <c r="AB9" s="76"/>
      <c r="AC9" s="77"/>
      <c r="AD9" s="76"/>
      <c r="AE9" s="77"/>
      <c r="AF9" s="76"/>
      <c r="AG9" s="77"/>
      <c r="AH9" s="76"/>
      <c r="AI9" s="7"/>
      <c r="AJ9" s="27" t="str">
        <f>IFERROR(INDEX($N9:$AH9,MATCH(TRUE,INDEX(($N9:$AH9&lt;&gt;0),0),0)),"")</f>
        <v/>
      </c>
      <c r="AK9" s="6" t="s">
        <v>58</v>
      </c>
      <c r="AL9" s="6"/>
      <c r="AM9" s="15"/>
      <c r="AN9" s="16" t="s">
        <v>24</v>
      </c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7"/>
      <c r="BA9" s="6"/>
      <c r="BB9" s="6"/>
      <c r="BC9" s="6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1"/>
    </row>
    <row r="10" spans="1:66" s="5" customFormat="1" x14ac:dyDescent="0.25">
      <c r="A10" s="7"/>
      <c r="B10" s="5" t="str">
        <f t="array" ref="B10">IFERROR(INDEX(DemandSupply,MATCH(INDEX($R$1:R10,SMALL(ROW($R$1:R10)+(10000*($R$1:R10="")),COUNTA($R$1:R10))),Sectors,0)),"")</f>
        <v/>
      </c>
      <c r="M10" s="7"/>
      <c r="N10" s="77"/>
      <c r="O10" s="78"/>
      <c r="P10" s="77"/>
      <c r="Q10" s="76"/>
      <c r="R10" s="76"/>
      <c r="S10" s="76"/>
      <c r="T10" s="76"/>
      <c r="U10" s="77"/>
      <c r="V10" s="76"/>
      <c r="W10" s="77"/>
      <c r="X10" s="76"/>
      <c r="Y10" s="77"/>
      <c r="Z10" s="76"/>
      <c r="AA10" s="77"/>
      <c r="AB10" s="76"/>
      <c r="AC10" s="77"/>
      <c r="AD10" s="76"/>
      <c r="AE10" s="77"/>
      <c r="AF10" s="76"/>
      <c r="AG10" s="77"/>
      <c r="AH10" s="76"/>
      <c r="AI10" s="7"/>
      <c r="AJ10" s="27" t="str">
        <f>IFERROR(INDEX($N10:$AH10,MATCH(TRUE,INDEX(($N10:$AH10&lt;&gt;0),0),0)),"")</f>
        <v/>
      </c>
      <c r="AK10" s="6" t="s">
        <v>94</v>
      </c>
      <c r="AL10" s="6" t="s">
        <v>141</v>
      </c>
      <c r="AM10" s="15"/>
      <c r="AN10" s="16"/>
      <c r="AO10" s="6">
        <v>1</v>
      </c>
      <c r="AP10" s="6">
        <v>1</v>
      </c>
      <c r="AQ10" s="6">
        <v>1</v>
      </c>
      <c r="AR10" s="6">
        <v>1</v>
      </c>
      <c r="AS10" s="6">
        <v>1</v>
      </c>
      <c r="AT10" s="6">
        <v>1</v>
      </c>
      <c r="AU10" s="6">
        <v>1</v>
      </c>
      <c r="AV10" s="6">
        <v>1</v>
      </c>
      <c r="AW10" s="6">
        <v>1</v>
      </c>
      <c r="AX10" s="6">
        <v>1</v>
      </c>
      <c r="AY10" s="6">
        <v>1</v>
      </c>
      <c r="AZ10" s="7"/>
      <c r="BA10" s="6"/>
      <c r="BB10" s="6"/>
      <c r="BC10" s="6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1"/>
    </row>
    <row r="11" spans="1:66" s="5" customFormat="1" x14ac:dyDescent="0.25">
      <c r="A11" s="7"/>
      <c r="B11" s="5" t="str">
        <f t="array" ref="B11">IFERROR(INDEX(DemandSupply,MATCH(INDEX($R$1:R11,SMALL(ROW($R$1:R11)+(10000*($R$1:R11="")),COUNTA($R$1:R11))),Sectors,0)),"")</f>
        <v/>
      </c>
      <c r="M11" s="7"/>
      <c r="N11" s="79"/>
      <c r="O11" s="78"/>
      <c r="P11" s="77"/>
      <c r="Q11" s="76"/>
      <c r="R11" s="76"/>
      <c r="S11" s="76"/>
      <c r="T11" s="76"/>
      <c r="U11" s="77"/>
      <c r="V11" s="76"/>
      <c r="W11" s="77"/>
      <c r="X11" s="76"/>
      <c r="Y11" s="77"/>
      <c r="Z11" s="76"/>
      <c r="AA11" s="77"/>
      <c r="AB11" s="76"/>
      <c r="AC11" s="77"/>
      <c r="AD11" s="76"/>
      <c r="AE11" s="77"/>
      <c r="AF11" s="76"/>
      <c r="AG11" s="77"/>
      <c r="AH11" s="76"/>
      <c r="AI11" s="7"/>
      <c r="AJ11" s="27" t="str">
        <f>IFERROR(INDEX($N11:$AH11,MATCH(TRUE,INDEX(($N11:$AH11&lt;&gt;0),0),0)),"")</f>
        <v/>
      </c>
      <c r="AK11" s="6"/>
      <c r="AL11" s="6"/>
      <c r="AM11" s="6"/>
      <c r="AN11" s="11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7"/>
      <c r="BA11" s="15"/>
      <c r="BB11" s="15"/>
      <c r="BC11" s="15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1"/>
    </row>
    <row r="12" spans="1:66" s="5" customFormat="1" x14ac:dyDescent="0.25">
      <c r="A12" s="7"/>
      <c r="B12" s="5" t="str">
        <f t="array" ref="B12">IFERROR(INDEX(DemandSupply,MATCH(INDEX($R$1:R12,SMALL(ROW($R$1:R12)+(10000*($R$1:R12="")),COUNTA($R$1:R12))),Sectors,0)),"")</f>
        <v/>
      </c>
      <c r="M12" s="7"/>
      <c r="N12" s="76"/>
      <c r="O12" s="80"/>
      <c r="P12" s="31" t="s">
        <v>5</v>
      </c>
      <c r="Q12" s="78"/>
      <c r="R12" s="77"/>
      <c r="S12" s="77"/>
      <c r="T12" s="76"/>
      <c r="U12" s="77"/>
      <c r="V12" s="76"/>
      <c r="W12" s="77"/>
      <c r="X12" s="76"/>
      <c r="Y12" s="77"/>
      <c r="Z12" s="76"/>
      <c r="AA12" s="77"/>
      <c r="AB12" s="76"/>
      <c r="AC12" s="77"/>
      <c r="AD12" s="76"/>
      <c r="AE12" s="77"/>
      <c r="AF12" s="76"/>
      <c r="AG12" s="77"/>
      <c r="AH12" s="76"/>
      <c r="AI12" s="7"/>
      <c r="AJ12" s="28" t="str">
        <f>IFERROR(INDEX($N12:$AH12,MATCH(TRUE,INDEX(($N12:$AH12&lt;&gt;0),0),0)),"")</f>
        <v>Alberta</v>
      </c>
      <c r="AK12" s="6"/>
      <c r="AL12" s="6"/>
      <c r="AM12" s="6"/>
      <c r="AN12" s="11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7"/>
      <c r="BA12" s="15"/>
      <c r="BB12" s="15"/>
      <c r="BC12" s="15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1"/>
    </row>
    <row r="13" spans="1:66" s="5" customFormat="1" x14ac:dyDescent="0.25">
      <c r="A13" s="7"/>
      <c r="B13" s="5" t="str">
        <f t="array" ref="B13">IFERROR(INDEX(DemandSupply,MATCH(INDEX($R$1:R13,SMALL(ROW($R$1:R13)+(10000*($R$1:R13="")),COUNTA($R$1:R13))),Sectors,0)),"")</f>
        <v/>
      </c>
      <c r="M13" s="7"/>
      <c r="N13" s="76"/>
      <c r="O13" s="77"/>
      <c r="P13" s="77"/>
      <c r="Q13" s="78"/>
      <c r="R13" s="77"/>
      <c r="S13" s="77"/>
      <c r="T13" s="76"/>
      <c r="U13" s="77"/>
      <c r="V13" s="76"/>
      <c r="W13" s="77"/>
      <c r="X13" s="76"/>
      <c r="Y13" s="77"/>
      <c r="Z13" s="76"/>
      <c r="AA13" s="77"/>
      <c r="AB13" s="76"/>
      <c r="AC13" s="77"/>
      <c r="AD13" s="76"/>
      <c r="AE13" s="77"/>
      <c r="AF13" s="76"/>
      <c r="AG13" s="77"/>
      <c r="AH13" s="76"/>
      <c r="AI13" s="7"/>
      <c r="AJ13" s="27" t="str">
        <f>IFERROR(INDEX($N13:$AH13,MATCH(TRUE,INDEX(($N13:$AH13&lt;&gt;0),0),0)),"")</f>
        <v/>
      </c>
      <c r="AK13" s="17" t="s">
        <v>93</v>
      </c>
      <c r="AL13" s="17" t="s">
        <v>141</v>
      </c>
      <c r="AM13" s="17" t="s">
        <v>56</v>
      </c>
      <c r="AN13" s="18" t="s">
        <v>52</v>
      </c>
      <c r="AO13" s="19">
        <f>INDEX(Macro!F$3:F$16,MATCH("Alberta",Macro!$C$3:$C$16,0))</f>
        <v>3004198</v>
      </c>
      <c r="AP13" s="19">
        <f>INDEX(Macro!G$3:G$16,MATCH("Alberta",Macro!$C$3:$C$16,0))</f>
        <v>3321768</v>
      </c>
      <c r="AQ13" s="19">
        <f>INDEX(Macro!H$3:H$16,MATCH("Alberta",Macro!$C$3:$C$16,0))</f>
        <v>3732082</v>
      </c>
      <c r="AR13" s="19">
        <f>INDEX(Macro!I$3:I$16,MATCH("Alberta",Macro!$C$3:$C$16,0))</f>
        <v>4144491</v>
      </c>
      <c r="AS13" s="19">
        <f>INDEX(Macro!J$3:J$16,MATCH("Alberta",Macro!$C$3:$C$16,0))</f>
        <v>4472800</v>
      </c>
      <c r="AT13" s="19">
        <f>INDEX(Macro!K$3:K$16,MATCH("Alberta",Macro!$C$3:$C$16,0))</f>
        <v>4908500</v>
      </c>
      <c r="AU13" s="19">
        <f>INDEX(Macro!L$3:L$16,MATCH("Alberta",Macro!$C$3:$C$16,0))</f>
        <v>5360500</v>
      </c>
      <c r="AV13" s="19">
        <f>INDEX(Macro!M$3:M$16,MATCH("Alberta",Macro!$C$3:$C$16,0))</f>
        <v>5830000</v>
      </c>
      <c r="AW13" s="19">
        <f>INDEX(Macro!N$3:N$16,MATCH("Alberta",Macro!$C$3:$C$16,0))</f>
        <v>6317800</v>
      </c>
      <c r="AX13" s="19">
        <f>INDEX(Macro!O$3:O$16,MATCH("Alberta",Macro!$C$3:$C$16,0))</f>
        <v>6546789.4987122808</v>
      </c>
      <c r="AY13" s="19">
        <f>INDEX(Macro!P$3:P$16,MATCH("Alberta",Macro!$C$3:$C$16,0))</f>
        <v>6769878.6374783553</v>
      </c>
      <c r="AZ13" s="7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</row>
    <row r="14" spans="1:66" s="5" customFormat="1" x14ac:dyDescent="0.25">
      <c r="A14" s="7"/>
      <c r="B14" s="5" t="str">
        <f t="array" ref="B14">IFERROR(INDEX(DemandSupply,MATCH(INDEX($R$1:R14,SMALL(ROW($R$1:R14)+(10000*($R$1:R14="")),COUNTA($R$1:R14))),Sectors,0)),"")</f>
        <v/>
      </c>
      <c r="M14" s="7"/>
      <c r="N14" s="76"/>
      <c r="O14" s="77"/>
      <c r="P14" s="77"/>
      <c r="Q14" s="78"/>
      <c r="R14" s="77"/>
      <c r="S14" s="77"/>
      <c r="T14" s="76"/>
      <c r="U14" s="77"/>
      <c r="V14" s="76"/>
      <c r="W14" s="77"/>
      <c r="X14" s="76"/>
      <c r="Y14" s="77"/>
      <c r="Z14" s="76"/>
      <c r="AA14" s="77"/>
      <c r="AB14" s="76"/>
      <c r="AC14" s="77"/>
      <c r="AD14" s="76"/>
      <c r="AE14" s="77"/>
      <c r="AF14" s="76"/>
      <c r="AG14" s="77"/>
      <c r="AH14" s="76"/>
      <c r="AI14" s="7"/>
      <c r="AJ14" s="27" t="str">
        <f>IFERROR(INDEX($N14:$AH14,MATCH(TRUE,INDEX(($N14:$AH14&lt;&gt;0),0),0)),"")</f>
        <v/>
      </c>
      <c r="AK14" s="17" t="s">
        <v>93</v>
      </c>
      <c r="AL14" s="17" t="s">
        <v>141</v>
      </c>
      <c r="AM14" s="17" t="s">
        <v>55</v>
      </c>
      <c r="AN14" s="18" t="s">
        <v>53</v>
      </c>
      <c r="AO14" s="42">
        <f>INDEX(Macro!F$52:F$65,MATCH("Alberta",Macro!$C$52:$C$65,0))/1000</f>
        <v>217.72399999999999</v>
      </c>
      <c r="AP14" s="42">
        <f>INDEX(Macro!G$52:G$65,MATCH("Alberta",Macro!$C$52:$C$65,0))/1000</f>
        <v>263.911</v>
      </c>
      <c r="AQ14" s="42">
        <f>INDEX(Macro!H$52:H$65,MATCH("Alberta",Macro!$C$52:$C$65,0))/1000</f>
        <v>283.54399999999998</v>
      </c>
      <c r="AR14" s="42">
        <f>INDEX(Macro!I$52:I$65,MATCH("Alberta",Macro!$C$52:$C$65,0))/1000</f>
        <v>337.59</v>
      </c>
      <c r="AS14" s="42">
        <f>INDEX(Macro!J$52:J$65,MATCH("Alberta",Macro!$C$52:$C$65,0))/1000</f>
        <v>374.17926303346775</v>
      </c>
      <c r="AT14" s="42">
        <f>INDEX(Macro!K$52:K$65,MATCH("Alberta",Macro!$C$52:$C$65,0))/1000</f>
        <v>404.74213151416194</v>
      </c>
      <c r="AU14" s="42">
        <f>INDEX(Macro!L$52:L$65,MATCH("Alberta",Macro!$C$52:$C$65,0))/1000</f>
        <v>441.25580005641859</v>
      </c>
      <c r="AV14" s="42">
        <f>INDEX(Macro!M$52:M$65,MATCH("Alberta",Macro!$C$52:$C$65,0))/1000</f>
        <v>484.09671883954439</v>
      </c>
      <c r="AW14" s="42">
        <f>INDEX(Macro!N$52:N$65,MATCH("Alberta",Macro!$C$52:$C$65,0))/1000</f>
        <v>532.61614982592562</v>
      </c>
      <c r="AX14" s="42">
        <f>INDEX(Macro!O$52:O$65,MATCH("Alberta",Macro!$C$52:$C$65,0))/1000</f>
        <v>586.75057398825743</v>
      </c>
      <c r="AY14" s="42">
        <f>INDEX(Macro!P$52:P$65,MATCH("Alberta",Macro!$C$52:$C$65,0))/1000</f>
        <v>646.12087601322003</v>
      </c>
      <c r="AZ14" s="7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</row>
    <row r="15" spans="1:66" s="5" customFormat="1" x14ac:dyDescent="0.25">
      <c r="A15" s="7"/>
      <c r="B15" s="5" t="str">
        <f t="array" ref="B15">IFERROR(INDEX(DemandSupply,MATCH(INDEX($R$1:R15,SMALL(ROW($R$1:R15)+(10000*($R$1:R15="")),COUNTA($R$1:R15))),Sectors,0)),"")</f>
        <v/>
      </c>
      <c r="M15" s="7"/>
      <c r="N15" s="76"/>
      <c r="O15" s="77"/>
      <c r="P15" s="77"/>
      <c r="Q15" s="78"/>
      <c r="R15" s="77"/>
      <c r="S15" s="77"/>
      <c r="T15" s="76"/>
      <c r="U15" s="77"/>
      <c r="V15" s="76"/>
      <c r="W15" s="77"/>
      <c r="X15" s="76"/>
      <c r="Y15" s="77"/>
      <c r="Z15" s="76"/>
      <c r="AA15" s="77"/>
      <c r="AB15" s="76"/>
      <c r="AC15" s="77"/>
      <c r="AD15" s="76"/>
      <c r="AE15" s="77"/>
      <c r="AF15" s="76"/>
      <c r="AG15" s="77"/>
      <c r="AH15" s="76"/>
      <c r="AI15" s="7"/>
      <c r="AJ15" s="27" t="str">
        <f>IFERROR(INDEX($N15:$AH15,MATCH(TRUE,INDEX(($N15:$AH15&lt;&gt;0),0),0)),"")</f>
        <v/>
      </c>
      <c r="AK15" s="17" t="s">
        <v>58</v>
      </c>
      <c r="AL15" s="17"/>
      <c r="AM15" s="17"/>
      <c r="AN15" s="18" t="s">
        <v>24</v>
      </c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7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</row>
    <row r="16" spans="1:66" s="5" customFormat="1" x14ac:dyDescent="0.25">
      <c r="A16" s="7"/>
      <c r="B16" s="5" t="str">
        <f t="array" ref="B16">IFERROR(INDEX(DemandSupply,MATCH(INDEX($R$1:R16,SMALL(ROW($R$1:R16)+(10000*($R$1:R16="")),COUNTA($R$1:R16))),Sectors,0)),"")</f>
        <v/>
      </c>
      <c r="M16" s="7"/>
      <c r="N16" s="76"/>
      <c r="O16" s="77"/>
      <c r="P16" s="77"/>
      <c r="Q16" s="78"/>
      <c r="R16" s="77"/>
      <c r="S16" s="77"/>
      <c r="T16" s="76"/>
      <c r="U16" s="77"/>
      <c r="V16" s="76"/>
      <c r="W16" s="77"/>
      <c r="X16" s="76"/>
      <c r="Y16" s="77"/>
      <c r="Z16" s="76"/>
      <c r="AA16" s="77"/>
      <c r="AB16" s="76"/>
      <c r="AC16" s="77"/>
      <c r="AD16" s="76"/>
      <c r="AE16" s="77"/>
      <c r="AF16" s="76"/>
      <c r="AG16" s="77"/>
      <c r="AH16" s="76"/>
      <c r="AI16" s="7"/>
      <c r="AJ16" s="27" t="str">
        <f>IFERROR(INDEX($N16:$AH16,MATCH(TRUE,INDEX(($N16:$AH16&lt;&gt;0),0),0)),"")</f>
        <v/>
      </c>
      <c r="AK16" s="17" t="s">
        <v>94</v>
      </c>
      <c r="AL16" s="17" t="s">
        <v>142</v>
      </c>
      <c r="AM16" s="17" t="s">
        <v>176</v>
      </c>
      <c r="AN16" s="18" t="s">
        <v>0</v>
      </c>
      <c r="AO16" s="59">
        <f>1/INDEX(Residential!F$3:F$16,MATCH("Alberta",Residential!$C$3:$C$16,0))</f>
        <v>0.38461538461538458</v>
      </c>
      <c r="AP16" s="59">
        <f>1/INDEX(Residential!G$3:G$16,MATCH("Alberta",Residential!$C$3:$C$16,0))</f>
        <v>0.38461538461538458</v>
      </c>
      <c r="AQ16" s="59">
        <f>1/INDEX(Residential!H$3:H$16,MATCH("Alberta",Residential!$C$3:$C$16,0))</f>
        <v>0.38461538461538458</v>
      </c>
      <c r="AR16" s="59">
        <f>1/INDEX(Residential!I$3:I$16,MATCH("Alberta",Residential!$C$3:$C$16,0))</f>
        <v>0.38461538461538458</v>
      </c>
      <c r="AS16" s="59">
        <f>1/INDEX(Residential!J$3:J$16,MATCH("Alberta",Residential!$C$3:$C$16,0))</f>
        <v>0.38461538461538458</v>
      </c>
      <c r="AT16" s="59">
        <f>1/INDEX(Residential!K$3:K$16,MATCH("Alberta",Residential!$C$3:$C$16,0))</f>
        <v>0.38461538461538458</v>
      </c>
      <c r="AU16" s="59">
        <f>1/INDEX(Residential!L$3:L$16,MATCH("Alberta",Residential!$C$3:$C$16,0))</f>
        <v>0.38461538461538458</v>
      </c>
      <c r="AV16" s="59">
        <f>1/INDEX(Residential!M$3:M$16,MATCH("Alberta",Residential!$C$3:$C$16,0))</f>
        <v>0.38461538461538458</v>
      </c>
      <c r="AW16" s="59">
        <f>1/INDEX(Residential!N$3:N$16,MATCH("Alberta",Residential!$C$3:$C$16,0))</f>
        <v>0.38461538461538458</v>
      </c>
      <c r="AX16" s="59">
        <f>1/INDEX(Residential!O$3:O$16,MATCH("Alberta",Residential!$C$3:$C$16,0))</f>
        <v>0.38461538461538458</v>
      </c>
      <c r="AY16" s="59">
        <f>1/INDEX(Residential!P$3:P$16,MATCH("Alberta",Residential!$C$3:$C$16,0))</f>
        <v>0.38461538461538458</v>
      </c>
      <c r="AZ16" s="7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</row>
    <row r="17" spans="1:66" s="5" customFormat="1" x14ac:dyDescent="0.25">
      <c r="A17" s="7"/>
      <c r="B17" s="5" t="str">
        <f t="array" ref="B17">IFERROR(INDEX(DemandSupply,MATCH(INDEX($R$1:R17,SMALL(ROW($R$1:R17)+(10000*($R$1:R17="")),COUNTA($R$1:R17))),Sectors,0)),"")</f>
        <v/>
      </c>
      <c r="M17" s="7"/>
      <c r="N17" s="76"/>
      <c r="O17" s="77"/>
      <c r="P17" s="79"/>
      <c r="Q17" s="78"/>
      <c r="R17" s="77"/>
      <c r="S17" s="77"/>
      <c r="T17" s="76"/>
      <c r="U17" s="77"/>
      <c r="V17" s="76"/>
      <c r="W17" s="77"/>
      <c r="X17" s="76"/>
      <c r="Y17" s="77"/>
      <c r="Z17" s="76"/>
      <c r="AA17" s="77"/>
      <c r="AB17" s="76"/>
      <c r="AC17" s="77"/>
      <c r="AD17" s="76"/>
      <c r="AE17" s="77"/>
      <c r="AF17" s="76"/>
      <c r="AG17" s="77"/>
      <c r="AH17" s="76"/>
      <c r="AI17" s="7"/>
      <c r="AJ17" s="4" t="str">
        <f>IFERROR(INDEX($N17:$AH17,MATCH(TRUE,INDEX(($N17:$AH17&lt;&gt;0),0),0)),"")</f>
        <v/>
      </c>
      <c r="AK17" s="17"/>
      <c r="AL17" s="17"/>
      <c r="AM17" s="17"/>
      <c r="AN17" s="18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7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</row>
    <row r="18" spans="1:66" s="5" customFormat="1" x14ac:dyDescent="0.25">
      <c r="A18" s="7"/>
      <c r="B18" s="5" t="str">
        <f t="array" ref="B18">IFERROR(INDEX(DemandSupply,MATCH(INDEX($R$1:R18,SMALL(ROW($R$1:R18)+(10000*($R$1:R18="")),COUNTA($R$1:R18))),Sectors,0)),"")</f>
        <v>Demand</v>
      </c>
      <c r="M18" s="7"/>
      <c r="N18" s="76"/>
      <c r="O18" s="77"/>
      <c r="P18" s="77"/>
      <c r="Q18" s="81"/>
      <c r="R18" s="31" t="s">
        <v>0</v>
      </c>
      <c r="S18" s="78"/>
      <c r="T18" s="77"/>
      <c r="U18" s="79"/>
      <c r="V18" s="76"/>
      <c r="W18" s="79"/>
      <c r="X18" s="76"/>
      <c r="Y18" s="79"/>
      <c r="Z18" s="76"/>
      <c r="AA18" s="79"/>
      <c r="AB18" s="76"/>
      <c r="AC18" s="79"/>
      <c r="AD18" s="76"/>
      <c r="AE18" s="79"/>
      <c r="AF18" s="76"/>
      <c r="AG18" s="79"/>
      <c r="AH18" s="76"/>
      <c r="AI18" s="7"/>
      <c r="AJ18" s="33" t="str">
        <f>IFERROR(INDEX($N18:$AH18,MATCH(TRUE,INDEX(($N18:$AH18&lt;&gt;0),0),0)),"")</f>
        <v>Residential</v>
      </c>
      <c r="AK18" s="6"/>
      <c r="AL18" s="6"/>
      <c r="AM18" s="6"/>
      <c r="AN18" s="11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7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</row>
    <row r="19" spans="1:66" s="5" customFormat="1" hidden="1" x14ac:dyDescent="0.25">
      <c r="A19" s="7"/>
      <c r="B19" s="5" t="str">
        <f t="array" ref="B19">IFERROR(INDEX(DemandSupply,MATCH(INDEX($R$1:R19,SMALL(ROW($R$1:R19)+(10000*($R$1:R19="")),COUNTA($R$1:R19))),Sectors,0)),"")</f>
        <v>Demand</v>
      </c>
      <c r="M19" s="7"/>
      <c r="N19" s="76"/>
      <c r="O19" s="77"/>
      <c r="P19" s="77"/>
      <c r="Q19" s="82"/>
      <c r="R19" s="77"/>
      <c r="S19" s="78"/>
      <c r="T19" s="77"/>
      <c r="U19" s="79"/>
      <c r="V19" s="76"/>
      <c r="W19" s="79"/>
      <c r="X19" s="76"/>
      <c r="Y19" s="79"/>
      <c r="Z19" s="76"/>
      <c r="AA19" s="79"/>
      <c r="AB19" s="76"/>
      <c r="AC19" s="79"/>
      <c r="AD19" s="76"/>
      <c r="AE19" s="79"/>
      <c r="AF19" s="76"/>
      <c r="AG19" s="79"/>
      <c r="AH19" s="76"/>
      <c r="AI19" s="7"/>
      <c r="AJ19" s="27" t="str">
        <f>IFERROR(INDEX($N19:$AH19,MATCH(TRUE,INDEX(($N19:$AH19&lt;&gt;0),0),0)),"")</f>
        <v/>
      </c>
      <c r="AK19" s="17" t="s">
        <v>93</v>
      </c>
      <c r="AL19" s="17" t="s">
        <v>142</v>
      </c>
      <c r="AM19" s="17" t="s">
        <v>166</v>
      </c>
      <c r="AN19" s="18" t="s">
        <v>0</v>
      </c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7"/>
      <c r="BA19" s="37"/>
      <c r="BB19" s="37"/>
      <c r="BC19" s="37"/>
      <c r="BD19" s="42"/>
      <c r="BE19" s="42"/>
      <c r="BF19" s="42"/>
      <c r="BG19" s="42"/>
      <c r="BH19" s="42"/>
      <c r="BI19" s="42"/>
      <c r="BJ19" s="42"/>
      <c r="BK19" s="42"/>
      <c r="BL19" s="42"/>
      <c r="BM19" s="42"/>
      <c r="BN19" s="42"/>
    </row>
    <row r="20" spans="1:66" s="5" customFormat="1" hidden="1" x14ac:dyDescent="0.25">
      <c r="A20" s="7"/>
      <c r="B20" s="5" t="str">
        <f t="array" ref="B20">IFERROR(INDEX(DemandSupply,MATCH(INDEX($R$1:R20,SMALL(ROW($R$1:R20)+(10000*($R$1:R20="")),COUNTA($R$1:R20))),Sectors,0)),"")</f>
        <v>Demand</v>
      </c>
      <c r="M20" s="7"/>
      <c r="N20" s="76"/>
      <c r="O20" s="77"/>
      <c r="P20" s="77"/>
      <c r="Q20" s="82"/>
      <c r="R20" s="77"/>
      <c r="S20" s="78"/>
      <c r="T20" s="77"/>
      <c r="U20" s="79"/>
      <c r="V20" s="76"/>
      <c r="W20" s="79"/>
      <c r="X20" s="76"/>
      <c r="Y20" s="79"/>
      <c r="Z20" s="76"/>
      <c r="AA20" s="79"/>
      <c r="AB20" s="76"/>
      <c r="AC20" s="79"/>
      <c r="AD20" s="76"/>
      <c r="AE20" s="79"/>
      <c r="AF20" s="76"/>
      <c r="AG20" s="79"/>
      <c r="AH20" s="76"/>
      <c r="AI20" s="7"/>
      <c r="AJ20" s="27" t="str">
        <f>IFERROR(INDEX($N20:$AH20,MATCH(TRUE,INDEX(($N20:$AH20&lt;&gt;0),0),0)),"")</f>
        <v/>
      </c>
      <c r="AK20" s="17" t="s">
        <v>58</v>
      </c>
      <c r="AL20" s="17"/>
      <c r="AM20" s="17"/>
      <c r="AN20" s="18" t="s">
        <v>24</v>
      </c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7"/>
      <c r="BA20" s="37"/>
      <c r="BB20" s="37"/>
      <c r="BC20" s="37"/>
      <c r="BD20" s="42"/>
      <c r="BE20" s="42"/>
      <c r="BF20" s="42"/>
      <c r="BG20" s="42"/>
      <c r="BH20" s="42"/>
      <c r="BI20" s="42"/>
      <c r="BJ20" s="42"/>
      <c r="BK20" s="42"/>
      <c r="BL20" s="42"/>
      <c r="BM20" s="42"/>
      <c r="BN20" s="42"/>
    </row>
    <row r="21" spans="1:66" s="5" customFormat="1" hidden="1" x14ac:dyDescent="0.25">
      <c r="A21" s="7"/>
      <c r="B21" s="5" t="str">
        <f t="array" ref="B21">IFERROR(INDEX(DemandSupply,MATCH(INDEX($R$1:R21,SMALL(ROW($R$1:R21)+(10000*($R$1:R21="")),COUNTA($R$1:R21))),Sectors,0)),"")</f>
        <v>Demand</v>
      </c>
      <c r="M21" s="7"/>
      <c r="N21" s="76"/>
      <c r="O21" s="77"/>
      <c r="P21" s="77"/>
      <c r="Q21" s="82"/>
      <c r="R21" s="77"/>
      <c r="S21" s="78"/>
      <c r="T21" s="77"/>
      <c r="U21" s="79"/>
      <c r="V21" s="76"/>
      <c r="W21" s="79"/>
      <c r="X21" s="76"/>
      <c r="Y21" s="79"/>
      <c r="Z21" s="76"/>
      <c r="AA21" s="79"/>
      <c r="AB21" s="76"/>
      <c r="AC21" s="79"/>
      <c r="AD21" s="76"/>
      <c r="AE21" s="79"/>
      <c r="AF21" s="76"/>
      <c r="AG21" s="79"/>
      <c r="AH21" s="76"/>
      <c r="AI21" s="7"/>
      <c r="AJ21" s="27" t="str">
        <f>IFERROR(INDEX($N21:$AH21,MATCH(TRUE,INDEX(($N21:$AH21&lt;&gt;0),0),0)),"")</f>
        <v/>
      </c>
      <c r="AK21" s="17" t="s">
        <v>11</v>
      </c>
      <c r="AL21" s="17"/>
      <c r="AM21" s="17" t="s">
        <v>17</v>
      </c>
      <c r="AN21" s="18" t="s">
        <v>12</v>
      </c>
      <c r="AO21" s="21">
        <v>19</v>
      </c>
      <c r="AP21" s="21">
        <v>25</v>
      </c>
      <c r="AQ21" s="21">
        <v>29</v>
      </c>
      <c r="AR21" s="21">
        <v>32</v>
      </c>
      <c r="AS21" s="21">
        <v>32.64</v>
      </c>
      <c r="AT21" s="21">
        <v>33.2928</v>
      </c>
      <c r="AU21" s="21">
        <v>33.958655999999998</v>
      </c>
      <c r="AV21" s="21">
        <v>34.637829119999999</v>
      </c>
      <c r="AW21" s="21">
        <v>35.330585702400001</v>
      </c>
      <c r="AX21" s="21">
        <v>36.037197416448002</v>
      </c>
      <c r="AY21" s="21">
        <v>36.757941364776961</v>
      </c>
      <c r="AZ21" s="7"/>
      <c r="BA21" s="37"/>
      <c r="BB21" s="37"/>
      <c r="BC21" s="37"/>
      <c r="BD21" s="42"/>
      <c r="BE21" s="42"/>
      <c r="BF21" s="42"/>
      <c r="BG21" s="42"/>
      <c r="BH21" s="42"/>
      <c r="BI21" s="42"/>
      <c r="BJ21" s="42"/>
      <c r="BK21" s="42"/>
      <c r="BL21" s="42"/>
      <c r="BM21" s="42"/>
      <c r="BN21" s="42"/>
    </row>
    <row r="22" spans="1:66" s="5" customFormat="1" hidden="1" x14ac:dyDescent="0.25">
      <c r="A22" s="7"/>
      <c r="B22" s="5" t="str">
        <f t="array" ref="B22">IFERROR(INDEX(DemandSupply,MATCH(INDEX($R$1:R22,SMALL(ROW($R$1:R22)+(10000*($R$1:R22="")),COUNTA($R$1:R22))),Sectors,0)),"")</f>
        <v>Demand</v>
      </c>
      <c r="M22" s="7"/>
      <c r="N22" s="76"/>
      <c r="O22" s="77"/>
      <c r="P22" s="77"/>
      <c r="Q22" s="82"/>
      <c r="R22" s="77"/>
      <c r="S22" s="78"/>
      <c r="T22" s="77"/>
      <c r="U22" s="79"/>
      <c r="V22" s="76"/>
      <c r="W22" s="79"/>
      <c r="X22" s="76"/>
      <c r="Y22" s="79"/>
      <c r="Z22" s="76"/>
      <c r="AA22" s="79"/>
      <c r="AB22" s="76"/>
      <c r="AC22" s="79"/>
      <c r="AD22" s="76"/>
      <c r="AE22" s="79"/>
      <c r="AF22" s="76"/>
      <c r="AG22" s="79"/>
      <c r="AH22" s="76"/>
      <c r="AI22" s="7"/>
      <c r="AJ22" s="27" t="str">
        <f>IFERROR(INDEX($N22:$AH22,MATCH(TRUE,INDEX(($N22:$AH22&lt;&gt;0),0),0)),"")</f>
        <v/>
      </c>
      <c r="AK22" s="17" t="s">
        <v>11</v>
      </c>
      <c r="AL22" s="17"/>
      <c r="AM22" s="17" t="s">
        <v>17</v>
      </c>
      <c r="AN22" s="18" t="s">
        <v>13</v>
      </c>
      <c r="AO22" s="21">
        <v>20</v>
      </c>
      <c r="AP22" s="21">
        <v>26</v>
      </c>
      <c r="AQ22" s="21">
        <v>30</v>
      </c>
      <c r="AR22" s="21">
        <v>33</v>
      </c>
      <c r="AS22" s="21">
        <v>33.660000000000004</v>
      </c>
      <c r="AT22" s="21">
        <v>34.333200000000005</v>
      </c>
      <c r="AU22" s="21">
        <v>35.019864000000005</v>
      </c>
      <c r="AV22" s="21">
        <v>35.72026128000001</v>
      </c>
      <c r="AW22" s="21">
        <v>36.434666505600013</v>
      </c>
      <c r="AX22" s="21">
        <v>37.163359835712015</v>
      </c>
      <c r="AY22" s="21">
        <v>37.906627032426258</v>
      </c>
      <c r="AZ22" s="7"/>
      <c r="BA22" s="37"/>
      <c r="BB22" s="37"/>
      <c r="BC22" s="37"/>
      <c r="BD22" s="42"/>
      <c r="BE22" s="42"/>
      <c r="BF22" s="42"/>
      <c r="BG22" s="42"/>
      <c r="BH22" s="42"/>
      <c r="BI22" s="42"/>
      <c r="BJ22" s="42"/>
      <c r="BK22" s="42"/>
      <c r="BL22" s="42"/>
      <c r="BM22" s="42"/>
      <c r="BN22" s="42"/>
    </row>
    <row r="23" spans="1:66" s="5" customFormat="1" hidden="1" x14ac:dyDescent="0.25">
      <c r="A23" s="7"/>
      <c r="B23" s="5" t="str">
        <f t="array" ref="B23">IFERROR(INDEX(DemandSupply,MATCH(INDEX($R$1:R23,SMALL(ROW($R$1:R23)+(10000*($R$1:R23="")),COUNTA($R$1:R23))),Sectors,0)),"")</f>
        <v>Demand</v>
      </c>
      <c r="M23" s="7"/>
      <c r="N23" s="76"/>
      <c r="O23" s="77"/>
      <c r="P23" s="77"/>
      <c r="Q23" s="82"/>
      <c r="R23" s="76"/>
      <c r="S23" s="82"/>
      <c r="T23" s="76"/>
      <c r="U23" s="79"/>
      <c r="V23" s="76"/>
      <c r="W23" s="79"/>
      <c r="X23" s="76"/>
      <c r="Y23" s="79"/>
      <c r="Z23" s="76"/>
      <c r="AA23" s="79"/>
      <c r="AB23" s="76"/>
      <c r="AC23" s="79"/>
      <c r="AD23" s="76"/>
      <c r="AE23" s="79"/>
      <c r="AF23" s="76"/>
      <c r="AG23" s="79"/>
      <c r="AH23" s="76"/>
      <c r="AI23" s="7"/>
      <c r="AJ23" s="27" t="str">
        <f>IFERROR(INDEX($N23:$AH23,MATCH(TRUE,INDEX(($N23:$AH23&lt;&gt;0),0),0)),"")</f>
        <v/>
      </c>
      <c r="AK23" s="17" t="s">
        <v>11</v>
      </c>
      <c r="AL23" s="17"/>
      <c r="AM23" s="17" t="s">
        <v>17</v>
      </c>
      <c r="AN23" s="18" t="s">
        <v>14</v>
      </c>
      <c r="AO23" s="34">
        <v>11.52</v>
      </c>
      <c r="AP23" s="34">
        <v>11.52</v>
      </c>
      <c r="AQ23" s="34">
        <v>11.52</v>
      </c>
      <c r="AR23" s="34">
        <v>11.52</v>
      </c>
      <c r="AS23" s="34">
        <v>11.52</v>
      </c>
      <c r="AT23" s="34">
        <v>11.52</v>
      </c>
      <c r="AU23" s="34">
        <v>11.52</v>
      </c>
      <c r="AV23" s="34">
        <v>11.52</v>
      </c>
      <c r="AW23" s="34">
        <v>11.52</v>
      </c>
      <c r="AX23" s="34">
        <v>11.52</v>
      </c>
      <c r="AY23" s="34">
        <v>11.52</v>
      </c>
      <c r="AZ23" s="7"/>
      <c r="BA23" s="37"/>
      <c r="BB23" s="37"/>
      <c r="BC23" s="37"/>
      <c r="BD23" s="42"/>
      <c r="BE23" s="42"/>
      <c r="BF23" s="42"/>
      <c r="BG23" s="42"/>
      <c r="BH23" s="42"/>
      <c r="BI23" s="42"/>
      <c r="BJ23" s="42"/>
      <c r="BK23" s="42"/>
      <c r="BL23" s="42"/>
      <c r="BM23" s="42"/>
      <c r="BN23" s="42"/>
    </row>
    <row r="24" spans="1:66" s="5" customFormat="1" hidden="1" x14ac:dyDescent="0.25">
      <c r="A24" s="7"/>
      <c r="B24" s="5" t="str">
        <f t="array" ref="B24">IFERROR(INDEX(DemandSupply,MATCH(INDEX($R$1:R24,SMALL(ROW($R$1:R24)+(10000*($R$1:R24="")),COUNTA($R$1:R24))),Sectors,0)),"")</f>
        <v>Demand</v>
      </c>
      <c r="M24" s="7"/>
      <c r="N24" s="76"/>
      <c r="O24" s="77"/>
      <c r="P24" s="77"/>
      <c r="Q24" s="82"/>
      <c r="R24" s="77"/>
      <c r="S24" s="78"/>
      <c r="T24" s="77"/>
      <c r="U24" s="79"/>
      <c r="V24" s="76"/>
      <c r="W24" s="79"/>
      <c r="X24" s="76"/>
      <c r="Y24" s="79"/>
      <c r="Z24" s="76"/>
      <c r="AA24" s="79"/>
      <c r="AB24" s="76"/>
      <c r="AC24" s="79"/>
      <c r="AD24" s="76"/>
      <c r="AE24" s="79"/>
      <c r="AF24" s="76"/>
      <c r="AG24" s="79"/>
      <c r="AH24" s="76"/>
      <c r="AI24" s="7"/>
      <c r="AJ24" s="27" t="str">
        <f>IFERROR(INDEX($N24:$AH24,MATCH(TRUE,INDEX(($N24:$AH24&lt;&gt;0),0),0)),"")</f>
        <v/>
      </c>
      <c r="AK24" s="17" t="s">
        <v>11</v>
      </c>
      <c r="AL24" s="17"/>
      <c r="AM24" s="17" t="s">
        <v>17</v>
      </c>
      <c r="AN24" s="18" t="s">
        <v>2</v>
      </c>
      <c r="AO24" s="21">
        <v>22</v>
      </c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7"/>
      <c r="BA24" s="37"/>
      <c r="BB24" s="37"/>
      <c r="BC24" s="37"/>
      <c r="BD24" s="42"/>
      <c r="BE24" s="42"/>
      <c r="BF24" s="42"/>
      <c r="BG24" s="42"/>
      <c r="BH24" s="42"/>
      <c r="BI24" s="42"/>
      <c r="BJ24" s="42"/>
      <c r="BK24" s="42"/>
      <c r="BL24" s="42"/>
      <c r="BM24" s="42"/>
      <c r="BN24" s="42"/>
    </row>
    <row r="25" spans="1:66" s="5" customFormat="1" hidden="1" x14ac:dyDescent="0.25">
      <c r="A25" s="7"/>
      <c r="B25" s="5" t="str">
        <f t="array" ref="B25">IFERROR(INDEX(DemandSupply,MATCH(INDEX($R$1:R25,SMALL(ROW($R$1:R25)+(10000*($R$1:R25="")),COUNTA($R$1:R25))),Sectors,0)),"")</f>
        <v>Demand</v>
      </c>
      <c r="M25" s="7"/>
      <c r="N25" s="76"/>
      <c r="O25" s="77"/>
      <c r="P25" s="77"/>
      <c r="Q25" s="82"/>
      <c r="R25" s="77"/>
      <c r="S25" s="78"/>
      <c r="T25" s="77"/>
      <c r="U25" s="79"/>
      <c r="V25" s="76"/>
      <c r="W25" s="79"/>
      <c r="X25" s="76"/>
      <c r="Y25" s="79"/>
      <c r="Z25" s="76"/>
      <c r="AA25" s="79"/>
      <c r="AB25" s="76"/>
      <c r="AC25" s="79"/>
      <c r="AD25" s="76"/>
      <c r="AE25" s="79"/>
      <c r="AF25" s="76"/>
      <c r="AG25" s="79"/>
      <c r="AH25" s="76"/>
      <c r="AI25" s="7"/>
      <c r="AJ25" s="27" t="str">
        <f>IFERROR(INDEX($N25:$AH25,MATCH(TRUE,INDEX(($N25:$AH25&lt;&gt;0),0),0)),"")</f>
        <v/>
      </c>
      <c r="AK25" s="17" t="s">
        <v>11</v>
      </c>
      <c r="AL25" s="17"/>
      <c r="AM25" s="17" t="s">
        <v>17</v>
      </c>
      <c r="AN25" s="18" t="s">
        <v>15</v>
      </c>
      <c r="AO25" s="21">
        <v>12</v>
      </c>
      <c r="AP25" s="21">
        <v>12</v>
      </c>
      <c r="AQ25" s="21">
        <v>12</v>
      </c>
      <c r="AR25" s="21">
        <v>12</v>
      </c>
      <c r="AS25" s="21">
        <v>12.24</v>
      </c>
      <c r="AT25" s="21">
        <v>12.4848</v>
      </c>
      <c r="AU25" s="21">
        <v>12.734496</v>
      </c>
      <c r="AV25" s="21">
        <v>12.989185920000001</v>
      </c>
      <c r="AW25" s="21">
        <v>13.2489696384</v>
      </c>
      <c r="AX25" s="21">
        <v>13.513949031168</v>
      </c>
      <c r="AY25" s="21">
        <v>13.78422801179136</v>
      </c>
      <c r="AZ25" s="7"/>
      <c r="BA25" s="37"/>
      <c r="BB25" s="37"/>
      <c r="BC25" s="37"/>
      <c r="BD25" s="42"/>
      <c r="BE25" s="42"/>
      <c r="BF25" s="42"/>
      <c r="BG25" s="42"/>
      <c r="BH25" s="42"/>
      <c r="BI25" s="42"/>
      <c r="BJ25" s="42"/>
      <c r="BK25" s="42"/>
      <c r="BL25" s="42"/>
      <c r="BM25" s="42"/>
      <c r="BN25" s="42"/>
    </row>
    <row r="26" spans="1:66" s="5" customFormat="1" hidden="1" x14ac:dyDescent="0.25">
      <c r="A26" s="7"/>
      <c r="B26" s="5" t="str">
        <f t="array" ref="B26">IFERROR(INDEX(DemandSupply,MATCH(INDEX($R$1:R26,SMALL(ROW($R$1:R26)+(10000*($R$1:R26="")),COUNTA($R$1:R26))),Sectors,0)),"")</f>
        <v>Demand</v>
      </c>
      <c r="M26" s="7"/>
      <c r="N26" s="76"/>
      <c r="O26" s="77"/>
      <c r="P26" s="77"/>
      <c r="Q26" s="82"/>
      <c r="R26" s="77"/>
      <c r="S26" s="78"/>
      <c r="T26" s="77"/>
      <c r="U26" s="79"/>
      <c r="V26" s="76"/>
      <c r="W26" s="79"/>
      <c r="X26" s="76"/>
      <c r="Y26" s="79"/>
      <c r="Z26" s="76"/>
      <c r="AA26" s="79"/>
      <c r="AB26" s="76"/>
      <c r="AC26" s="79"/>
      <c r="AD26" s="76"/>
      <c r="AE26" s="79"/>
      <c r="AF26" s="76"/>
      <c r="AG26" s="79"/>
      <c r="AH26" s="76"/>
      <c r="AI26" s="7"/>
      <c r="AJ26" s="27" t="str">
        <f>IFERROR(INDEX($N26:$AH26,MATCH(TRUE,INDEX(($N26:$AH26&lt;&gt;0),0),0)),"")</f>
        <v/>
      </c>
      <c r="AK26" s="17" t="s">
        <v>11</v>
      </c>
      <c r="AL26" s="17"/>
      <c r="AM26" s="17" t="s">
        <v>18</v>
      </c>
      <c r="AN26" s="18" t="s">
        <v>19</v>
      </c>
      <c r="AO26" s="21">
        <v>0</v>
      </c>
      <c r="AP26" s="21">
        <v>0</v>
      </c>
      <c r="AQ26" s="21">
        <v>0</v>
      </c>
      <c r="AR26" s="21">
        <v>0</v>
      </c>
      <c r="AS26" s="21">
        <v>20</v>
      </c>
      <c r="AT26" s="21">
        <v>50</v>
      </c>
      <c r="AU26" s="21">
        <v>70</v>
      </c>
      <c r="AV26" s="21">
        <v>70</v>
      </c>
      <c r="AW26" s="21">
        <v>70</v>
      </c>
      <c r="AX26" s="21">
        <v>70</v>
      </c>
      <c r="AY26" s="21">
        <v>70</v>
      </c>
      <c r="AZ26" s="7"/>
      <c r="BA26" s="37"/>
      <c r="BB26" s="37"/>
      <c r="BC26" s="37"/>
      <c r="BD26" s="42"/>
      <c r="BE26" s="42"/>
      <c r="BF26" s="42"/>
      <c r="BG26" s="42"/>
      <c r="BH26" s="42"/>
      <c r="BI26" s="42"/>
      <c r="BJ26" s="42"/>
      <c r="BK26" s="42"/>
      <c r="BL26" s="42"/>
      <c r="BM26" s="42"/>
      <c r="BN26" s="42"/>
    </row>
    <row r="27" spans="1:66" s="5" customFormat="1" hidden="1" x14ac:dyDescent="0.25">
      <c r="A27" s="7"/>
      <c r="B27" s="5" t="str">
        <f t="array" ref="B27">IFERROR(INDEX(DemandSupply,MATCH(INDEX($R$1:R27,SMALL(ROW($R$1:R27)+(10000*($R$1:R27="")),COUNTA($R$1:R27))),Sectors,0)),"")</f>
        <v>Demand</v>
      </c>
      <c r="M27" s="7"/>
      <c r="N27" s="76"/>
      <c r="O27" s="77"/>
      <c r="P27" s="77"/>
      <c r="Q27" s="82"/>
      <c r="R27" s="77"/>
      <c r="S27" s="78"/>
      <c r="T27" s="77"/>
      <c r="U27" s="79"/>
      <c r="V27" s="76"/>
      <c r="W27" s="79"/>
      <c r="X27" s="76"/>
      <c r="Y27" s="79"/>
      <c r="Z27" s="76"/>
      <c r="AA27" s="79"/>
      <c r="AB27" s="76"/>
      <c r="AC27" s="79"/>
      <c r="AD27" s="76"/>
      <c r="AE27" s="79"/>
      <c r="AF27" s="76"/>
      <c r="AG27" s="79"/>
      <c r="AH27" s="76"/>
      <c r="AI27" s="7"/>
      <c r="AJ27" s="27" t="str">
        <f>IFERROR(INDEX($N27:$AH27,MATCH(TRUE,INDEX(($N27:$AH27&lt;&gt;0),0),0)),"")</f>
        <v/>
      </c>
      <c r="AK27" s="17" t="s">
        <v>11</v>
      </c>
      <c r="AL27" s="17"/>
      <c r="AM27" s="17" t="s">
        <v>18</v>
      </c>
      <c r="AN27" s="18" t="s">
        <v>20</v>
      </c>
      <c r="AO27" s="21">
        <v>0</v>
      </c>
      <c r="AP27" s="21">
        <v>0</v>
      </c>
      <c r="AQ27" s="21">
        <v>0</v>
      </c>
      <c r="AR27" s="21">
        <v>0</v>
      </c>
      <c r="AS27" s="21">
        <v>0</v>
      </c>
      <c r="AT27" s="21">
        <v>0</v>
      </c>
      <c r="AU27" s="21">
        <v>0</v>
      </c>
      <c r="AV27" s="21">
        <v>0</v>
      </c>
      <c r="AW27" s="21">
        <v>0</v>
      </c>
      <c r="AX27" s="21">
        <v>0</v>
      </c>
      <c r="AY27" s="21">
        <v>0</v>
      </c>
      <c r="AZ27" s="7"/>
      <c r="BA27" s="37"/>
      <c r="BB27" s="37"/>
      <c r="BC27" s="37"/>
      <c r="BD27" s="42"/>
      <c r="BE27" s="42"/>
      <c r="BF27" s="42"/>
      <c r="BG27" s="42"/>
      <c r="BH27" s="42"/>
      <c r="BI27" s="42"/>
      <c r="BJ27" s="42"/>
      <c r="BK27" s="42"/>
      <c r="BL27" s="42"/>
      <c r="BM27" s="42"/>
      <c r="BN27" s="42"/>
    </row>
    <row r="28" spans="1:66" s="5" customFormat="1" hidden="1" x14ac:dyDescent="0.25">
      <c r="A28" s="7"/>
      <c r="B28" s="5" t="str">
        <f t="array" ref="B28">IFERROR(INDEX(DemandSupply,MATCH(INDEX($R$1:R28,SMALL(ROW($R$1:R28)+(10000*($R$1:R28="")),COUNTA($R$1:R28))),Sectors,0)),"")</f>
        <v>Demand</v>
      </c>
      <c r="M28" s="7"/>
      <c r="N28" s="76"/>
      <c r="O28" s="77"/>
      <c r="P28" s="77"/>
      <c r="Q28" s="82"/>
      <c r="R28" s="77"/>
      <c r="S28" s="78"/>
      <c r="T28" s="77"/>
      <c r="U28" s="79"/>
      <c r="V28" s="76"/>
      <c r="W28" s="79"/>
      <c r="X28" s="76"/>
      <c r="Y28" s="79"/>
      <c r="Z28" s="76"/>
      <c r="AA28" s="79"/>
      <c r="AB28" s="76"/>
      <c r="AC28" s="79"/>
      <c r="AD28" s="76"/>
      <c r="AE28" s="79"/>
      <c r="AF28" s="76"/>
      <c r="AG28" s="79"/>
      <c r="AH28" s="76"/>
      <c r="AI28" s="7"/>
      <c r="AJ28" s="27" t="str">
        <f>IFERROR(INDEX($N28:$AH28,MATCH(TRUE,INDEX(($N28:$AH28&lt;&gt;0),0),0)),"")</f>
        <v/>
      </c>
      <c r="AK28" s="17" t="s">
        <v>11</v>
      </c>
      <c r="AL28" s="17"/>
      <c r="AM28" s="17" t="s">
        <v>18</v>
      </c>
      <c r="AN28" s="18" t="s">
        <v>21</v>
      </c>
      <c r="AO28" s="21">
        <v>0</v>
      </c>
      <c r="AP28" s="21">
        <v>0</v>
      </c>
      <c r="AQ28" s="21">
        <v>0</v>
      </c>
      <c r="AR28" s="21">
        <v>0</v>
      </c>
      <c r="AS28" s="21">
        <v>0</v>
      </c>
      <c r="AT28" s="21">
        <v>0</v>
      </c>
      <c r="AU28" s="21">
        <v>0</v>
      </c>
      <c r="AV28" s="21">
        <v>0</v>
      </c>
      <c r="AW28" s="21">
        <v>0</v>
      </c>
      <c r="AX28" s="21">
        <v>0</v>
      </c>
      <c r="AY28" s="21">
        <v>0</v>
      </c>
      <c r="AZ28" s="7"/>
      <c r="BA28" s="37"/>
      <c r="BB28" s="37"/>
      <c r="BC28" s="37"/>
      <c r="BD28" s="42"/>
      <c r="BE28" s="42"/>
      <c r="BF28" s="42"/>
      <c r="BG28" s="42"/>
      <c r="BH28" s="42"/>
      <c r="BI28" s="42"/>
      <c r="BJ28" s="42"/>
      <c r="BK28" s="42"/>
      <c r="BL28" s="42"/>
      <c r="BM28" s="42"/>
      <c r="BN28" s="42"/>
    </row>
    <row r="29" spans="1:66" s="5" customFormat="1" hidden="1" x14ac:dyDescent="0.25">
      <c r="A29" s="7"/>
      <c r="B29" s="5" t="str">
        <f t="array" ref="B29">IFERROR(INDEX(DemandSupply,MATCH(INDEX($R$1:R29,SMALL(ROW($R$1:R29)+(10000*($R$1:R29="")),COUNTA($R$1:R29))),Sectors,0)),"")</f>
        <v>Demand</v>
      </c>
      <c r="M29" s="7"/>
      <c r="N29" s="76"/>
      <c r="O29" s="77"/>
      <c r="P29" s="77"/>
      <c r="Q29" s="82"/>
      <c r="R29" s="77"/>
      <c r="S29" s="78"/>
      <c r="T29" s="77"/>
      <c r="U29" s="79"/>
      <c r="V29" s="76"/>
      <c r="W29" s="79"/>
      <c r="X29" s="76"/>
      <c r="Y29" s="79"/>
      <c r="Z29" s="76"/>
      <c r="AA29" s="79"/>
      <c r="AB29" s="76"/>
      <c r="AC29" s="79"/>
      <c r="AD29" s="76"/>
      <c r="AE29" s="79"/>
      <c r="AF29" s="76"/>
      <c r="AG29" s="79"/>
      <c r="AH29" s="76"/>
      <c r="AI29" s="7"/>
      <c r="AJ29" s="27" t="str">
        <f>IFERROR(INDEX($N29:$AH29,MATCH(TRUE,INDEX(($N29:$AH29&lt;&gt;0),0),0)),"")</f>
        <v/>
      </c>
      <c r="AK29" s="17" t="s">
        <v>94</v>
      </c>
      <c r="AL29" s="17" t="s">
        <v>144</v>
      </c>
      <c r="AM29" s="17" t="s">
        <v>173</v>
      </c>
      <c r="AN29" s="18" t="s">
        <v>130</v>
      </c>
      <c r="AO29" s="21">
        <v>1</v>
      </c>
      <c r="AP29" s="21">
        <v>1</v>
      </c>
      <c r="AQ29" s="21">
        <v>1</v>
      </c>
      <c r="AR29" s="21">
        <v>1</v>
      </c>
      <c r="AS29" s="21">
        <v>1</v>
      </c>
      <c r="AT29" s="21">
        <v>1</v>
      </c>
      <c r="AU29" s="21">
        <v>1</v>
      </c>
      <c r="AV29" s="21">
        <v>1</v>
      </c>
      <c r="AW29" s="21">
        <v>1</v>
      </c>
      <c r="AX29" s="21">
        <v>1</v>
      </c>
      <c r="AY29" s="21">
        <v>1</v>
      </c>
      <c r="AZ29" s="7"/>
      <c r="BA29" s="37"/>
      <c r="BB29" s="37"/>
      <c r="BC29" s="37"/>
      <c r="BD29" s="37"/>
      <c r="BE29" s="37"/>
      <c r="BF29" s="37"/>
      <c r="BG29" s="37"/>
      <c r="BH29" s="37"/>
      <c r="BI29" s="37"/>
      <c r="BJ29" s="37"/>
      <c r="BK29" s="37"/>
      <c r="BL29" s="37"/>
      <c r="BM29" s="37"/>
      <c r="BN29" s="37"/>
    </row>
    <row r="30" spans="1:66" s="5" customFormat="1" x14ac:dyDescent="0.25">
      <c r="A30" s="7"/>
      <c r="B30" s="5" t="str">
        <f t="array" ref="B30">IFERROR(INDEX(DemandSupply,MATCH(INDEX($R$1:R30,SMALL(ROW($R$1:R30)+(10000*($R$1:R30="")),COUNTA($R$1:R30))),Sectors,0)),"")</f>
        <v>Demand</v>
      </c>
      <c r="M30" s="7"/>
      <c r="N30" s="76"/>
      <c r="O30" s="77"/>
      <c r="P30" s="77"/>
      <c r="Q30" s="82"/>
      <c r="R30" s="79"/>
      <c r="S30" s="78"/>
      <c r="T30" s="77"/>
      <c r="U30" s="79"/>
      <c r="V30" s="76"/>
      <c r="W30" s="79"/>
      <c r="X30" s="76"/>
      <c r="Y30" s="79"/>
      <c r="Z30" s="76"/>
      <c r="AA30" s="79"/>
      <c r="AB30" s="76"/>
      <c r="AC30" s="79"/>
      <c r="AD30" s="76"/>
      <c r="AE30" s="79"/>
      <c r="AF30" s="76"/>
      <c r="AG30" s="79"/>
      <c r="AH30" s="76"/>
      <c r="AI30" s="7"/>
      <c r="AJ30" s="27" t="str">
        <f>IFERROR(INDEX($N30:$AH30,MATCH(TRUE,INDEX(($N30:$AH30&lt;&gt;0),0),0)),"")</f>
        <v/>
      </c>
      <c r="AK30" s="6"/>
      <c r="AL30" s="6"/>
      <c r="AM30" s="6"/>
      <c r="AN30" s="11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7"/>
      <c r="BA30" s="15"/>
      <c r="BB30" s="15"/>
      <c r="BC30" s="15"/>
      <c r="BD30" s="41"/>
      <c r="BE30" s="41"/>
      <c r="BF30" s="41"/>
      <c r="BG30" s="41"/>
      <c r="BH30" s="41"/>
      <c r="BI30" s="41"/>
      <c r="BJ30" s="41"/>
      <c r="BK30" s="41"/>
      <c r="BL30" s="41"/>
      <c r="BM30" s="41"/>
      <c r="BN30" s="41"/>
    </row>
    <row r="31" spans="1:66" s="5" customFormat="1" x14ac:dyDescent="0.25">
      <c r="A31" s="7"/>
      <c r="B31" s="5" t="str">
        <f t="array" ref="B31">IFERROR(INDEX(DemandSupply,MATCH(INDEX($R$1:R31,SMALL(ROW($R$1:R31)+(10000*($R$1:R31="")),COUNTA($R$1:R31))),Sectors,0)),"")</f>
        <v>Demand</v>
      </c>
      <c r="M31" s="7"/>
      <c r="N31" s="76"/>
      <c r="O31" s="77"/>
      <c r="P31" s="77"/>
      <c r="Q31" s="82"/>
      <c r="R31" s="77"/>
      <c r="S31" s="80"/>
      <c r="T31" s="168" t="s">
        <v>130</v>
      </c>
      <c r="U31" s="82"/>
      <c r="V31" s="77"/>
      <c r="W31" s="77"/>
      <c r="X31" s="76"/>
      <c r="Y31" s="77"/>
      <c r="Z31" s="76"/>
      <c r="AA31" s="77"/>
      <c r="AB31" s="76"/>
      <c r="AC31" s="77"/>
      <c r="AD31" s="76"/>
      <c r="AE31" s="77"/>
      <c r="AF31" s="76"/>
      <c r="AG31" s="77"/>
      <c r="AH31" s="76"/>
      <c r="AI31" s="7"/>
      <c r="AJ31" s="28" t="str">
        <f>IFERROR(INDEX($N31:$AH31,MATCH(TRUE,INDEX(($N31:$AH31&lt;&gt;0),0),0)),"")</f>
        <v>Buildings</v>
      </c>
      <c r="AK31" s="6"/>
      <c r="AL31" s="6"/>
      <c r="AM31" s="6"/>
      <c r="AN31" s="11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7"/>
      <c r="BA31" s="15"/>
      <c r="BB31" s="15"/>
      <c r="BC31" s="15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</row>
    <row r="32" spans="1:66" s="5" customFormat="1" hidden="1" x14ac:dyDescent="0.25">
      <c r="A32" s="7"/>
      <c r="B32" s="5" t="str">
        <f t="array" ref="B32">IFERROR(INDEX(DemandSupply,MATCH(INDEX($R$1:R32,SMALL(ROW($R$1:R32)+(10000*($R$1:R32="")),COUNTA($R$1:R32))),Sectors,0)),"")</f>
        <v>Demand</v>
      </c>
      <c r="M32" s="7"/>
      <c r="N32" s="76"/>
      <c r="O32" s="77"/>
      <c r="P32" s="77"/>
      <c r="Q32" s="82"/>
      <c r="R32" s="77"/>
      <c r="S32" s="77"/>
      <c r="T32" s="77"/>
      <c r="U32" s="82"/>
      <c r="V32" s="77"/>
      <c r="W32" s="77"/>
      <c r="X32" s="76"/>
      <c r="Y32" s="77"/>
      <c r="Z32" s="76"/>
      <c r="AA32" s="77"/>
      <c r="AB32" s="76"/>
      <c r="AC32" s="77"/>
      <c r="AD32" s="76"/>
      <c r="AE32" s="77"/>
      <c r="AF32" s="76"/>
      <c r="AG32" s="77"/>
      <c r="AH32" s="76"/>
      <c r="AI32" s="7"/>
      <c r="AJ32" s="27" t="str">
        <f>IFERROR(INDEX($N32:$AH32,MATCH(TRUE,INDEX(($N32:$AH32&lt;&gt;0),0),0)),"")</f>
        <v/>
      </c>
      <c r="AK32" s="17" t="s">
        <v>93</v>
      </c>
      <c r="AL32" s="17" t="s">
        <v>144</v>
      </c>
      <c r="AM32" s="17" t="s">
        <v>174</v>
      </c>
      <c r="AN32" s="18" t="s">
        <v>130</v>
      </c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17"/>
      <c r="AZ32" s="7"/>
      <c r="BA32" s="37"/>
      <c r="BB32" s="37"/>
      <c r="BC32" s="37"/>
      <c r="BD32" s="42"/>
      <c r="BE32" s="42"/>
      <c r="BF32" s="42"/>
      <c r="BG32" s="42"/>
      <c r="BH32" s="42"/>
      <c r="BI32" s="42"/>
      <c r="BJ32" s="42"/>
      <c r="BK32" s="42"/>
      <c r="BL32" s="42"/>
      <c r="BM32" s="42"/>
      <c r="BN32" s="42"/>
    </row>
    <row r="33" spans="1:66" s="5" customFormat="1" hidden="1" x14ac:dyDescent="0.25">
      <c r="A33" s="7"/>
      <c r="B33" s="5" t="str">
        <f t="array" ref="B33">IFERROR(INDEX(DemandSupply,MATCH(INDEX($R$1:R33,SMALL(ROW($R$1:R33)+(10000*($R$1:R33="")),COUNTA($R$1:R33))),Sectors,0)),"")</f>
        <v>Demand</v>
      </c>
      <c r="M33" s="7"/>
      <c r="N33" s="76"/>
      <c r="O33" s="77"/>
      <c r="P33" s="77"/>
      <c r="Q33" s="82"/>
      <c r="R33" s="77"/>
      <c r="S33" s="77"/>
      <c r="T33" s="77"/>
      <c r="U33" s="82"/>
      <c r="V33" s="77"/>
      <c r="W33" s="77"/>
      <c r="X33" s="76"/>
      <c r="Y33" s="77"/>
      <c r="Z33" s="76"/>
      <c r="AA33" s="77"/>
      <c r="AB33" s="76"/>
      <c r="AC33" s="77"/>
      <c r="AD33" s="76"/>
      <c r="AE33" s="77"/>
      <c r="AF33" s="76"/>
      <c r="AG33" s="77"/>
      <c r="AH33" s="76"/>
      <c r="AI33" s="7"/>
      <c r="AJ33" s="27" t="str">
        <f>IFERROR(INDEX($N33:$AH33,MATCH(TRUE,INDEX(($N33:$AH33&lt;&gt;0),0),0)),"")</f>
        <v/>
      </c>
      <c r="AK33" s="17" t="s">
        <v>58</v>
      </c>
      <c r="AL33" s="17"/>
      <c r="AM33" s="17"/>
      <c r="AN33" s="18" t="s">
        <v>213</v>
      </c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7"/>
      <c r="BA33" s="37"/>
      <c r="BB33" s="37"/>
      <c r="BC33" s="37"/>
      <c r="BD33" s="42"/>
      <c r="BE33" s="42"/>
      <c r="BF33" s="42"/>
      <c r="BG33" s="42"/>
      <c r="BH33" s="42"/>
      <c r="BI33" s="42"/>
      <c r="BJ33" s="42"/>
      <c r="BK33" s="42"/>
      <c r="BL33" s="42"/>
      <c r="BM33" s="42"/>
      <c r="BN33" s="42"/>
    </row>
    <row r="34" spans="1:66" s="5" customFormat="1" hidden="1" x14ac:dyDescent="0.25">
      <c r="A34" s="7"/>
      <c r="B34" s="5" t="str">
        <f t="array" ref="B34">IFERROR(INDEX(DemandSupply,MATCH(INDEX($R$1:R34,SMALL(ROW($R$1:R34)+(10000*($R$1:R34="")),COUNTA($R$1:R34))),Sectors,0)),"")</f>
        <v>Demand</v>
      </c>
      <c r="M34" s="7"/>
      <c r="N34" s="76"/>
      <c r="O34" s="77"/>
      <c r="P34" s="77"/>
      <c r="Q34" s="82"/>
      <c r="R34" s="77"/>
      <c r="S34" s="77"/>
      <c r="T34" s="77"/>
      <c r="U34" s="82"/>
      <c r="V34" s="77"/>
      <c r="W34" s="77"/>
      <c r="X34" s="76"/>
      <c r="Y34" s="77"/>
      <c r="Z34" s="76"/>
      <c r="AA34" s="77"/>
      <c r="AB34" s="76"/>
      <c r="AC34" s="77"/>
      <c r="AD34" s="76"/>
      <c r="AE34" s="77"/>
      <c r="AF34" s="76"/>
      <c r="AG34" s="77"/>
      <c r="AH34" s="76"/>
      <c r="AI34" s="7"/>
      <c r="AJ34" s="27" t="str">
        <f>IFERROR(INDEX($N34:$AH34,MATCH(TRUE,INDEX(($N34:$AH34&lt;&gt;0),0),0)),"")</f>
        <v/>
      </c>
      <c r="AK34" s="17" t="s">
        <v>91</v>
      </c>
      <c r="AL34" s="17"/>
      <c r="AM34" s="3" t="s">
        <v>118</v>
      </c>
      <c r="AN34" s="18" t="s">
        <v>25</v>
      </c>
      <c r="AO34" s="20">
        <v>0.719409242</v>
      </c>
      <c r="AP34" s="20">
        <v>0.71950000000000003</v>
      </c>
      <c r="AQ34" s="20">
        <v>0.71899999999999997</v>
      </c>
      <c r="AR34" s="20">
        <v>0.71850000000000003</v>
      </c>
      <c r="AS34" s="20">
        <v>0.71799999999999997</v>
      </c>
      <c r="AT34" s="20">
        <v>0.71750000000000003</v>
      </c>
      <c r="AU34" s="20">
        <v>0.71699999999999997</v>
      </c>
      <c r="AV34" s="20">
        <v>0.71650000000000003</v>
      </c>
      <c r="AW34" s="20">
        <v>0.71599999999999997</v>
      </c>
      <c r="AX34" s="20">
        <v>0.71550000000000002</v>
      </c>
      <c r="AY34" s="20">
        <v>0.71500000000000097</v>
      </c>
      <c r="AZ34" s="7"/>
      <c r="BA34" s="37"/>
      <c r="BB34" s="37"/>
      <c r="BC34" s="37"/>
      <c r="BD34" s="42"/>
      <c r="BE34" s="42"/>
      <c r="BF34" s="42"/>
      <c r="BG34" s="42"/>
      <c r="BH34" s="42"/>
      <c r="BI34" s="42"/>
      <c r="BJ34" s="42"/>
      <c r="BK34" s="42"/>
      <c r="BL34" s="42"/>
      <c r="BM34" s="42"/>
      <c r="BN34" s="42"/>
    </row>
    <row r="35" spans="1:66" s="5" customFormat="1" hidden="1" x14ac:dyDescent="0.25">
      <c r="A35" s="7"/>
      <c r="B35" s="5" t="str">
        <f t="array" ref="B35">IFERROR(INDEX(DemandSupply,MATCH(INDEX($R$1:R35,SMALL(ROW($R$1:R35)+(10000*($R$1:R35="")),COUNTA($R$1:R35))),Sectors,0)),"")</f>
        <v>Demand</v>
      </c>
      <c r="M35" s="7"/>
      <c r="N35" s="76"/>
      <c r="O35" s="77"/>
      <c r="P35" s="77"/>
      <c r="Q35" s="82"/>
      <c r="R35" s="77"/>
      <c r="S35" s="77"/>
      <c r="T35" s="77"/>
      <c r="U35" s="82"/>
      <c r="V35" s="77"/>
      <c r="W35" s="77"/>
      <c r="X35" s="76"/>
      <c r="Y35" s="77"/>
      <c r="Z35" s="76"/>
      <c r="AA35" s="77"/>
      <c r="AB35" s="76"/>
      <c r="AC35" s="77"/>
      <c r="AD35" s="76"/>
      <c r="AE35" s="77"/>
      <c r="AF35" s="76"/>
      <c r="AG35" s="77"/>
      <c r="AH35" s="76"/>
      <c r="AI35" s="7"/>
      <c r="AJ35" s="27" t="str">
        <f>IFERROR(INDEX($N35:$AH35,MATCH(TRUE,INDEX(($N35:$AH35&lt;&gt;0),0),0)),"")</f>
        <v/>
      </c>
      <c r="AK35" s="17" t="s">
        <v>91</v>
      </c>
      <c r="AL35" s="17"/>
      <c r="AM35" s="3" t="s">
        <v>118</v>
      </c>
      <c r="AN35" s="18" t="s">
        <v>26</v>
      </c>
      <c r="AO35" s="20">
        <v>0.1</v>
      </c>
      <c r="AP35" s="20">
        <v>0.10100000000000001</v>
      </c>
      <c r="AQ35" s="20">
        <v>0.10199999999999999</v>
      </c>
      <c r="AR35" s="20">
        <v>0.10299999999999999</v>
      </c>
      <c r="AS35" s="20">
        <v>0.104</v>
      </c>
      <c r="AT35" s="20">
        <v>0.105</v>
      </c>
      <c r="AU35" s="20">
        <v>0.106</v>
      </c>
      <c r="AV35" s="20">
        <v>0.107</v>
      </c>
      <c r="AW35" s="20">
        <v>0.108</v>
      </c>
      <c r="AX35" s="20">
        <v>0.109</v>
      </c>
      <c r="AY35" s="20">
        <v>0.11</v>
      </c>
      <c r="AZ35" s="7"/>
      <c r="BA35" s="37"/>
      <c r="BB35" s="37"/>
      <c r="BC35" s="37"/>
      <c r="BD35" s="42"/>
      <c r="BE35" s="42"/>
      <c r="BF35" s="42"/>
      <c r="BG35" s="42"/>
      <c r="BH35" s="42"/>
      <c r="BI35" s="42"/>
      <c r="BJ35" s="42"/>
      <c r="BK35" s="42"/>
      <c r="BL35" s="42"/>
      <c r="BM35" s="42"/>
      <c r="BN35" s="42"/>
    </row>
    <row r="36" spans="1:66" s="5" customFormat="1" hidden="1" x14ac:dyDescent="0.25">
      <c r="A36" s="7"/>
      <c r="B36" s="5" t="str">
        <f t="array" ref="B36">IFERROR(INDEX(DemandSupply,MATCH(INDEX($R$1:R36,SMALL(ROW($R$1:R36)+(10000*($R$1:R36="")),COUNTA($R$1:R36))),Sectors,0)),"")</f>
        <v>Demand</v>
      </c>
      <c r="M36" s="7"/>
      <c r="N36" s="76"/>
      <c r="O36" s="77"/>
      <c r="P36" s="77"/>
      <c r="Q36" s="82"/>
      <c r="R36" s="77"/>
      <c r="S36" s="77"/>
      <c r="T36" s="77"/>
      <c r="U36" s="82"/>
      <c r="V36" s="77"/>
      <c r="W36" s="77"/>
      <c r="X36" s="76"/>
      <c r="Y36" s="77"/>
      <c r="Z36" s="76"/>
      <c r="AA36" s="77"/>
      <c r="AB36" s="76"/>
      <c r="AC36" s="77"/>
      <c r="AD36" s="76"/>
      <c r="AE36" s="77"/>
      <c r="AF36" s="76"/>
      <c r="AG36" s="77"/>
      <c r="AH36" s="76"/>
      <c r="AI36" s="7"/>
      <c r="AJ36" s="27" t="str">
        <f>IFERROR(INDEX($N36:$AH36,MATCH(TRUE,INDEX(($N36:$AH36&lt;&gt;0),0),0)),"")</f>
        <v/>
      </c>
      <c r="AK36" s="17" t="s">
        <v>91</v>
      </c>
      <c r="AL36" s="17"/>
      <c r="AM36" s="3" t="s">
        <v>118</v>
      </c>
      <c r="AN36" s="18" t="s">
        <v>27</v>
      </c>
      <c r="AO36" s="20">
        <v>0.14000000000000001</v>
      </c>
      <c r="AP36" s="20">
        <v>0.13950000000000001</v>
      </c>
      <c r="AQ36" s="20">
        <v>0.13900000000000001</v>
      </c>
      <c r="AR36" s="20">
        <v>0.13850000000000001</v>
      </c>
      <c r="AS36" s="20">
        <v>0.13800000000000001</v>
      </c>
      <c r="AT36" s="20">
        <v>0.13750000000000001</v>
      </c>
      <c r="AU36" s="20">
        <v>0.13700000000000001</v>
      </c>
      <c r="AV36" s="20">
        <v>0.13650000000000001</v>
      </c>
      <c r="AW36" s="20">
        <v>0.13600000000000001</v>
      </c>
      <c r="AX36" s="20">
        <v>0.13550000000000001</v>
      </c>
      <c r="AY36" s="20">
        <v>0.13500000000000001</v>
      </c>
      <c r="AZ36" s="7"/>
      <c r="BA36" s="37"/>
      <c r="BB36" s="37"/>
      <c r="BC36" s="37"/>
      <c r="BD36" s="42"/>
      <c r="BE36" s="42"/>
      <c r="BF36" s="42"/>
      <c r="BG36" s="42"/>
      <c r="BH36" s="42"/>
      <c r="BI36" s="42"/>
      <c r="BJ36" s="42"/>
      <c r="BK36" s="42"/>
      <c r="BL36" s="42"/>
      <c r="BM36" s="42"/>
      <c r="BN36" s="42"/>
    </row>
    <row r="37" spans="1:66" s="5" customFormat="1" hidden="1" x14ac:dyDescent="0.25">
      <c r="A37" s="7"/>
      <c r="B37" s="5" t="str">
        <f t="array" ref="B37">IFERROR(INDEX(DemandSupply,MATCH(INDEX($R$1:R37,SMALL(ROW($R$1:R37)+(10000*($R$1:R37="")),COUNTA($R$1:R37))),Sectors,0)),"")</f>
        <v>Demand</v>
      </c>
      <c r="M37" s="7"/>
      <c r="N37" s="76"/>
      <c r="O37" s="77"/>
      <c r="P37" s="77"/>
      <c r="Q37" s="82"/>
      <c r="R37" s="77"/>
      <c r="S37" s="77"/>
      <c r="T37" s="77"/>
      <c r="U37" s="82"/>
      <c r="V37" s="77"/>
      <c r="W37" s="77"/>
      <c r="X37" s="76"/>
      <c r="Y37" s="77"/>
      <c r="Z37" s="76"/>
      <c r="AA37" s="77"/>
      <c r="AB37" s="76"/>
      <c r="AC37" s="77"/>
      <c r="AD37" s="76"/>
      <c r="AE37" s="77"/>
      <c r="AF37" s="76"/>
      <c r="AG37" s="77"/>
      <c r="AH37" s="76"/>
      <c r="AI37" s="7"/>
      <c r="AJ37" s="27" t="str">
        <f>IFERROR(INDEX($N37:$AH37,MATCH(TRUE,INDEX(($N37:$AH37&lt;&gt;0),0),0)),"")</f>
        <v/>
      </c>
      <c r="AK37" s="17" t="s">
        <v>91</v>
      </c>
      <c r="AL37" s="17"/>
      <c r="AM37" s="3" t="s">
        <v>118</v>
      </c>
      <c r="AN37" s="18" t="s">
        <v>28</v>
      </c>
      <c r="AO37" s="20">
        <f>1-SUM(AO34:AO36)</f>
        <v>4.0590758000000005E-2</v>
      </c>
      <c r="AP37" s="20">
        <f t="shared" ref="AP37:AY37" si="0">1-SUM(AP34:AP36)</f>
        <v>4.0000000000000036E-2</v>
      </c>
      <c r="AQ37" s="20">
        <f t="shared" si="0"/>
        <v>4.0000000000000036E-2</v>
      </c>
      <c r="AR37" s="20">
        <f t="shared" si="0"/>
        <v>4.0000000000000036E-2</v>
      </c>
      <c r="AS37" s="20">
        <f t="shared" si="0"/>
        <v>4.0000000000000036E-2</v>
      </c>
      <c r="AT37" s="20">
        <f t="shared" si="0"/>
        <v>4.0000000000000036E-2</v>
      </c>
      <c r="AU37" s="20">
        <f t="shared" si="0"/>
        <v>4.0000000000000036E-2</v>
      </c>
      <c r="AV37" s="20">
        <f t="shared" si="0"/>
        <v>4.0000000000000036E-2</v>
      </c>
      <c r="AW37" s="20">
        <f t="shared" si="0"/>
        <v>4.0000000000000036E-2</v>
      </c>
      <c r="AX37" s="20">
        <f t="shared" si="0"/>
        <v>4.0000000000000036E-2</v>
      </c>
      <c r="AY37" s="20">
        <f t="shared" si="0"/>
        <v>3.9999999999999036E-2</v>
      </c>
      <c r="AZ37" s="7"/>
      <c r="BA37" s="37"/>
      <c r="BB37" s="37"/>
      <c r="BC37" s="37"/>
      <c r="BD37" s="42"/>
      <c r="BE37" s="42"/>
      <c r="BF37" s="42"/>
      <c r="BG37" s="42"/>
      <c r="BH37" s="42"/>
      <c r="BI37" s="42"/>
      <c r="BJ37" s="42"/>
      <c r="BK37" s="42"/>
      <c r="BL37" s="42"/>
      <c r="BM37" s="42"/>
      <c r="BN37" s="42"/>
    </row>
    <row r="38" spans="1:66" s="5" customFormat="1" hidden="1" x14ac:dyDescent="0.25">
      <c r="A38" s="7"/>
      <c r="B38" s="5" t="str">
        <f t="array" ref="B38">IFERROR(INDEX(DemandSupply,MATCH(INDEX($R$1:R38,SMALL(ROW($R$1:R38)+(10000*($R$1:R38="")),COUNTA($R$1:R38))),Sectors,0)),"")</f>
        <v>Demand</v>
      </c>
      <c r="M38" s="7"/>
      <c r="N38" s="76"/>
      <c r="O38" s="77"/>
      <c r="P38" s="77"/>
      <c r="Q38" s="82"/>
      <c r="R38" s="77"/>
      <c r="S38" s="77"/>
      <c r="T38" s="77"/>
      <c r="U38" s="82"/>
      <c r="V38" s="77"/>
      <c r="W38" s="77"/>
      <c r="X38" s="76"/>
      <c r="Y38" s="77"/>
      <c r="Z38" s="76"/>
      <c r="AA38" s="77"/>
      <c r="AB38" s="76"/>
      <c r="AC38" s="77"/>
      <c r="AD38" s="76"/>
      <c r="AE38" s="77"/>
      <c r="AF38" s="76"/>
      <c r="AG38" s="77"/>
      <c r="AH38" s="76"/>
      <c r="AI38" s="7"/>
      <c r="AJ38" s="27" t="str">
        <f>IFERROR(INDEX($N38:$AH38,MATCH(TRUE,INDEX(($N38:$AH38&lt;&gt;0),0),0)),"")</f>
        <v/>
      </c>
      <c r="AK38" s="17" t="s">
        <v>94</v>
      </c>
      <c r="AL38" s="17" t="s">
        <v>148</v>
      </c>
      <c r="AM38" s="3" t="s">
        <v>175</v>
      </c>
      <c r="AN38" s="18" t="s">
        <v>25</v>
      </c>
      <c r="AO38" s="34">
        <f>SUMIFS(Residential!F$95:F$150,Residential!$C$95:$C$150,"Alberta",Residential!$B$95:$B$150,$AN38)/SUMIFS(Residential!F$36:F$91,Residential!$C$36:$C$91,"Alberta",Residential!$B$36:$B$91,$AN38)*1000</f>
        <v>138.51662237471803</v>
      </c>
      <c r="AP38" s="34">
        <f>SUMIFS(Residential!G$95:G$150,Residential!$C$95:$C$150,"Alberta",Residential!$B$95:$B$150,$AN38)/SUMIFS(Residential!G$36:G$91,Residential!$C$36:$C$91,"Alberta",Residential!$B$36:$B$91,$AN38)*1000</f>
        <v>141.02045602481141</v>
      </c>
      <c r="AQ38" s="34">
        <f>SUMIFS(Residential!H$95:H$150,Residential!$C$95:$C$150,"Alberta",Residential!$B$95:$B$150,$AN38)/SUMIFS(Residential!H$36:H$91,Residential!$C$36:$C$91,"Alberta",Residential!$B$36:$B$91,$AN38)*1000</f>
        <v>143.95470394476007</v>
      </c>
      <c r="AR38" s="34">
        <f>SUMIFS(Residential!I$95:I$150,Residential!$C$95:$C$150,"Alberta",Residential!$B$95:$B$150,$AN38)/SUMIFS(Residential!I$36:I$91,Residential!$C$36:$C$91,"Alberta",Residential!$B$36:$B$91,$AN38)*1000</f>
        <v>146.24475252411179</v>
      </c>
      <c r="AS38" s="34">
        <f>SUMIFS(Residential!J$95:J$150,Residential!$C$95:$C$150,"Alberta",Residential!$B$95:$B$150,$AN38)/SUMIFS(Residential!J$36:J$91,Residential!$C$36:$C$91,"Alberta",Residential!$B$36:$B$91,$AN38)*1000</f>
        <v>146.68297090560455</v>
      </c>
      <c r="AT38" s="34">
        <f>SUMIFS(Residential!K$95:K$150,Residential!$C$95:$C$150,"Alberta",Residential!$B$95:$B$150,$AN38)/SUMIFS(Residential!K$36:K$91,Residential!$C$36:$C$91,"Alberta",Residential!$B$36:$B$91,$AN38)*1000</f>
        <v>146.68297090560455</v>
      </c>
      <c r="AU38" s="34">
        <f>SUMIFS(Residential!L$95:L$150,Residential!$C$95:$C$150,"Alberta",Residential!$B$95:$B$150,$AN38)/SUMIFS(Residential!L$36:L$91,Residential!$C$36:$C$91,"Alberta",Residential!$B$36:$B$91,$AN38)*1000</f>
        <v>146.68297090560455</v>
      </c>
      <c r="AV38" s="34">
        <f>SUMIFS(Residential!M$95:M$150,Residential!$C$95:$C$150,"Alberta",Residential!$B$95:$B$150,$AN38)/SUMIFS(Residential!M$36:M$91,Residential!$C$36:$C$91,"Alberta",Residential!$B$36:$B$91,$AN38)*1000</f>
        <v>146.68297090560455</v>
      </c>
      <c r="AW38" s="34">
        <f>SUMIFS(Residential!N$95:N$150,Residential!$C$95:$C$150,"Alberta",Residential!$B$95:$B$150,$AN38)/SUMIFS(Residential!N$36:N$91,Residential!$C$36:$C$91,"Alberta",Residential!$B$36:$B$91,$AN38)*1000</f>
        <v>146.68297090560455</v>
      </c>
      <c r="AX38" s="34">
        <f>SUMIFS(Residential!O$95:O$150,Residential!$C$95:$C$150,"Alberta",Residential!$B$95:$B$150,$AN38)/SUMIFS(Residential!O$36:O$91,Residential!$C$36:$C$91,"Alberta",Residential!$B$36:$B$91,$AN38)*1000</f>
        <v>146.68297090560455</v>
      </c>
      <c r="AY38" s="34">
        <f>SUMIFS(Residential!P$95:P$150,Residential!$C$95:$C$150,"Alberta",Residential!$B$95:$B$150,$AN38)/SUMIFS(Residential!P$36:P$91,Residential!$C$36:$C$91,"Alberta",Residential!$B$36:$B$91,$AN38)*1000</f>
        <v>146.68297090560455</v>
      </c>
      <c r="AZ38" s="7"/>
      <c r="BA38" s="37"/>
      <c r="BB38" s="37"/>
      <c r="BC38" s="37"/>
      <c r="BD38" s="42"/>
      <c r="BE38" s="42"/>
      <c r="BF38" s="42"/>
      <c r="BG38" s="42"/>
      <c r="BH38" s="42"/>
      <c r="BI38" s="42"/>
      <c r="BJ38" s="42"/>
      <c r="BK38" s="42"/>
      <c r="BL38" s="42"/>
      <c r="BM38" s="42"/>
      <c r="BN38" s="42"/>
    </row>
    <row r="39" spans="1:66" s="5" customFormat="1" hidden="1" x14ac:dyDescent="0.25">
      <c r="A39" s="7"/>
      <c r="B39" s="5" t="str">
        <f t="array" ref="B39">IFERROR(INDEX(DemandSupply,MATCH(INDEX($R$1:R39,SMALL(ROW($R$1:R39)+(10000*($R$1:R39="")),COUNTA($R$1:R39))),Sectors,0)),"")</f>
        <v>Demand</v>
      </c>
      <c r="M39" s="7"/>
      <c r="N39" s="76"/>
      <c r="O39" s="77"/>
      <c r="P39" s="77"/>
      <c r="Q39" s="82"/>
      <c r="R39" s="77"/>
      <c r="S39" s="77"/>
      <c r="T39" s="77"/>
      <c r="U39" s="82"/>
      <c r="V39" s="77"/>
      <c r="W39" s="77"/>
      <c r="X39" s="76"/>
      <c r="Y39" s="77"/>
      <c r="Z39" s="76"/>
      <c r="AA39" s="77"/>
      <c r="AB39" s="76"/>
      <c r="AC39" s="77"/>
      <c r="AD39" s="76"/>
      <c r="AE39" s="77"/>
      <c r="AF39" s="76"/>
      <c r="AG39" s="77"/>
      <c r="AH39" s="76"/>
      <c r="AI39" s="7"/>
      <c r="AJ39" s="27" t="str">
        <f>IFERROR(INDEX($N39:$AH39,MATCH(TRUE,INDEX(($N39:$AH39&lt;&gt;0),0),0)),"")</f>
        <v/>
      </c>
      <c r="AK39" s="17" t="s">
        <v>94</v>
      </c>
      <c r="AL39" s="17" t="s">
        <v>148</v>
      </c>
      <c r="AM39" s="3" t="s">
        <v>175</v>
      </c>
      <c r="AN39" s="18" t="s">
        <v>26</v>
      </c>
      <c r="AO39" s="34">
        <f>SUMIFS(Residential!F$95:F$150,Residential!$C$95:$C$150,"Alberta",Residential!$B$95:$B$150,$AN39)/SUMIFS(Residential!F$36:F$91,Residential!$C$36:$C$91,"Alberta",Residential!$B$36:$B$91,$AN39)*1000</f>
        <v>107.36595424145357</v>
      </c>
      <c r="AP39" s="34">
        <f>SUMIFS(Residential!G$95:G$150,Residential!$C$95:$C$150,"Alberta",Residential!$B$95:$B$150,$AN39)/SUMIFS(Residential!G$36:G$91,Residential!$C$36:$C$91,"Alberta",Residential!$B$36:$B$91,$AN39)*1000</f>
        <v>111.23110151187905</v>
      </c>
      <c r="AQ39" s="34">
        <f>SUMIFS(Residential!H$95:H$150,Residential!$C$95:$C$150,"Alberta",Residential!$B$95:$B$150,$AN39)/SUMIFS(Residential!H$36:H$91,Residential!$C$36:$C$91,"Alberta",Residential!$B$36:$B$91,$AN39)*1000</f>
        <v>115.91380319599979</v>
      </c>
      <c r="AR39" s="34">
        <f>SUMIFS(Residential!I$95:I$150,Residential!$C$95:$C$150,"Alberta",Residential!$B$95:$B$150,$AN39)/SUMIFS(Residential!I$36:I$91,Residential!$C$36:$C$91,"Alberta",Residential!$B$36:$B$91,$AN39)*1000</f>
        <v>121.53331571320508</v>
      </c>
      <c r="AS39" s="34">
        <f>SUMIFS(Residential!J$95:J$150,Residential!$C$95:$C$150,"Alberta",Residential!$B$95:$B$150,$AN39)/SUMIFS(Residential!J$36:J$91,Residential!$C$36:$C$91,"Alberta",Residential!$B$36:$B$91,$AN39)*1000</f>
        <v>122.60881127559612</v>
      </c>
      <c r="AT39" s="34">
        <f>SUMIFS(Residential!K$95:K$150,Residential!$C$95:$C$150,"Alberta",Residential!$B$95:$B$150,$AN39)/SUMIFS(Residential!K$36:K$91,Residential!$C$36:$C$91,"Alberta",Residential!$B$36:$B$91,$AN39)*1000</f>
        <v>122.60881127559612</v>
      </c>
      <c r="AU39" s="34">
        <f>SUMIFS(Residential!L$95:L$150,Residential!$C$95:$C$150,"Alberta",Residential!$B$95:$B$150,$AN39)/SUMIFS(Residential!L$36:L$91,Residential!$C$36:$C$91,"Alberta",Residential!$B$36:$B$91,$AN39)*1000</f>
        <v>122.60881127559612</v>
      </c>
      <c r="AV39" s="34">
        <f>SUMIFS(Residential!M$95:M$150,Residential!$C$95:$C$150,"Alberta",Residential!$B$95:$B$150,$AN39)/SUMIFS(Residential!M$36:M$91,Residential!$C$36:$C$91,"Alberta",Residential!$B$36:$B$91,$AN39)*1000</f>
        <v>122.60881127559612</v>
      </c>
      <c r="AW39" s="34">
        <f>SUMIFS(Residential!N$95:N$150,Residential!$C$95:$C$150,"Alberta",Residential!$B$95:$B$150,$AN39)/SUMIFS(Residential!N$36:N$91,Residential!$C$36:$C$91,"Alberta",Residential!$B$36:$B$91,$AN39)*1000</f>
        <v>122.60881127559612</v>
      </c>
      <c r="AX39" s="34">
        <f>SUMIFS(Residential!O$95:O$150,Residential!$C$95:$C$150,"Alberta",Residential!$B$95:$B$150,$AN39)/SUMIFS(Residential!O$36:O$91,Residential!$C$36:$C$91,"Alberta",Residential!$B$36:$B$91,$AN39)*1000</f>
        <v>122.60881127559612</v>
      </c>
      <c r="AY39" s="34">
        <f>SUMIFS(Residential!P$95:P$150,Residential!$C$95:$C$150,"Alberta",Residential!$B$95:$B$150,$AN39)/SUMIFS(Residential!P$36:P$91,Residential!$C$36:$C$91,"Alberta",Residential!$B$36:$B$91,$AN39)*1000</f>
        <v>122.60881127559612</v>
      </c>
      <c r="AZ39" s="7"/>
      <c r="BA39" s="37"/>
      <c r="BB39" s="37"/>
      <c r="BC39" s="37"/>
      <c r="BD39" s="42"/>
      <c r="BE39" s="42"/>
      <c r="BF39" s="42"/>
      <c r="BG39" s="42"/>
      <c r="BH39" s="42"/>
      <c r="BI39" s="42"/>
      <c r="BJ39" s="42"/>
      <c r="BK39" s="42"/>
      <c r="BL39" s="42"/>
      <c r="BM39" s="42"/>
      <c r="BN39" s="42"/>
    </row>
    <row r="40" spans="1:66" s="5" customFormat="1" hidden="1" x14ac:dyDescent="0.25">
      <c r="A40" s="7"/>
      <c r="B40" s="5" t="str">
        <f t="array" ref="B40">IFERROR(INDEX(DemandSupply,MATCH(INDEX($R$1:R40,SMALL(ROW($R$1:R40)+(10000*($R$1:R40="")),COUNTA($R$1:R40))),Sectors,0)),"")</f>
        <v>Demand</v>
      </c>
      <c r="M40" s="7"/>
      <c r="N40" s="76"/>
      <c r="O40" s="77"/>
      <c r="P40" s="77"/>
      <c r="Q40" s="82"/>
      <c r="R40" s="77"/>
      <c r="S40" s="77"/>
      <c r="T40" s="77"/>
      <c r="U40" s="82"/>
      <c r="V40" s="77"/>
      <c r="W40" s="77"/>
      <c r="X40" s="76"/>
      <c r="Y40" s="77"/>
      <c r="Z40" s="76"/>
      <c r="AA40" s="77"/>
      <c r="AB40" s="76"/>
      <c r="AC40" s="77"/>
      <c r="AD40" s="76"/>
      <c r="AE40" s="77"/>
      <c r="AF40" s="76"/>
      <c r="AG40" s="77"/>
      <c r="AH40" s="76"/>
      <c r="AI40" s="7"/>
      <c r="AJ40" s="27" t="str">
        <f>IFERROR(INDEX($N40:$AH40,MATCH(TRUE,INDEX(($N40:$AH40&lt;&gt;0),0),0)),"")</f>
        <v/>
      </c>
      <c r="AK40" s="17" t="s">
        <v>94</v>
      </c>
      <c r="AL40" s="17" t="s">
        <v>148</v>
      </c>
      <c r="AM40" s="3" t="s">
        <v>175</v>
      </c>
      <c r="AN40" s="18" t="s">
        <v>27</v>
      </c>
      <c r="AO40" s="34">
        <f>SUMIFS(Residential!F$95:F$150,Residential!$C$95:$C$150,"Alberta",Residential!$B$95:$B$150,$AN40)/SUMIFS(Residential!F$36:F$91,Residential!$C$36:$C$91,"Alberta",Residential!$B$36:$B$91,$AN40)*1000</f>
        <v>84.759907824534466</v>
      </c>
      <c r="AP40" s="34">
        <f>SUMIFS(Residential!G$95:G$150,Residential!$C$95:$C$150,"Alberta",Residential!$B$95:$B$150,$AN40)/SUMIFS(Residential!G$36:G$91,Residential!$C$36:$C$91,"Alberta",Residential!$B$36:$B$91,$AN40)*1000</f>
        <v>88.687168672720716</v>
      </c>
      <c r="AQ40" s="34">
        <f>SUMIFS(Residential!H$95:H$150,Residential!$C$95:$C$150,"Alberta",Residential!$B$95:$B$150,$AN40)/SUMIFS(Residential!H$36:H$91,Residential!$C$36:$C$91,"Alberta",Residential!$B$36:$B$91,$AN40)*1000</f>
        <v>92.967997978887055</v>
      </c>
      <c r="AR40" s="34">
        <f>SUMIFS(Residential!I$95:I$150,Residential!$C$95:$C$150,"Alberta",Residential!$B$95:$B$150,$AN40)/SUMIFS(Residential!I$36:I$91,Residential!$C$36:$C$91,"Alberta",Residential!$B$36:$B$91,$AN40)*1000</f>
        <v>97.18309068663217</v>
      </c>
      <c r="AS40" s="34">
        <f>SUMIFS(Residential!J$95:J$150,Residential!$C$95:$C$150,"Alberta",Residential!$B$95:$B$150,$AN40)/SUMIFS(Residential!J$36:J$91,Residential!$C$36:$C$91,"Alberta",Residential!$B$36:$B$91,$AN40)*1000</f>
        <v>97.931118044406773</v>
      </c>
      <c r="AT40" s="34">
        <f>SUMIFS(Residential!K$95:K$150,Residential!$C$95:$C$150,"Alberta",Residential!$B$95:$B$150,$AN40)/SUMIFS(Residential!K$36:K$91,Residential!$C$36:$C$91,"Alberta",Residential!$B$36:$B$91,$AN40)*1000</f>
        <v>97.931118044406773</v>
      </c>
      <c r="AU40" s="34">
        <f>SUMIFS(Residential!L$95:L$150,Residential!$C$95:$C$150,"Alberta",Residential!$B$95:$B$150,$AN40)/SUMIFS(Residential!L$36:L$91,Residential!$C$36:$C$91,"Alberta",Residential!$B$36:$B$91,$AN40)*1000</f>
        <v>97.931118044406773</v>
      </c>
      <c r="AV40" s="34">
        <f>SUMIFS(Residential!M$95:M$150,Residential!$C$95:$C$150,"Alberta",Residential!$B$95:$B$150,$AN40)/SUMIFS(Residential!M$36:M$91,Residential!$C$36:$C$91,"Alberta",Residential!$B$36:$B$91,$AN40)*1000</f>
        <v>97.931118044406773</v>
      </c>
      <c r="AW40" s="34">
        <f>SUMIFS(Residential!N$95:N$150,Residential!$C$95:$C$150,"Alberta",Residential!$B$95:$B$150,$AN40)/SUMIFS(Residential!N$36:N$91,Residential!$C$36:$C$91,"Alberta",Residential!$B$36:$B$91,$AN40)*1000</f>
        <v>97.931118044406773</v>
      </c>
      <c r="AX40" s="34">
        <f>SUMIFS(Residential!O$95:O$150,Residential!$C$95:$C$150,"Alberta",Residential!$B$95:$B$150,$AN40)/SUMIFS(Residential!O$36:O$91,Residential!$C$36:$C$91,"Alberta",Residential!$B$36:$B$91,$AN40)*1000</f>
        <v>97.931118044406773</v>
      </c>
      <c r="AY40" s="34">
        <f>SUMIFS(Residential!P$95:P$150,Residential!$C$95:$C$150,"Alberta",Residential!$B$95:$B$150,$AN40)/SUMIFS(Residential!P$36:P$91,Residential!$C$36:$C$91,"Alberta",Residential!$B$36:$B$91,$AN40)*1000</f>
        <v>97.931118044406773</v>
      </c>
      <c r="AZ40" s="7"/>
      <c r="BA40" s="37"/>
      <c r="BB40" s="37"/>
      <c r="BC40" s="37"/>
      <c r="BD40" s="42"/>
      <c r="BE40" s="42"/>
      <c r="BF40" s="42"/>
      <c r="BG40" s="42"/>
      <c r="BH40" s="42"/>
      <c r="BI40" s="42"/>
      <c r="BJ40" s="42"/>
      <c r="BK40" s="42"/>
      <c r="BL40" s="42"/>
      <c r="BM40" s="42"/>
      <c r="BN40" s="42"/>
    </row>
    <row r="41" spans="1:66" s="5" customFormat="1" hidden="1" x14ac:dyDescent="0.25">
      <c r="A41" s="7"/>
      <c r="B41" s="5" t="str">
        <f t="array" ref="B41">IFERROR(INDEX(DemandSupply,MATCH(INDEX($R$1:R41,SMALL(ROW($R$1:R41)+(10000*($R$1:R41="")),COUNTA($R$1:R41))),Sectors,0)),"")</f>
        <v>Demand</v>
      </c>
      <c r="M41" s="7"/>
      <c r="N41" s="76"/>
      <c r="O41" s="77"/>
      <c r="P41" s="77"/>
      <c r="Q41" s="82"/>
      <c r="R41" s="77"/>
      <c r="S41" s="77"/>
      <c r="T41" s="77"/>
      <c r="U41" s="82"/>
      <c r="V41" s="77"/>
      <c r="W41" s="77"/>
      <c r="X41" s="76"/>
      <c r="Y41" s="77"/>
      <c r="Z41" s="76"/>
      <c r="AA41" s="77"/>
      <c r="AB41" s="76"/>
      <c r="AC41" s="77"/>
      <c r="AD41" s="76"/>
      <c r="AE41" s="77"/>
      <c r="AF41" s="76"/>
      <c r="AG41" s="77"/>
      <c r="AH41" s="76"/>
      <c r="AI41" s="7"/>
      <c r="AJ41" s="27" t="str">
        <f>IFERROR(INDEX($N41:$AH41,MATCH(TRUE,INDEX(($N41:$AH41&lt;&gt;0),0),0)),"")</f>
        <v/>
      </c>
      <c r="AK41" s="17" t="s">
        <v>94</v>
      </c>
      <c r="AL41" s="17" t="s">
        <v>148</v>
      </c>
      <c r="AM41" s="3" t="s">
        <v>175</v>
      </c>
      <c r="AN41" s="18" t="s">
        <v>28</v>
      </c>
      <c r="AO41" s="34">
        <f>SUMIFS(Residential!F$95:F$150,Residential!$C$95:$C$150,"Alberta",Residential!$B$95:$B$150,$AN41)/SUMIFS(Residential!F$36:F$91,Residential!$C$36:$C$91,"Alberta",Residential!$B$36:$B$91,$AN41)*1000</f>
        <v>91.721414046613475</v>
      </c>
      <c r="AP41" s="34">
        <f>SUMIFS(Residential!G$95:G$150,Residential!$C$95:$C$150,"Alberta",Residential!$B$95:$B$150,$AN41)/SUMIFS(Residential!G$36:G$91,Residential!$C$36:$C$91,"Alberta",Residential!$B$36:$B$91,$AN41)*1000</f>
        <v>92.262366258334637</v>
      </c>
      <c r="AQ41" s="34">
        <f>SUMIFS(Residential!H$95:H$150,Residential!$C$95:$C$150,"Alberta",Residential!$B$95:$B$150,$AN41)/SUMIFS(Residential!H$36:H$91,Residential!$C$36:$C$91,"Alberta",Residential!$B$36:$B$91,$AN41)*1000</f>
        <v>93.402188993371354</v>
      </c>
      <c r="AR41" s="34">
        <f>SUMIFS(Residential!I$95:I$150,Residential!$C$95:$C$150,"Alberta",Residential!$B$95:$B$150,$AN41)/SUMIFS(Residential!I$36:I$91,Residential!$C$36:$C$91,"Alberta",Residential!$B$36:$B$91,$AN41)*1000</f>
        <v>94.688909694442074</v>
      </c>
      <c r="AS41" s="34">
        <f>SUMIFS(Residential!J$95:J$150,Residential!$C$95:$C$150,"Alberta",Residential!$B$95:$B$150,$AN41)/SUMIFS(Residential!J$36:J$91,Residential!$C$36:$C$91,"Alberta",Residential!$B$36:$B$91,$AN41)*1000</f>
        <v>95.037976097397532</v>
      </c>
      <c r="AT41" s="34">
        <f>SUMIFS(Residential!K$95:K$150,Residential!$C$95:$C$150,"Alberta",Residential!$B$95:$B$150,$AN41)/SUMIFS(Residential!K$36:K$91,Residential!$C$36:$C$91,"Alberta",Residential!$B$36:$B$91,$AN41)*1000</f>
        <v>95.037976097397532</v>
      </c>
      <c r="AU41" s="34">
        <f>SUMIFS(Residential!L$95:L$150,Residential!$C$95:$C$150,"Alberta",Residential!$B$95:$B$150,$AN41)/SUMIFS(Residential!L$36:L$91,Residential!$C$36:$C$91,"Alberta",Residential!$B$36:$B$91,$AN41)*1000</f>
        <v>95.037976097397532</v>
      </c>
      <c r="AV41" s="34">
        <f>SUMIFS(Residential!M$95:M$150,Residential!$C$95:$C$150,"Alberta",Residential!$B$95:$B$150,$AN41)/SUMIFS(Residential!M$36:M$91,Residential!$C$36:$C$91,"Alberta",Residential!$B$36:$B$91,$AN41)*1000</f>
        <v>95.037976097397532</v>
      </c>
      <c r="AW41" s="34">
        <f>SUMIFS(Residential!N$95:N$150,Residential!$C$95:$C$150,"Alberta",Residential!$B$95:$B$150,$AN41)/SUMIFS(Residential!N$36:N$91,Residential!$C$36:$C$91,"Alberta",Residential!$B$36:$B$91,$AN41)*1000</f>
        <v>95.037976097397532</v>
      </c>
      <c r="AX41" s="34">
        <f>SUMIFS(Residential!O$95:O$150,Residential!$C$95:$C$150,"Alberta",Residential!$B$95:$B$150,$AN41)/SUMIFS(Residential!O$36:O$91,Residential!$C$36:$C$91,"Alberta",Residential!$B$36:$B$91,$AN41)*1000</f>
        <v>95.037976097397532</v>
      </c>
      <c r="AY41" s="34">
        <f>SUMIFS(Residential!P$95:P$150,Residential!$C$95:$C$150,"Alberta",Residential!$B$95:$B$150,$AN41)/SUMIFS(Residential!P$36:P$91,Residential!$C$36:$C$91,"Alberta",Residential!$B$36:$B$91,$AN41)*1000</f>
        <v>95.037976097397532</v>
      </c>
      <c r="AZ41" s="7"/>
      <c r="BA41" s="37"/>
      <c r="BB41" s="37"/>
      <c r="BC41" s="37"/>
      <c r="BD41" s="42"/>
      <c r="BE41" s="42"/>
      <c r="BF41" s="42"/>
      <c r="BG41" s="42"/>
      <c r="BH41" s="42"/>
      <c r="BI41" s="42"/>
      <c r="BJ41" s="42"/>
      <c r="BK41" s="42"/>
      <c r="BL41" s="42"/>
      <c r="BM41" s="42"/>
      <c r="BN41" s="42"/>
    </row>
    <row r="42" spans="1:66" s="5" customFormat="1" hidden="1" x14ac:dyDescent="0.25">
      <c r="A42" s="7"/>
      <c r="B42" s="5" t="str">
        <f t="array" ref="B42">IFERROR(INDEX(DemandSupply,MATCH(INDEX($R$1:R42,SMALL(ROW($R$1:R42)+(10000*($R$1:R42="")),COUNTA($R$1:R42))),Sectors,0)),"")</f>
        <v>Demand</v>
      </c>
      <c r="M42" s="7"/>
      <c r="N42" s="76"/>
      <c r="O42" s="77"/>
      <c r="P42" s="77"/>
      <c r="Q42" s="82"/>
      <c r="R42" s="77"/>
      <c r="S42" s="77"/>
      <c r="T42" s="77"/>
      <c r="U42" s="82"/>
      <c r="V42" s="77"/>
      <c r="W42" s="77"/>
      <c r="X42" s="76"/>
      <c r="Y42" s="77"/>
      <c r="Z42" s="76"/>
      <c r="AA42" s="77"/>
      <c r="AB42" s="76"/>
      <c r="AC42" s="77"/>
      <c r="AD42" s="76"/>
      <c r="AE42" s="77"/>
      <c r="AF42" s="76"/>
      <c r="AG42" s="77"/>
      <c r="AH42" s="76"/>
      <c r="AI42" s="7"/>
      <c r="AJ42" s="27" t="str">
        <f>IFERROR(INDEX($N42:$AH42,MATCH(TRUE,INDEX(($N42:$AH42&lt;&gt;0),0),0)),"")</f>
        <v/>
      </c>
      <c r="AK42" s="17" t="s">
        <v>94</v>
      </c>
      <c r="AL42" s="17" t="s">
        <v>160</v>
      </c>
      <c r="AM42" s="3" t="s">
        <v>161</v>
      </c>
      <c r="AN42" s="18" t="s">
        <v>25</v>
      </c>
      <c r="AO42" s="21">
        <v>1</v>
      </c>
      <c r="AP42" s="21">
        <v>1</v>
      </c>
      <c r="AQ42" s="21">
        <v>1</v>
      </c>
      <c r="AR42" s="21">
        <v>1</v>
      </c>
      <c r="AS42" s="21">
        <v>1</v>
      </c>
      <c r="AT42" s="21">
        <v>1</v>
      </c>
      <c r="AU42" s="21">
        <v>1</v>
      </c>
      <c r="AV42" s="21">
        <v>1</v>
      </c>
      <c r="AW42" s="21">
        <v>1</v>
      </c>
      <c r="AX42" s="21">
        <v>1</v>
      </c>
      <c r="AY42" s="21">
        <v>1</v>
      </c>
      <c r="AZ42" s="7"/>
      <c r="BA42" s="37"/>
      <c r="BB42" s="37"/>
      <c r="BC42" s="37"/>
      <c r="BD42" s="42"/>
      <c r="BE42" s="42"/>
      <c r="BF42" s="42"/>
      <c r="BG42" s="42"/>
      <c r="BH42" s="42"/>
      <c r="BI42" s="42"/>
      <c r="BJ42" s="42"/>
      <c r="BK42" s="42"/>
      <c r="BL42" s="42"/>
      <c r="BM42" s="42"/>
      <c r="BN42" s="42"/>
    </row>
    <row r="43" spans="1:66" s="5" customFormat="1" hidden="1" x14ac:dyDescent="0.25">
      <c r="A43" s="7"/>
      <c r="B43" s="5" t="str">
        <f t="array" ref="B43">IFERROR(INDEX(DemandSupply,MATCH(INDEX($R$1:R43,SMALL(ROW($R$1:R43)+(10000*($R$1:R43="")),COUNTA($R$1:R43))),Sectors,0)),"")</f>
        <v>Demand</v>
      </c>
      <c r="M43" s="7"/>
      <c r="N43" s="76"/>
      <c r="O43" s="77"/>
      <c r="P43" s="77"/>
      <c r="Q43" s="82"/>
      <c r="R43" s="77"/>
      <c r="S43" s="77"/>
      <c r="T43" s="77"/>
      <c r="U43" s="82"/>
      <c r="V43" s="77"/>
      <c r="W43" s="77"/>
      <c r="X43" s="76"/>
      <c r="Y43" s="77"/>
      <c r="Z43" s="76"/>
      <c r="AA43" s="77"/>
      <c r="AB43" s="76"/>
      <c r="AC43" s="77"/>
      <c r="AD43" s="76"/>
      <c r="AE43" s="77"/>
      <c r="AF43" s="76"/>
      <c r="AG43" s="77"/>
      <c r="AH43" s="76"/>
      <c r="AI43" s="7"/>
      <c r="AJ43" s="27" t="str">
        <f>IFERROR(INDEX($N43:$AH43,MATCH(TRUE,INDEX(($N43:$AH43&lt;&gt;0),0),0)),"")</f>
        <v/>
      </c>
      <c r="AK43" s="17" t="s">
        <v>94</v>
      </c>
      <c r="AL43" s="17" t="s">
        <v>160</v>
      </c>
      <c r="AM43" s="3" t="s">
        <v>161</v>
      </c>
      <c r="AN43" s="18" t="s">
        <v>26</v>
      </c>
      <c r="AO43" s="21">
        <v>1</v>
      </c>
      <c r="AP43" s="21">
        <v>1</v>
      </c>
      <c r="AQ43" s="21">
        <v>1</v>
      </c>
      <c r="AR43" s="21">
        <v>1</v>
      </c>
      <c r="AS43" s="21">
        <v>1</v>
      </c>
      <c r="AT43" s="21">
        <v>1</v>
      </c>
      <c r="AU43" s="21">
        <v>1</v>
      </c>
      <c r="AV43" s="21">
        <v>1</v>
      </c>
      <c r="AW43" s="21">
        <v>1</v>
      </c>
      <c r="AX43" s="21">
        <v>1</v>
      </c>
      <c r="AY43" s="21">
        <v>1</v>
      </c>
      <c r="AZ43" s="7"/>
      <c r="BA43" s="37"/>
      <c r="BB43" s="37"/>
      <c r="BC43" s="37"/>
      <c r="BD43" s="42"/>
      <c r="BE43" s="42"/>
      <c r="BF43" s="42"/>
      <c r="BG43" s="42"/>
      <c r="BH43" s="42"/>
      <c r="BI43" s="42"/>
      <c r="BJ43" s="42"/>
      <c r="BK43" s="42"/>
      <c r="BL43" s="42"/>
      <c r="BM43" s="42"/>
      <c r="BN43" s="42"/>
    </row>
    <row r="44" spans="1:66" s="5" customFormat="1" hidden="1" x14ac:dyDescent="0.25">
      <c r="A44" s="7"/>
      <c r="B44" s="5" t="str">
        <f t="array" ref="B44">IFERROR(INDEX(DemandSupply,MATCH(INDEX($R$1:R44,SMALL(ROW($R$1:R44)+(10000*($R$1:R44="")),COUNTA($R$1:R44))),Sectors,0)),"")</f>
        <v>Demand</v>
      </c>
      <c r="M44" s="7"/>
      <c r="N44" s="76"/>
      <c r="O44" s="77"/>
      <c r="P44" s="77"/>
      <c r="Q44" s="82"/>
      <c r="R44" s="77"/>
      <c r="S44" s="77"/>
      <c r="T44" s="77"/>
      <c r="U44" s="82"/>
      <c r="V44" s="77"/>
      <c r="W44" s="77"/>
      <c r="X44" s="76"/>
      <c r="Y44" s="77"/>
      <c r="Z44" s="76"/>
      <c r="AA44" s="77"/>
      <c r="AB44" s="76"/>
      <c r="AC44" s="77"/>
      <c r="AD44" s="76"/>
      <c r="AE44" s="77"/>
      <c r="AF44" s="76"/>
      <c r="AG44" s="77"/>
      <c r="AH44" s="76"/>
      <c r="AI44" s="7"/>
      <c r="AJ44" s="27" t="str">
        <f>IFERROR(INDEX($N44:$AH44,MATCH(TRUE,INDEX(($N44:$AH44&lt;&gt;0),0),0)),"")</f>
        <v/>
      </c>
      <c r="AK44" s="17" t="s">
        <v>94</v>
      </c>
      <c r="AL44" s="17" t="s">
        <v>160</v>
      </c>
      <c r="AM44" s="3" t="s">
        <v>161</v>
      </c>
      <c r="AN44" s="18" t="s">
        <v>27</v>
      </c>
      <c r="AO44" s="21">
        <v>1</v>
      </c>
      <c r="AP44" s="21">
        <v>1</v>
      </c>
      <c r="AQ44" s="21">
        <v>1</v>
      </c>
      <c r="AR44" s="21">
        <v>1</v>
      </c>
      <c r="AS44" s="21">
        <v>1</v>
      </c>
      <c r="AT44" s="21">
        <v>1</v>
      </c>
      <c r="AU44" s="21">
        <v>1</v>
      </c>
      <c r="AV44" s="21">
        <v>1</v>
      </c>
      <c r="AW44" s="21">
        <v>1</v>
      </c>
      <c r="AX44" s="21">
        <v>1</v>
      </c>
      <c r="AY44" s="21">
        <v>1</v>
      </c>
      <c r="AZ44" s="7"/>
      <c r="BA44" s="37"/>
      <c r="BB44" s="37"/>
      <c r="BC44" s="37"/>
      <c r="BD44" s="42"/>
      <c r="BE44" s="42"/>
      <c r="BF44" s="42"/>
      <c r="BG44" s="42"/>
      <c r="BH44" s="42"/>
      <c r="BI44" s="42"/>
      <c r="BJ44" s="42"/>
      <c r="BK44" s="42"/>
      <c r="BL44" s="42"/>
      <c r="BM44" s="42"/>
      <c r="BN44" s="42"/>
    </row>
    <row r="45" spans="1:66" s="5" customFormat="1" hidden="1" x14ac:dyDescent="0.25">
      <c r="A45" s="7"/>
      <c r="B45" s="5" t="str">
        <f t="array" ref="B45">IFERROR(INDEX(DemandSupply,MATCH(INDEX($R$1:R45,SMALL(ROW($R$1:R45)+(10000*($R$1:R45="")),COUNTA($R$1:R45))),Sectors,0)),"")</f>
        <v>Demand</v>
      </c>
      <c r="M45" s="7"/>
      <c r="N45" s="76"/>
      <c r="O45" s="77"/>
      <c r="P45" s="77"/>
      <c r="Q45" s="82"/>
      <c r="R45" s="77"/>
      <c r="S45" s="77"/>
      <c r="T45" s="77"/>
      <c r="U45" s="82"/>
      <c r="V45" s="77"/>
      <c r="W45" s="77"/>
      <c r="X45" s="76"/>
      <c r="Y45" s="77"/>
      <c r="Z45" s="76"/>
      <c r="AA45" s="77"/>
      <c r="AB45" s="76"/>
      <c r="AC45" s="77"/>
      <c r="AD45" s="76"/>
      <c r="AE45" s="77"/>
      <c r="AF45" s="76"/>
      <c r="AG45" s="77"/>
      <c r="AH45" s="76"/>
      <c r="AI45" s="7"/>
      <c r="AJ45" s="27" t="str">
        <f>IFERROR(INDEX($N45:$AH45,MATCH(TRUE,INDEX(($N45:$AH45&lt;&gt;0),0),0)),"")</f>
        <v/>
      </c>
      <c r="AK45" s="17" t="s">
        <v>94</v>
      </c>
      <c r="AL45" s="17" t="s">
        <v>160</v>
      </c>
      <c r="AM45" s="3" t="s">
        <v>161</v>
      </c>
      <c r="AN45" s="18" t="s">
        <v>28</v>
      </c>
      <c r="AO45" s="21">
        <v>1</v>
      </c>
      <c r="AP45" s="21">
        <v>1</v>
      </c>
      <c r="AQ45" s="21">
        <v>1</v>
      </c>
      <c r="AR45" s="21">
        <v>1</v>
      </c>
      <c r="AS45" s="21">
        <v>1</v>
      </c>
      <c r="AT45" s="21">
        <v>1</v>
      </c>
      <c r="AU45" s="21">
        <v>1</v>
      </c>
      <c r="AV45" s="21">
        <v>1</v>
      </c>
      <c r="AW45" s="21">
        <v>1</v>
      </c>
      <c r="AX45" s="21">
        <v>1</v>
      </c>
      <c r="AY45" s="21">
        <v>1</v>
      </c>
      <c r="AZ45" s="7"/>
      <c r="BA45" s="37"/>
      <c r="BB45" s="37"/>
      <c r="BC45" s="37"/>
      <c r="BD45" s="42"/>
      <c r="BE45" s="42"/>
      <c r="BF45" s="42"/>
      <c r="BG45" s="42"/>
      <c r="BH45" s="42"/>
      <c r="BI45" s="42"/>
      <c r="BJ45" s="42"/>
      <c r="BK45" s="42"/>
      <c r="BL45" s="42"/>
      <c r="BM45" s="42"/>
      <c r="BN45" s="42"/>
    </row>
    <row r="46" spans="1:66" s="5" customFormat="1" hidden="1" x14ac:dyDescent="0.25">
      <c r="A46" s="7"/>
      <c r="B46" s="5" t="str">
        <f t="array" ref="B46">IFERROR(INDEX(DemandSupply,MATCH(INDEX($R$1:R46,SMALL(ROW($R$1:R46)+(10000*($R$1:R46="")),COUNTA($R$1:R46))),Sectors,0)),"")</f>
        <v>Demand</v>
      </c>
      <c r="M46" s="7"/>
      <c r="N46" s="76"/>
      <c r="O46" s="77"/>
      <c r="P46" s="77"/>
      <c r="Q46" s="82"/>
      <c r="R46" s="77"/>
      <c r="S46" s="77"/>
      <c r="T46" s="77"/>
      <c r="U46" s="82"/>
      <c r="V46" s="77"/>
      <c r="W46" s="77"/>
      <c r="X46" s="76"/>
      <c r="Y46" s="77"/>
      <c r="Z46" s="76"/>
      <c r="AA46" s="77"/>
      <c r="AB46" s="76"/>
      <c r="AC46" s="77"/>
      <c r="AD46" s="76"/>
      <c r="AE46" s="77"/>
      <c r="AF46" s="76"/>
      <c r="AG46" s="77"/>
      <c r="AH46" s="76"/>
      <c r="AI46" s="7"/>
      <c r="AJ46" s="27" t="str">
        <f>IFERROR(INDEX($N46:$AH46,MATCH(TRUE,INDEX(($N46:$AH46&lt;&gt;0),0),0)),"")</f>
        <v/>
      </c>
      <c r="AK46" s="17" t="s">
        <v>94</v>
      </c>
      <c r="AL46" s="17" t="s">
        <v>159</v>
      </c>
      <c r="AM46" s="3" t="s">
        <v>161</v>
      </c>
      <c r="AN46" s="18" t="s">
        <v>25</v>
      </c>
      <c r="AO46" s="21">
        <v>1</v>
      </c>
      <c r="AP46" s="21">
        <v>1</v>
      </c>
      <c r="AQ46" s="21">
        <v>1</v>
      </c>
      <c r="AR46" s="21">
        <v>1</v>
      </c>
      <c r="AS46" s="21">
        <v>1</v>
      </c>
      <c r="AT46" s="21">
        <v>1</v>
      </c>
      <c r="AU46" s="21">
        <v>1</v>
      </c>
      <c r="AV46" s="21">
        <v>1</v>
      </c>
      <c r="AW46" s="21">
        <v>1</v>
      </c>
      <c r="AX46" s="21">
        <v>1</v>
      </c>
      <c r="AY46" s="21">
        <v>1</v>
      </c>
      <c r="AZ46" s="7"/>
      <c r="BA46" s="37"/>
      <c r="BB46" s="37"/>
      <c r="BC46" s="37"/>
      <c r="BD46" s="42"/>
      <c r="BE46" s="42"/>
      <c r="BF46" s="42"/>
      <c r="BG46" s="42"/>
      <c r="BH46" s="42"/>
      <c r="BI46" s="42"/>
      <c r="BJ46" s="42"/>
      <c r="BK46" s="42"/>
      <c r="BL46" s="42"/>
      <c r="BM46" s="42"/>
      <c r="BN46" s="42"/>
    </row>
    <row r="47" spans="1:66" s="5" customFormat="1" hidden="1" x14ac:dyDescent="0.25">
      <c r="A47" s="7"/>
      <c r="B47" s="5" t="str">
        <f t="array" ref="B47">IFERROR(INDEX(DemandSupply,MATCH(INDEX($R$1:R47,SMALL(ROW($R$1:R47)+(10000*($R$1:R47="")),COUNTA($R$1:R47))),Sectors,0)),"")</f>
        <v>Demand</v>
      </c>
      <c r="M47" s="7"/>
      <c r="N47" s="76"/>
      <c r="O47" s="77"/>
      <c r="P47" s="77"/>
      <c r="Q47" s="82"/>
      <c r="R47" s="77"/>
      <c r="S47" s="77"/>
      <c r="T47" s="77"/>
      <c r="U47" s="82"/>
      <c r="V47" s="77"/>
      <c r="W47" s="77"/>
      <c r="X47" s="76"/>
      <c r="Y47" s="77"/>
      <c r="Z47" s="76"/>
      <c r="AA47" s="77"/>
      <c r="AB47" s="76"/>
      <c r="AC47" s="77"/>
      <c r="AD47" s="76"/>
      <c r="AE47" s="77"/>
      <c r="AF47" s="76"/>
      <c r="AG47" s="77"/>
      <c r="AH47" s="76"/>
      <c r="AI47" s="7"/>
      <c r="AJ47" s="27" t="str">
        <f>IFERROR(INDEX($N47:$AH47,MATCH(TRUE,INDEX(($N47:$AH47&lt;&gt;0),0),0)),"")</f>
        <v/>
      </c>
      <c r="AK47" s="17" t="s">
        <v>94</v>
      </c>
      <c r="AL47" s="17" t="s">
        <v>159</v>
      </c>
      <c r="AM47" s="3" t="s">
        <v>161</v>
      </c>
      <c r="AN47" s="18" t="s">
        <v>26</v>
      </c>
      <c r="AO47" s="21">
        <v>1</v>
      </c>
      <c r="AP47" s="21">
        <v>1</v>
      </c>
      <c r="AQ47" s="21">
        <v>1</v>
      </c>
      <c r="AR47" s="21">
        <v>1</v>
      </c>
      <c r="AS47" s="21">
        <v>1</v>
      </c>
      <c r="AT47" s="21">
        <v>1</v>
      </c>
      <c r="AU47" s="21">
        <v>1</v>
      </c>
      <c r="AV47" s="21">
        <v>1</v>
      </c>
      <c r="AW47" s="21">
        <v>1</v>
      </c>
      <c r="AX47" s="21">
        <v>1</v>
      </c>
      <c r="AY47" s="21">
        <v>1</v>
      </c>
      <c r="AZ47" s="7"/>
      <c r="BA47" s="37"/>
      <c r="BB47" s="37"/>
      <c r="BC47" s="37"/>
      <c r="BD47" s="42"/>
      <c r="BE47" s="42"/>
      <c r="BF47" s="42"/>
      <c r="BG47" s="42"/>
      <c r="BH47" s="42"/>
      <c r="BI47" s="42"/>
      <c r="BJ47" s="42"/>
      <c r="BK47" s="42"/>
      <c r="BL47" s="42"/>
      <c r="BM47" s="42"/>
      <c r="BN47" s="42"/>
    </row>
    <row r="48" spans="1:66" s="5" customFormat="1" hidden="1" x14ac:dyDescent="0.25">
      <c r="A48" s="7"/>
      <c r="B48" s="5" t="str">
        <f t="array" ref="B48">IFERROR(INDEX(DemandSupply,MATCH(INDEX($R$1:R48,SMALL(ROW($R$1:R48)+(10000*($R$1:R48="")),COUNTA($R$1:R48))),Sectors,0)),"")</f>
        <v>Demand</v>
      </c>
      <c r="M48" s="7"/>
      <c r="N48" s="76"/>
      <c r="O48" s="77"/>
      <c r="P48" s="77"/>
      <c r="Q48" s="82"/>
      <c r="R48" s="77"/>
      <c r="S48" s="77"/>
      <c r="T48" s="77"/>
      <c r="U48" s="82"/>
      <c r="V48" s="77"/>
      <c r="W48" s="77"/>
      <c r="X48" s="76"/>
      <c r="Y48" s="77"/>
      <c r="Z48" s="76"/>
      <c r="AA48" s="77"/>
      <c r="AB48" s="76"/>
      <c r="AC48" s="77"/>
      <c r="AD48" s="76"/>
      <c r="AE48" s="77"/>
      <c r="AF48" s="76"/>
      <c r="AG48" s="77"/>
      <c r="AH48" s="76"/>
      <c r="AI48" s="7"/>
      <c r="AJ48" s="27" t="str">
        <f>IFERROR(INDEX($N48:$AH48,MATCH(TRUE,INDEX(($N48:$AH48&lt;&gt;0),0),0)),"")</f>
        <v/>
      </c>
      <c r="AK48" s="17" t="s">
        <v>94</v>
      </c>
      <c r="AL48" s="17" t="s">
        <v>159</v>
      </c>
      <c r="AM48" s="3" t="s">
        <v>161</v>
      </c>
      <c r="AN48" s="18" t="s">
        <v>27</v>
      </c>
      <c r="AO48" s="21">
        <v>1</v>
      </c>
      <c r="AP48" s="21">
        <v>1</v>
      </c>
      <c r="AQ48" s="21">
        <v>1</v>
      </c>
      <c r="AR48" s="21">
        <v>1</v>
      </c>
      <c r="AS48" s="21">
        <v>1</v>
      </c>
      <c r="AT48" s="21">
        <v>1</v>
      </c>
      <c r="AU48" s="21">
        <v>1</v>
      </c>
      <c r="AV48" s="21">
        <v>1</v>
      </c>
      <c r="AW48" s="21">
        <v>1</v>
      </c>
      <c r="AX48" s="21">
        <v>1</v>
      </c>
      <c r="AY48" s="21">
        <v>1</v>
      </c>
      <c r="AZ48" s="7"/>
      <c r="BA48" s="37"/>
      <c r="BB48" s="37"/>
      <c r="BC48" s="37"/>
      <c r="BD48" s="42"/>
      <c r="BE48" s="42"/>
      <c r="BF48" s="42"/>
      <c r="BG48" s="42"/>
      <c r="BH48" s="42"/>
      <c r="BI48" s="42"/>
      <c r="BJ48" s="42"/>
      <c r="BK48" s="42"/>
      <c r="BL48" s="42"/>
      <c r="BM48" s="42"/>
      <c r="BN48" s="42"/>
    </row>
    <row r="49" spans="1:66" s="5" customFormat="1" hidden="1" x14ac:dyDescent="0.25">
      <c r="A49" s="7"/>
      <c r="B49" s="5" t="str">
        <f t="array" ref="B49">IFERROR(INDEX(DemandSupply,MATCH(INDEX($R$1:R49,SMALL(ROW($R$1:R49)+(10000*($R$1:R49="")),COUNTA($R$1:R49))),Sectors,0)),"")</f>
        <v>Demand</v>
      </c>
      <c r="M49" s="7"/>
      <c r="N49" s="76"/>
      <c r="O49" s="77"/>
      <c r="P49" s="77"/>
      <c r="Q49" s="82"/>
      <c r="R49" s="77"/>
      <c r="S49" s="77"/>
      <c r="T49" s="77"/>
      <c r="U49" s="82"/>
      <c r="V49" s="77"/>
      <c r="W49" s="77"/>
      <c r="X49" s="76"/>
      <c r="Y49" s="77"/>
      <c r="Z49" s="76"/>
      <c r="AA49" s="77"/>
      <c r="AB49" s="76"/>
      <c r="AC49" s="77"/>
      <c r="AD49" s="76"/>
      <c r="AE49" s="77"/>
      <c r="AF49" s="76"/>
      <c r="AG49" s="77"/>
      <c r="AH49" s="76"/>
      <c r="AI49" s="7"/>
      <c r="AJ49" s="27" t="str">
        <f>IFERROR(INDEX($N49:$AH49,MATCH(TRUE,INDEX(($N49:$AH49&lt;&gt;0),0),0)),"")</f>
        <v/>
      </c>
      <c r="AK49" s="17" t="s">
        <v>94</v>
      </c>
      <c r="AL49" s="17" t="s">
        <v>159</v>
      </c>
      <c r="AM49" s="3" t="s">
        <v>161</v>
      </c>
      <c r="AN49" s="18" t="s">
        <v>28</v>
      </c>
      <c r="AO49" s="21">
        <v>1</v>
      </c>
      <c r="AP49" s="21">
        <v>1</v>
      </c>
      <c r="AQ49" s="21">
        <v>1</v>
      </c>
      <c r="AR49" s="21">
        <v>1</v>
      </c>
      <c r="AS49" s="21">
        <v>1</v>
      </c>
      <c r="AT49" s="21">
        <v>1</v>
      </c>
      <c r="AU49" s="21">
        <v>1</v>
      </c>
      <c r="AV49" s="21">
        <v>1</v>
      </c>
      <c r="AW49" s="21">
        <v>1</v>
      </c>
      <c r="AX49" s="21">
        <v>1</v>
      </c>
      <c r="AY49" s="21">
        <v>1</v>
      </c>
      <c r="AZ49" s="7"/>
      <c r="BA49" s="37"/>
      <c r="BB49" s="37"/>
      <c r="BC49" s="37"/>
      <c r="BD49" s="42"/>
      <c r="BE49" s="42"/>
      <c r="BF49" s="42"/>
      <c r="BG49" s="42"/>
      <c r="BH49" s="42"/>
      <c r="BI49" s="42"/>
      <c r="BJ49" s="42"/>
      <c r="BK49" s="42"/>
      <c r="BL49" s="42"/>
      <c r="BM49" s="42"/>
      <c r="BN49" s="42"/>
    </row>
    <row r="50" spans="1:66" s="5" customFormat="1" x14ac:dyDescent="0.25">
      <c r="A50" s="7"/>
      <c r="B50" s="5" t="str">
        <f t="array" ref="B50">IFERROR(INDEX(DemandSupply,MATCH(INDEX($R$1:R50,SMALL(ROW($R$1:R50)+(10000*($R$1:R50="")),COUNTA($R$1:R50))),Sectors,0)),"")</f>
        <v>Demand</v>
      </c>
      <c r="M50" s="7"/>
      <c r="N50" s="76"/>
      <c r="O50" s="77"/>
      <c r="P50" s="77"/>
      <c r="Q50" s="82"/>
      <c r="R50" s="77"/>
      <c r="S50" s="76"/>
      <c r="T50" s="79"/>
      <c r="U50" s="83"/>
      <c r="V50" s="77"/>
      <c r="W50" s="77"/>
      <c r="X50" s="76"/>
      <c r="Y50" s="77"/>
      <c r="Z50" s="76"/>
      <c r="AA50" s="77"/>
      <c r="AB50" s="76"/>
      <c r="AC50" s="77"/>
      <c r="AD50" s="76"/>
      <c r="AE50" s="77"/>
      <c r="AF50" s="76"/>
      <c r="AG50" s="77"/>
      <c r="AH50" s="76"/>
      <c r="AI50" s="7"/>
      <c r="AJ50" s="27" t="str">
        <f>IFERROR(INDEX($N50:$AH50,MATCH(TRUE,INDEX(($N50:$AH50&lt;&gt;0),0),0)),"")</f>
        <v/>
      </c>
      <c r="AK50" s="6"/>
      <c r="AL50" s="6"/>
      <c r="AM50" s="6"/>
      <c r="AN50" s="11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7"/>
      <c r="BA50" s="15"/>
      <c r="BB50" s="15"/>
      <c r="BC50" s="15"/>
      <c r="BD50" s="41"/>
      <c r="BE50" s="41"/>
      <c r="BF50" s="41"/>
      <c r="BG50" s="41"/>
      <c r="BH50" s="41"/>
      <c r="BI50" s="41"/>
      <c r="BJ50" s="41"/>
      <c r="BK50" s="41"/>
      <c r="BL50" s="41"/>
      <c r="BM50" s="41"/>
      <c r="BN50" s="41"/>
    </row>
    <row r="51" spans="1:66" s="5" customFormat="1" x14ac:dyDescent="0.25">
      <c r="A51" s="7"/>
      <c r="B51" s="5" t="str">
        <f t="array" ref="B51">IFERROR(INDEX(DemandSupply,MATCH(INDEX($R$1:R51,SMALL(ROW($R$1:R51)+(10000*($R$1:R51="")),COUNTA($R$1:R51))),Sectors,0)),"")</f>
        <v>Demand</v>
      </c>
      <c r="M51" s="7"/>
      <c r="N51" s="76"/>
      <c r="O51" s="77"/>
      <c r="P51" s="77"/>
      <c r="Q51" s="82"/>
      <c r="R51" s="77"/>
      <c r="S51" s="76"/>
      <c r="T51" s="77"/>
      <c r="U51" s="81"/>
      <c r="V51" s="32" t="s">
        <v>1</v>
      </c>
      <c r="W51" s="82"/>
      <c r="X51" s="77"/>
      <c r="Y51" s="77"/>
      <c r="Z51" s="76"/>
      <c r="AA51" s="77"/>
      <c r="AB51" s="76"/>
      <c r="AC51" s="77"/>
      <c r="AD51" s="76"/>
      <c r="AE51" s="77"/>
      <c r="AF51" s="76"/>
      <c r="AG51" s="77"/>
      <c r="AH51" s="76"/>
      <c r="AI51" s="7"/>
      <c r="AJ51" s="28" t="str">
        <f>IFERROR(INDEX($N51:$AH51,MATCH(TRUE,INDEX(($N51:$AH51&lt;&gt;0),0),0)),"")</f>
        <v>Shell</v>
      </c>
      <c r="AK51" s="6"/>
      <c r="AL51" s="6"/>
      <c r="AM51" s="6"/>
      <c r="AN51" s="11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7"/>
      <c r="BA51" s="15"/>
      <c r="BB51" s="15"/>
      <c r="BC51" s="15"/>
      <c r="BD51" s="41"/>
      <c r="BE51" s="41"/>
      <c r="BF51" s="41"/>
      <c r="BG51" s="41"/>
      <c r="BH51" s="41"/>
      <c r="BI51" s="41"/>
      <c r="BJ51" s="41"/>
      <c r="BK51" s="41"/>
      <c r="BL51" s="41"/>
      <c r="BM51" s="41"/>
      <c r="BN51" s="41"/>
    </row>
    <row r="52" spans="1:66" s="5" customFormat="1" hidden="1" x14ac:dyDescent="0.25">
      <c r="A52" s="7"/>
      <c r="B52" s="5" t="str">
        <f t="array" ref="B52">IFERROR(INDEX(DemandSupply,MATCH(INDEX($R$1:R52,SMALL(ROW($R$1:R52)+(10000*($R$1:R52="")),COUNTA($R$1:R52))),Sectors,0)),"")</f>
        <v>Demand</v>
      </c>
      <c r="M52" s="7"/>
      <c r="N52" s="76"/>
      <c r="O52" s="77"/>
      <c r="P52" s="77"/>
      <c r="Q52" s="82"/>
      <c r="R52" s="77"/>
      <c r="S52" s="76"/>
      <c r="T52" s="77"/>
      <c r="U52" s="82"/>
      <c r="V52" s="77"/>
      <c r="W52" s="82"/>
      <c r="X52" s="77"/>
      <c r="Y52" s="77"/>
      <c r="Z52" s="76"/>
      <c r="AA52" s="77"/>
      <c r="AB52" s="76"/>
      <c r="AC52" s="77"/>
      <c r="AD52" s="76"/>
      <c r="AE52" s="77"/>
      <c r="AF52" s="76"/>
      <c r="AG52" s="77"/>
      <c r="AH52" s="76"/>
      <c r="AI52" s="7"/>
      <c r="AJ52" s="27" t="str">
        <f>IFERROR(INDEX($N52:$AH52,MATCH(TRUE,INDEX(($N52:$AH52&lt;&gt;0),0),0)),"")</f>
        <v/>
      </c>
      <c r="AK52" s="3" t="s">
        <v>93</v>
      </c>
      <c r="AL52" s="3" t="s">
        <v>148</v>
      </c>
      <c r="AM52" s="3" t="s">
        <v>39</v>
      </c>
      <c r="AN52" s="18" t="s">
        <v>1</v>
      </c>
      <c r="AO52" s="3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7"/>
      <c r="BA52" s="37"/>
      <c r="BB52" s="37"/>
      <c r="BC52" s="37"/>
      <c r="BD52" s="42"/>
      <c r="BE52" s="41"/>
      <c r="BF52" s="41"/>
      <c r="BG52" s="41"/>
      <c r="BH52" s="41"/>
      <c r="BI52" s="41"/>
      <c r="BJ52" s="41"/>
      <c r="BK52" s="41"/>
      <c r="BL52" s="41"/>
      <c r="BM52" s="41"/>
      <c r="BN52" s="41"/>
    </row>
    <row r="53" spans="1:66" s="5" customFormat="1" hidden="1" x14ac:dyDescent="0.25">
      <c r="A53" s="7"/>
      <c r="B53" s="5" t="str">
        <f t="array" ref="B53">IFERROR(INDEX(DemandSupply,MATCH(INDEX($R$1:R53,SMALL(ROW($R$1:R53)+(10000*($R$1:R53="")),COUNTA($R$1:R53))),Sectors,0)),"")</f>
        <v>Demand</v>
      </c>
      <c r="M53" s="7"/>
      <c r="N53" s="76"/>
      <c r="O53" s="77"/>
      <c r="P53" s="77"/>
      <c r="Q53" s="82"/>
      <c r="R53" s="77"/>
      <c r="S53" s="76"/>
      <c r="T53" s="77"/>
      <c r="U53" s="82"/>
      <c r="V53" s="77"/>
      <c r="W53" s="82"/>
      <c r="X53" s="77"/>
      <c r="Y53" s="77"/>
      <c r="Z53" s="76"/>
      <c r="AA53" s="77"/>
      <c r="AB53" s="76"/>
      <c r="AC53" s="77"/>
      <c r="AD53" s="76"/>
      <c r="AE53" s="77"/>
      <c r="AF53" s="76"/>
      <c r="AG53" s="77"/>
      <c r="AH53" s="76"/>
      <c r="AI53" s="7"/>
      <c r="AJ53" s="27" t="str">
        <f>IFERROR(INDEX($N53:$AH53,MATCH(TRUE,INDEX(($N53:$AH53&lt;&gt;0),0),0)),"")</f>
        <v/>
      </c>
      <c r="AK53" s="3" t="s">
        <v>58</v>
      </c>
      <c r="AL53" s="3"/>
      <c r="AM53" s="3"/>
      <c r="AN53" s="18" t="s">
        <v>23</v>
      </c>
      <c r="AO53" s="3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7"/>
      <c r="BA53" s="37"/>
      <c r="BB53" s="37"/>
      <c r="BC53" s="37"/>
      <c r="BD53" s="42"/>
      <c r="BE53" s="41"/>
      <c r="BF53" s="41"/>
      <c r="BG53" s="41"/>
      <c r="BH53" s="41"/>
      <c r="BI53" s="41"/>
      <c r="BJ53" s="41"/>
      <c r="BK53" s="41"/>
      <c r="BL53" s="41"/>
      <c r="BM53" s="41"/>
      <c r="BN53" s="41"/>
    </row>
    <row r="54" spans="1:66" s="5" customFormat="1" hidden="1" x14ac:dyDescent="0.25">
      <c r="A54" s="7"/>
      <c r="B54" s="5" t="str">
        <f t="array" ref="B54">IFERROR(INDEX(DemandSupply,MATCH(INDEX($R$1:R54,SMALL(ROW($R$1:R54)+(10000*($R$1:R54="")),COUNTA($R$1:R54))),Sectors,0)),"")</f>
        <v>Demand</v>
      </c>
      <c r="M54" s="7"/>
      <c r="N54" s="76"/>
      <c r="O54" s="77"/>
      <c r="P54" s="77"/>
      <c r="Q54" s="82"/>
      <c r="R54" s="77"/>
      <c r="S54" s="76"/>
      <c r="T54" s="77"/>
      <c r="U54" s="82"/>
      <c r="V54" s="77"/>
      <c r="W54" s="82"/>
      <c r="X54" s="77"/>
      <c r="Y54" s="77"/>
      <c r="Z54" s="76"/>
      <c r="AA54" s="77"/>
      <c r="AB54" s="76"/>
      <c r="AC54" s="77"/>
      <c r="AD54" s="76"/>
      <c r="AE54" s="77"/>
      <c r="AF54" s="76"/>
      <c r="AG54" s="77"/>
      <c r="AH54" s="76"/>
      <c r="AI54" s="7"/>
      <c r="AJ54" s="27" t="str">
        <f>IFERROR(INDEX($N54:$AH54,MATCH(TRUE,INDEX(($N54:$AH54&lt;&gt;0),0),0)),"")</f>
        <v/>
      </c>
      <c r="AK54" s="3" t="s">
        <v>80</v>
      </c>
      <c r="AL54" s="3"/>
      <c r="AM54" s="3"/>
      <c r="AN54" s="18" t="s">
        <v>37</v>
      </c>
      <c r="AO54" s="3">
        <v>10</v>
      </c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7"/>
      <c r="BA54" s="37"/>
      <c r="BB54" s="37"/>
      <c r="BC54" s="37"/>
      <c r="BD54" s="42"/>
      <c r="BE54" s="41"/>
      <c r="BF54" s="41"/>
      <c r="BG54" s="41"/>
      <c r="BH54" s="41"/>
      <c r="BI54" s="41"/>
      <c r="BJ54" s="41"/>
      <c r="BK54" s="41"/>
      <c r="BL54" s="41"/>
      <c r="BM54" s="41"/>
      <c r="BN54" s="41"/>
    </row>
    <row r="55" spans="1:66" s="5" customFormat="1" hidden="1" x14ac:dyDescent="0.25">
      <c r="A55" s="7"/>
      <c r="B55" s="5" t="str">
        <f t="array" ref="B55">IFERROR(INDEX(DemandSupply,MATCH(INDEX($R$1:R55,SMALL(ROW($R$1:R55)+(10000*($R$1:R55="")),COUNTA($R$1:R55))),Sectors,0)),"")</f>
        <v>Demand</v>
      </c>
      <c r="M55" s="7"/>
      <c r="N55" s="76"/>
      <c r="O55" s="77"/>
      <c r="P55" s="77"/>
      <c r="Q55" s="82"/>
      <c r="R55" s="77"/>
      <c r="S55" s="76"/>
      <c r="T55" s="77"/>
      <c r="U55" s="82"/>
      <c r="V55" s="77"/>
      <c r="W55" s="82"/>
      <c r="X55" s="77"/>
      <c r="Y55" s="77"/>
      <c r="Z55" s="76"/>
      <c r="AA55" s="77"/>
      <c r="AB55" s="76"/>
      <c r="AC55" s="77"/>
      <c r="AD55" s="76"/>
      <c r="AE55" s="77"/>
      <c r="AF55" s="76"/>
      <c r="AG55" s="77"/>
      <c r="AH55" s="76"/>
      <c r="AI55" s="7"/>
      <c r="AJ55" s="27" t="str">
        <f>IFERROR(INDEX($N55:$AH55,MATCH(TRUE,INDEX(($N55:$AH55&lt;&gt;0),0),0)),"")</f>
        <v/>
      </c>
      <c r="AK55" s="3" t="s">
        <v>63</v>
      </c>
      <c r="AL55" s="3"/>
      <c r="AM55" s="3"/>
      <c r="AN55" s="18" t="s">
        <v>30</v>
      </c>
      <c r="AO55" s="3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7"/>
      <c r="BA55" s="37"/>
      <c r="BB55" s="37"/>
      <c r="BC55" s="37"/>
      <c r="BD55" s="42"/>
      <c r="BE55" s="41"/>
      <c r="BF55" s="41"/>
      <c r="BG55" s="41"/>
      <c r="BH55" s="41"/>
      <c r="BI55" s="41"/>
      <c r="BJ55" s="41"/>
      <c r="BK55" s="41"/>
      <c r="BL55" s="41"/>
      <c r="BM55" s="41"/>
      <c r="BN55" s="41"/>
    </row>
    <row r="56" spans="1:66" s="5" customFormat="1" hidden="1" x14ac:dyDescent="0.25">
      <c r="A56" s="7"/>
      <c r="B56" s="5" t="str">
        <f t="array" ref="B56">IFERROR(INDEX(DemandSupply,MATCH(INDEX($R$1:R56,SMALL(ROW($R$1:R56)+(10000*($R$1:R56="")),COUNTA($R$1:R56))),Sectors,0)),"")</f>
        <v>Demand</v>
      </c>
      <c r="M56" s="7"/>
      <c r="N56" s="76"/>
      <c r="O56" s="77"/>
      <c r="P56" s="77"/>
      <c r="Q56" s="82"/>
      <c r="R56" s="77"/>
      <c r="S56" s="76"/>
      <c r="T56" s="77"/>
      <c r="U56" s="82"/>
      <c r="V56" s="77"/>
      <c r="W56" s="82"/>
      <c r="X56" s="77"/>
      <c r="Y56" s="77"/>
      <c r="Z56" s="76"/>
      <c r="AA56" s="77"/>
      <c r="AB56" s="76"/>
      <c r="AC56" s="77"/>
      <c r="AD56" s="76"/>
      <c r="AE56" s="77"/>
      <c r="AF56" s="76"/>
      <c r="AG56" s="77"/>
      <c r="AH56" s="76"/>
      <c r="AI56" s="7"/>
      <c r="AJ56" s="27" t="str">
        <f>IFERROR(INDEX($N56:$AH56,MATCH(TRUE,INDEX(($N56:$AH56&lt;&gt;0),0),0)),"")</f>
        <v/>
      </c>
      <c r="AK56" s="3" t="s">
        <v>41</v>
      </c>
      <c r="AL56" s="3"/>
      <c r="AM56" s="3" t="s">
        <v>43</v>
      </c>
      <c r="AN56" s="18" t="s">
        <v>30</v>
      </c>
      <c r="AO56" s="3">
        <v>1990</v>
      </c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7"/>
      <c r="BA56" s="37"/>
      <c r="BB56" s="37"/>
      <c r="BC56" s="37"/>
      <c r="BD56" s="42"/>
      <c r="BE56" s="41"/>
      <c r="BF56" s="41"/>
      <c r="BG56" s="41"/>
      <c r="BH56" s="41"/>
      <c r="BI56" s="41"/>
      <c r="BJ56" s="41"/>
      <c r="BK56" s="41"/>
      <c r="BL56" s="41"/>
      <c r="BM56" s="41"/>
      <c r="BN56" s="41"/>
    </row>
    <row r="57" spans="1:66" s="5" customFormat="1" hidden="1" x14ac:dyDescent="0.25">
      <c r="A57" s="7"/>
      <c r="B57" s="5" t="str">
        <f t="array" ref="B57">IFERROR(INDEX(DemandSupply,MATCH(INDEX($R$1:R57,SMALL(ROW($R$1:R57)+(10000*($R$1:R57="")),COUNTA($R$1:R57))),Sectors,0)),"")</f>
        <v>Demand</v>
      </c>
      <c r="M57" s="7"/>
      <c r="N57" s="76"/>
      <c r="O57" s="77"/>
      <c r="P57" s="77"/>
      <c r="Q57" s="82"/>
      <c r="R57" s="77"/>
      <c r="S57" s="76"/>
      <c r="T57" s="77"/>
      <c r="U57" s="82"/>
      <c r="V57" s="77"/>
      <c r="W57" s="82"/>
      <c r="X57" s="77"/>
      <c r="Y57" s="77"/>
      <c r="Z57" s="76"/>
      <c r="AA57" s="77"/>
      <c r="AB57" s="76"/>
      <c r="AC57" s="77"/>
      <c r="AD57" s="76"/>
      <c r="AE57" s="77"/>
      <c r="AF57" s="76"/>
      <c r="AG57" s="77"/>
      <c r="AH57" s="76"/>
      <c r="AI57" s="7"/>
      <c r="AJ57" s="27" t="str">
        <f>IFERROR(INDEX($N57:$AH57,MATCH(TRUE,INDEX(($N57:$AH57&lt;&gt;0),0),0)),"")</f>
        <v/>
      </c>
      <c r="AK57" s="3" t="s">
        <v>40</v>
      </c>
      <c r="AL57" s="3"/>
      <c r="AM57" s="3" t="s">
        <v>43</v>
      </c>
      <c r="AN57" s="18" t="s">
        <v>30</v>
      </c>
      <c r="AO57" s="3">
        <v>2000</v>
      </c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7"/>
      <c r="BA57" s="37"/>
      <c r="BB57" s="37"/>
      <c r="BC57" s="37"/>
      <c r="BD57" s="42"/>
      <c r="BE57" s="41"/>
      <c r="BF57" s="41"/>
      <c r="BG57" s="41"/>
      <c r="BH57" s="41"/>
      <c r="BI57" s="41"/>
      <c r="BJ57" s="41"/>
      <c r="BK57" s="41"/>
      <c r="BL57" s="41"/>
      <c r="BM57" s="41"/>
      <c r="BN57" s="41"/>
    </row>
    <row r="58" spans="1:66" s="5" customFormat="1" hidden="1" x14ac:dyDescent="0.25">
      <c r="A58" s="7"/>
      <c r="B58" s="5" t="str">
        <f t="array" ref="B58">IFERROR(INDEX(DemandSupply,MATCH(INDEX($R$1:R58,SMALL(ROW($R$1:R58)+(10000*($R$1:R58="")),COUNTA($R$1:R58))),Sectors,0)),"")</f>
        <v>Demand</v>
      </c>
      <c r="M58" s="7"/>
      <c r="N58" s="76"/>
      <c r="O58" s="77"/>
      <c r="P58" s="77"/>
      <c r="Q58" s="82"/>
      <c r="R58" s="77"/>
      <c r="S58" s="76"/>
      <c r="T58" s="77"/>
      <c r="U58" s="82"/>
      <c r="V58" s="77"/>
      <c r="W58" s="82"/>
      <c r="X58" s="77"/>
      <c r="Y58" s="77"/>
      <c r="Z58" s="76"/>
      <c r="AA58" s="77"/>
      <c r="AB58" s="76"/>
      <c r="AC58" s="77"/>
      <c r="AD58" s="76"/>
      <c r="AE58" s="77"/>
      <c r="AF58" s="76"/>
      <c r="AG58" s="77"/>
      <c r="AH58" s="76"/>
      <c r="AI58" s="7"/>
      <c r="AJ58" s="27" t="str">
        <f>IFERROR(INDEX($N58:$AH58,MATCH(TRUE,INDEX(($N58:$AH58&lt;&gt;0),0),0)),"")</f>
        <v/>
      </c>
      <c r="AK58" s="3" t="s">
        <v>42</v>
      </c>
      <c r="AL58" s="3"/>
      <c r="AM58" s="3" t="s">
        <v>10</v>
      </c>
      <c r="AN58" s="18" t="s">
        <v>30</v>
      </c>
      <c r="AO58" s="3">
        <v>25</v>
      </c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7"/>
      <c r="BA58" s="37"/>
      <c r="BB58" s="37"/>
      <c r="BC58" s="37"/>
      <c r="BD58" s="42"/>
      <c r="BE58" s="41"/>
      <c r="BF58" s="41"/>
      <c r="BG58" s="41"/>
      <c r="BH58" s="41"/>
      <c r="BI58" s="41"/>
      <c r="BJ58" s="41"/>
      <c r="BK58" s="41"/>
      <c r="BL58" s="41"/>
      <c r="BM58" s="41"/>
      <c r="BN58" s="41"/>
    </row>
    <row r="59" spans="1:66" s="5" customFormat="1" hidden="1" x14ac:dyDescent="0.25">
      <c r="A59" s="7"/>
      <c r="B59" s="5" t="str">
        <f t="array" ref="B59">IFERROR(INDEX(DemandSupply,MATCH(INDEX($R$1:R59,SMALL(ROW($R$1:R59)+(10000*($R$1:R59="")),COUNTA($R$1:R59))),Sectors,0)),"")</f>
        <v>Demand</v>
      </c>
      <c r="M59" s="7"/>
      <c r="N59" s="76"/>
      <c r="O59" s="77"/>
      <c r="P59" s="77"/>
      <c r="Q59" s="82"/>
      <c r="R59" s="77"/>
      <c r="S59" s="76"/>
      <c r="T59" s="77"/>
      <c r="U59" s="82"/>
      <c r="V59" s="77"/>
      <c r="W59" s="82"/>
      <c r="X59" s="77"/>
      <c r="Y59" s="77"/>
      <c r="Z59" s="76"/>
      <c r="AA59" s="77"/>
      <c r="AB59" s="76"/>
      <c r="AC59" s="77"/>
      <c r="AD59" s="76"/>
      <c r="AE59" s="77"/>
      <c r="AF59" s="76"/>
      <c r="AG59" s="77"/>
      <c r="AH59" s="76"/>
      <c r="AI59" s="7"/>
      <c r="AJ59" s="27" t="str">
        <f>IFERROR(INDEX($N59:$AH59,MATCH(TRUE,INDEX(($N59:$AH59&lt;&gt;0),0),0)),"")</f>
        <v/>
      </c>
      <c r="AK59" s="3" t="s">
        <v>67</v>
      </c>
      <c r="AL59" s="3"/>
      <c r="AM59" s="3" t="s">
        <v>118</v>
      </c>
      <c r="AN59" s="18" t="s">
        <v>30</v>
      </c>
      <c r="AO59" s="3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7"/>
      <c r="BA59" s="37"/>
      <c r="BB59" s="37"/>
      <c r="BC59" s="37"/>
      <c r="BD59" s="42"/>
      <c r="BE59" s="41"/>
      <c r="BF59" s="41"/>
      <c r="BG59" s="41"/>
      <c r="BH59" s="41"/>
      <c r="BI59" s="41"/>
      <c r="BJ59" s="41"/>
      <c r="BK59" s="41"/>
      <c r="BL59" s="41"/>
      <c r="BM59" s="41"/>
      <c r="BN59" s="41"/>
    </row>
    <row r="60" spans="1:66" s="5" customFormat="1" hidden="1" x14ac:dyDescent="0.25">
      <c r="A60" s="7"/>
      <c r="B60" s="5" t="str">
        <f t="array" ref="B60">IFERROR(INDEX(DemandSupply,MATCH(INDEX($R$1:R60,SMALL(ROW($R$1:R60)+(10000*($R$1:R60="")),COUNTA($R$1:R60))),Sectors,0)),"")</f>
        <v>Demand</v>
      </c>
      <c r="M60" s="7"/>
      <c r="N60" s="76"/>
      <c r="O60" s="77"/>
      <c r="P60" s="77"/>
      <c r="Q60" s="82"/>
      <c r="R60" s="77"/>
      <c r="S60" s="76"/>
      <c r="T60" s="77"/>
      <c r="U60" s="82"/>
      <c r="V60" s="77"/>
      <c r="W60" s="82"/>
      <c r="X60" s="77"/>
      <c r="Y60" s="77"/>
      <c r="Z60" s="76"/>
      <c r="AA60" s="77"/>
      <c r="AB60" s="76"/>
      <c r="AC60" s="77"/>
      <c r="AD60" s="76"/>
      <c r="AE60" s="77"/>
      <c r="AF60" s="76"/>
      <c r="AG60" s="77"/>
      <c r="AH60" s="76"/>
      <c r="AI60" s="7"/>
      <c r="AJ60" s="27" t="str">
        <f>IFERROR(INDEX($N60:$AH60,MATCH(TRUE,INDEX(($N60:$AH60&lt;&gt;0),0),0)),"")</f>
        <v/>
      </c>
      <c r="AK60" s="3" t="s">
        <v>38</v>
      </c>
      <c r="AL60" s="3"/>
      <c r="AM60" s="3" t="s">
        <v>68</v>
      </c>
      <c r="AN60" s="18" t="s">
        <v>30</v>
      </c>
      <c r="AO60" s="23"/>
      <c r="AP60" s="162"/>
      <c r="AQ60" s="162"/>
      <c r="AR60" s="162"/>
      <c r="AS60" s="162"/>
      <c r="AT60" s="162"/>
      <c r="AU60" s="162"/>
      <c r="AV60" s="162"/>
      <c r="AW60" s="162"/>
      <c r="AX60" s="162"/>
      <c r="AY60" s="162"/>
      <c r="AZ60" s="7"/>
      <c r="BA60" s="37"/>
      <c r="BB60" s="37"/>
      <c r="BC60" s="37"/>
      <c r="BD60" s="42"/>
      <c r="BE60" s="41"/>
      <c r="BF60" s="41"/>
      <c r="BG60" s="41"/>
      <c r="BH60" s="41"/>
      <c r="BI60" s="41"/>
      <c r="BJ60" s="41"/>
      <c r="BK60" s="41"/>
      <c r="BL60" s="41"/>
      <c r="BM60" s="41"/>
      <c r="BN60" s="41"/>
    </row>
    <row r="61" spans="1:66" s="5" customFormat="1" hidden="1" x14ac:dyDescent="0.25">
      <c r="A61" s="7"/>
      <c r="B61" s="5" t="str">
        <f t="array" ref="B61">IFERROR(INDEX(DemandSupply,MATCH(INDEX($R$1:R61,SMALL(ROW($R$1:R61)+(10000*($R$1:R61="")),COUNTA($R$1:R61))),Sectors,0)),"")</f>
        <v>Demand</v>
      </c>
      <c r="M61" s="7"/>
      <c r="N61" s="76"/>
      <c r="O61" s="77"/>
      <c r="P61" s="77"/>
      <c r="Q61" s="82"/>
      <c r="R61" s="77"/>
      <c r="S61" s="76"/>
      <c r="T61" s="77"/>
      <c r="U61" s="82"/>
      <c r="V61" s="77"/>
      <c r="W61" s="82"/>
      <c r="X61" s="77"/>
      <c r="Y61" s="77"/>
      <c r="Z61" s="76"/>
      <c r="AA61" s="77"/>
      <c r="AB61" s="76"/>
      <c r="AC61" s="77"/>
      <c r="AD61" s="76"/>
      <c r="AE61" s="77"/>
      <c r="AF61" s="76"/>
      <c r="AG61" s="77"/>
      <c r="AH61" s="76"/>
      <c r="AI61" s="7"/>
      <c r="AJ61" s="27" t="str">
        <f>IFERROR(INDEX($N61:$AH61,MATCH(TRUE,INDEX(($N61:$AH61&lt;&gt;0),0),0)),"")</f>
        <v/>
      </c>
      <c r="AK61" s="3" t="s">
        <v>44</v>
      </c>
      <c r="AL61" s="3"/>
      <c r="AM61" s="3" t="s">
        <v>68</v>
      </c>
      <c r="AN61" s="18" t="s">
        <v>30</v>
      </c>
      <c r="AO61" s="23"/>
      <c r="AP61" s="162"/>
      <c r="AQ61" s="162"/>
      <c r="AR61" s="162"/>
      <c r="AS61" s="162"/>
      <c r="AT61" s="162"/>
      <c r="AU61" s="162"/>
      <c r="AV61" s="162"/>
      <c r="AW61" s="162"/>
      <c r="AX61" s="162"/>
      <c r="AY61" s="162"/>
      <c r="AZ61" s="7"/>
      <c r="BA61" s="37"/>
      <c r="BB61" s="37"/>
      <c r="BC61" s="37"/>
      <c r="BD61" s="42"/>
      <c r="BE61" s="41"/>
      <c r="BF61" s="41"/>
      <c r="BG61" s="41"/>
      <c r="BH61" s="41"/>
      <c r="BI61" s="41"/>
      <c r="BJ61" s="41"/>
      <c r="BK61" s="41"/>
      <c r="BL61" s="41"/>
      <c r="BM61" s="41"/>
      <c r="BN61" s="41"/>
    </row>
    <row r="62" spans="1:66" s="5" customFormat="1" hidden="1" x14ac:dyDescent="0.25">
      <c r="A62" s="7"/>
      <c r="B62" s="5" t="str">
        <f t="array" ref="B62">IFERROR(INDEX(DemandSupply,MATCH(INDEX($R$1:R62,SMALL(ROW($R$1:R62)+(10000*($R$1:R62="")),COUNTA($R$1:R62))),Sectors,0)),"")</f>
        <v>Demand</v>
      </c>
      <c r="M62" s="7"/>
      <c r="N62" s="76"/>
      <c r="O62" s="77"/>
      <c r="P62" s="77"/>
      <c r="Q62" s="82"/>
      <c r="R62" s="77"/>
      <c r="S62" s="76"/>
      <c r="T62" s="77"/>
      <c r="U62" s="82"/>
      <c r="V62" s="77"/>
      <c r="W62" s="82"/>
      <c r="X62" s="77"/>
      <c r="Y62" s="77"/>
      <c r="Z62" s="76"/>
      <c r="AA62" s="77"/>
      <c r="AB62" s="76"/>
      <c r="AC62" s="77"/>
      <c r="AD62" s="76"/>
      <c r="AE62" s="77"/>
      <c r="AF62" s="76"/>
      <c r="AG62" s="77"/>
      <c r="AH62" s="76"/>
      <c r="AI62" s="7"/>
      <c r="AJ62" s="27" t="str">
        <f>IFERROR(INDEX($N62:$AH62,MATCH(TRUE,INDEX(($N62:$AH62&lt;&gt;0),0),0)),"")</f>
        <v/>
      </c>
      <c r="AK62" s="3" t="s">
        <v>51</v>
      </c>
      <c r="AL62" s="3"/>
      <c r="AM62" s="3" t="s">
        <v>68</v>
      </c>
      <c r="AN62" s="18" t="s">
        <v>30</v>
      </c>
      <c r="AO62" s="23"/>
      <c r="AP62" s="162"/>
      <c r="AQ62" s="162"/>
      <c r="AR62" s="162"/>
      <c r="AS62" s="162"/>
      <c r="AT62" s="162"/>
      <c r="AU62" s="162"/>
      <c r="AV62" s="162"/>
      <c r="AW62" s="162"/>
      <c r="AX62" s="162"/>
      <c r="AY62" s="162"/>
      <c r="AZ62" s="7"/>
      <c r="BA62" s="37"/>
      <c r="BB62" s="37"/>
      <c r="BC62" s="37"/>
      <c r="BD62" s="42"/>
      <c r="BE62" s="41"/>
      <c r="BF62" s="41"/>
      <c r="BG62" s="41"/>
      <c r="BH62" s="41"/>
      <c r="BI62" s="41"/>
      <c r="BJ62" s="41"/>
      <c r="BK62" s="41"/>
      <c r="BL62" s="41"/>
      <c r="BM62" s="41"/>
      <c r="BN62" s="41"/>
    </row>
    <row r="63" spans="1:66" s="5" customFormat="1" hidden="1" x14ac:dyDescent="0.25">
      <c r="A63" s="7"/>
      <c r="B63" s="5" t="str">
        <f t="array" ref="B63">IFERROR(INDEX(DemandSupply,MATCH(INDEX($R$1:R63,SMALL(ROW($R$1:R63)+(10000*($R$1:R63="")),COUNTA($R$1:R63))),Sectors,0)),"")</f>
        <v>Demand</v>
      </c>
      <c r="M63" s="7"/>
      <c r="N63" s="76"/>
      <c r="O63" s="77"/>
      <c r="P63" s="77"/>
      <c r="Q63" s="82"/>
      <c r="R63" s="77"/>
      <c r="S63" s="76"/>
      <c r="T63" s="77"/>
      <c r="U63" s="82"/>
      <c r="V63" s="77"/>
      <c r="W63" s="82"/>
      <c r="X63" s="77"/>
      <c r="Y63" s="77"/>
      <c r="Z63" s="76"/>
      <c r="AA63" s="77"/>
      <c r="AB63" s="76"/>
      <c r="AC63" s="77"/>
      <c r="AD63" s="76"/>
      <c r="AE63" s="77"/>
      <c r="AF63" s="76"/>
      <c r="AG63" s="77"/>
      <c r="AH63" s="76"/>
      <c r="AI63" s="7"/>
      <c r="AJ63" s="27" t="str">
        <f>IFERROR(INDEX($N63:$AH63,MATCH(TRUE,INDEX(($N63:$AH63&lt;&gt;0),0),0)),"")</f>
        <v/>
      </c>
      <c r="AK63" s="3" t="s">
        <v>191</v>
      </c>
      <c r="AL63" s="3"/>
      <c r="AM63" s="3" t="s">
        <v>118</v>
      </c>
      <c r="AN63" s="18" t="s">
        <v>30</v>
      </c>
      <c r="AO63" s="3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7"/>
      <c r="BA63" s="37"/>
      <c r="BB63" s="37"/>
      <c r="BC63" s="37"/>
      <c r="BD63" s="42"/>
      <c r="BE63" s="41"/>
      <c r="BF63" s="41"/>
      <c r="BG63" s="41"/>
      <c r="BH63" s="41"/>
      <c r="BI63" s="41"/>
      <c r="BJ63" s="41"/>
      <c r="BK63" s="41"/>
      <c r="BL63" s="41"/>
      <c r="BM63" s="41"/>
      <c r="BN63" s="41"/>
    </row>
    <row r="64" spans="1:66" s="5" customFormat="1" hidden="1" x14ac:dyDescent="0.25">
      <c r="A64" s="7"/>
      <c r="B64" s="5" t="str">
        <f t="array" ref="B64">IFERROR(INDEX(DemandSupply,MATCH(INDEX($R$1:R64,SMALL(ROW($R$1:R64)+(10000*($R$1:R64="")),COUNTA($R$1:R64))),Sectors,0)),"")</f>
        <v>Demand</v>
      </c>
      <c r="M64" s="7"/>
      <c r="N64" s="76"/>
      <c r="O64" s="77"/>
      <c r="P64" s="77"/>
      <c r="Q64" s="82"/>
      <c r="R64" s="77"/>
      <c r="S64" s="76"/>
      <c r="T64" s="77"/>
      <c r="U64" s="82"/>
      <c r="V64" s="77"/>
      <c r="W64" s="82"/>
      <c r="X64" s="77"/>
      <c r="Y64" s="77"/>
      <c r="Z64" s="76"/>
      <c r="AA64" s="77"/>
      <c r="AB64" s="76"/>
      <c r="AC64" s="77"/>
      <c r="AD64" s="76"/>
      <c r="AE64" s="77"/>
      <c r="AF64" s="76"/>
      <c r="AG64" s="77"/>
      <c r="AH64" s="76"/>
      <c r="AI64" s="7"/>
      <c r="AJ64" s="27" t="str">
        <f>IFERROR(INDEX($N64:$AH64,MATCH(TRUE,INDEX(($N64:$AH64&lt;&gt;0),0),0)),"")</f>
        <v/>
      </c>
      <c r="AK64" s="3" t="s">
        <v>192</v>
      </c>
      <c r="AL64" s="3"/>
      <c r="AM64" s="3" t="s">
        <v>118</v>
      </c>
      <c r="AN64" s="18" t="s">
        <v>30</v>
      </c>
      <c r="AO64" s="3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7"/>
      <c r="BA64" s="37"/>
      <c r="BB64" s="37"/>
      <c r="BC64" s="37"/>
      <c r="BD64" s="42"/>
      <c r="BE64" s="41"/>
      <c r="BF64" s="41"/>
      <c r="BG64" s="41"/>
      <c r="BH64" s="41"/>
      <c r="BI64" s="41"/>
      <c r="BJ64" s="41"/>
      <c r="BK64" s="41"/>
      <c r="BL64" s="41"/>
      <c r="BM64" s="41"/>
      <c r="BN64" s="41"/>
    </row>
    <row r="65" spans="1:66" s="5" customFormat="1" hidden="1" x14ac:dyDescent="0.25">
      <c r="A65" s="7"/>
      <c r="B65" s="5" t="str">
        <f t="array" ref="B65">IFERROR(INDEX(DemandSupply,MATCH(INDEX($R$1:R65,SMALL(ROW($R$1:R65)+(10000*($R$1:R65="")),COUNTA($R$1:R65))),Sectors,0)),"")</f>
        <v>Demand</v>
      </c>
      <c r="M65" s="7"/>
      <c r="N65" s="76"/>
      <c r="O65" s="77"/>
      <c r="P65" s="77"/>
      <c r="Q65" s="82"/>
      <c r="R65" s="77"/>
      <c r="S65" s="76"/>
      <c r="T65" s="77"/>
      <c r="U65" s="82"/>
      <c r="V65" s="77"/>
      <c r="W65" s="82"/>
      <c r="X65" s="77"/>
      <c r="Y65" s="77"/>
      <c r="Z65" s="76"/>
      <c r="AA65" s="77"/>
      <c r="AB65" s="76"/>
      <c r="AC65" s="77"/>
      <c r="AD65" s="76"/>
      <c r="AE65" s="77"/>
      <c r="AF65" s="76"/>
      <c r="AG65" s="77"/>
      <c r="AH65" s="76"/>
      <c r="AI65" s="7"/>
      <c r="AJ65" s="27" t="str">
        <f>IFERROR(INDEX($N65:$AH65,MATCH(TRUE,INDEX(($N65:$AH65&lt;&gt;0),0),0)),"")</f>
        <v/>
      </c>
      <c r="AK65" s="3" t="s">
        <v>94</v>
      </c>
      <c r="AL65" s="3" t="s">
        <v>149</v>
      </c>
      <c r="AM65" s="3" t="s">
        <v>54</v>
      </c>
      <c r="AN65" s="18" t="s">
        <v>30</v>
      </c>
      <c r="AO65" s="22">
        <v>0.997</v>
      </c>
      <c r="AP65" s="161">
        <f>AO65</f>
        <v>0.997</v>
      </c>
      <c r="AQ65" s="161">
        <f t="shared" ref="AQ65:AY66" si="1">AP65</f>
        <v>0.997</v>
      </c>
      <c r="AR65" s="161">
        <f t="shared" si="1"/>
        <v>0.997</v>
      </c>
      <c r="AS65" s="161">
        <f t="shared" si="1"/>
        <v>0.997</v>
      </c>
      <c r="AT65" s="161">
        <f t="shared" si="1"/>
        <v>0.997</v>
      </c>
      <c r="AU65" s="161">
        <f t="shared" si="1"/>
        <v>0.997</v>
      </c>
      <c r="AV65" s="161">
        <f t="shared" si="1"/>
        <v>0.997</v>
      </c>
      <c r="AW65" s="161">
        <f t="shared" si="1"/>
        <v>0.997</v>
      </c>
      <c r="AX65" s="161">
        <f t="shared" si="1"/>
        <v>0.997</v>
      </c>
      <c r="AY65" s="161">
        <f t="shared" si="1"/>
        <v>0.997</v>
      </c>
      <c r="AZ65" s="7"/>
      <c r="BA65" s="37"/>
      <c r="BB65" s="37"/>
      <c r="BC65" s="37"/>
      <c r="BD65" s="42"/>
      <c r="BE65" s="41"/>
      <c r="BF65" s="41"/>
      <c r="BG65" s="41"/>
      <c r="BH65" s="41"/>
      <c r="BI65" s="41"/>
      <c r="BJ65" s="41"/>
      <c r="BK65" s="41"/>
      <c r="BL65" s="41"/>
      <c r="BM65" s="41"/>
      <c r="BN65" s="41"/>
    </row>
    <row r="66" spans="1:66" s="5" customFormat="1" hidden="1" x14ac:dyDescent="0.25">
      <c r="A66" s="7"/>
      <c r="B66" s="5" t="str">
        <f t="array" ref="B66">IFERROR(INDEX(DemandSupply,MATCH(INDEX($R$1:R66,SMALL(ROW($R$1:R66)+(10000*($R$1:R66="")),COUNTA($R$1:R66))),Sectors,0)),"")</f>
        <v>Demand</v>
      </c>
      <c r="M66" s="7"/>
      <c r="N66" s="76"/>
      <c r="O66" s="77"/>
      <c r="P66" s="77"/>
      <c r="Q66" s="82"/>
      <c r="R66" s="77"/>
      <c r="S66" s="76"/>
      <c r="T66" s="77"/>
      <c r="U66" s="82"/>
      <c r="V66" s="77"/>
      <c r="W66" s="82"/>
      <c r="X66" s="77"/>
      <c r="Y66" s="77"/>
      <c r="Z66" s="76"/>
      <c r="AA66" s="77"/>
      <c r="AB66" s="76"/>
      <c r="AC66" s="77"/>
      <c r="AD66" s="76"/>
      <c r="AE66" s="77"/>
      <c r="AF66" s="76"/>
      <c r="AG66" s="77"/>
      <c r="AH66" s="76"/>
      <c r="AI66" s="7"/>
      <c r="AJ66" s="27" t="str">
        <f>IFERROR(INDEX($N66:$AH66,MATCH(TRUE,INDEX(($N66:$AH66&lt;&gt;0),0),0)),"")</f>
        <v/>
      </c>
      <c r="AK66" s="3" t="s">
        <v>94</v>
      </c>
      <c r="AL66" s="3" t="s">
        <v>150</v>
      </c>
      <c r="AM66" s="3" t="s">
        <v>54</v>
      </c>
      <c r="AN66" s="18" t="s">
        <v>30</v>
      </c>
      <c r="AO66" s="22">
        <v>0.109</v>
      </c>
      <c r="AP66" s="161">
        <f>AO66</f>
        <v>0.109</v>
      </c>
      <c r="AQ66" s="161">
        <f t="shared" si="1"/>
        <v>0.109</v>
      </c>
      <c r="AR66" s="161">
        <f t="shared" si="1"/>
        <v>0.109</v>
      </c>
      <c r="AS66" s="161">
        <f t="shared" si="1"/>
        <v>0.109</v>
      </c>
      <c r="AT66" s="161">
        <f t="shared" si="1"/>
        <v>0.109</v>
      </c>
      <c r="AU66" s="161">
        <f t="shared" si="1"/>
        <v>0.109</v>
      </c>
      <c r="AV66" s="161">
        <f t="shared" si="1"/>
        <v>0.109</v>
      </c>
      <c r="AW66" s="161">
        <f t="shared" si="1"/>
        <v>0.109</v>
      </c>
      <c r="AX66" s="161">
        <f t="shared" si="1"/>
        <v>0.109</v>
      </c>
      <c r="AY66" s="161">
        <f t="shared" si="1"/>
        <v>0.109</v>
      </c>
      <c r="AZ66" s="7"/>
      <c r="BA66" s="37"/>
      <c r="BB66" s="37"/>
      <c r="BC66" s="37"/>
      <c r="BD66" s="42"/>
      <c r="BE66" s="41"/>
      <c r="BF66" s="41"/>
      <c r="BG66" s="41"/>
      <c r="BH66" s="41"/>
      <c r="BI66" s="41"/>
      <c r="BJ66" s="41"/>
      <c r="BK66" s="41"/>
      <c r="BL66" s="41"/>
      <c r="BM66" s="41"/>
      <c r="BN66" s="41"/>
    </row>
    <row r="67" spans="1:66" s="5" customFormat="1" hidden="1" x14ac:dyDescent="0.25">
      <c r="A67" s="7"/>
      <c r="B67" s="5" t="str">
        <f t="array" ref="B67">IFERROR(INDEX(DemandSupply,MATCH(INDEX($R$1:R67,SMALL(ROW($R$1:R67)+(10000*($R$1:R67="")),COUNTA($R$1:R67))),Sectors,0)),"")</f>
        <v>Demand</v>
      </c>
      <c r="M67" s="7"/>
      <c r="N67" s="76"/>
      <c r="O67" s="77"/>
      <c r="P67" s="77"/>
      <c r="Q67" s="82"/>
      <c r="R67" s="77"/>
      <c r="S67" s="76"/>
      <c r="T67" s="77"/>
      <c r="U67" s="82"/>
      <c r="V67" s="77"/>
      <c r="W67" s="82"/>
      <c r="X67" s="77"/>
      <c r="Y67" s="77"/>
      <c r="Z67" s="76"/>
      <c r="AA67" s="77"/>
      <c r="AB67" s="76"/>
      <c r="AC67" s="77"/>
      <c r="AD67" s="76"/>
      <c r="AE67" s="77"/>
      <c r="AF67" s="76"/>
      <c r="AG67" s="77"/>
      <c r="AH67" s="76"/>
      <c r="AI67" s="7"/>
      <c r="AJ67" s="27" t="str">
        <f t="shared" ref="AJ67:AJ130" si="2">IFERROR(INDEX($N67:$AH67,MATCH(TRUE,INDEX(($N67:$AH67&lt;&gt;0),0),0)),"")</f>
        <v/>
      </c>
      <c r="AK67" s="3" t="s">
        <v>91</v>
      </c>
      <c r="AL67" s="3"/>
      <c r="AM67" s="3" t="s">
        <v>118</v>
      </c>
      <c r="AN67" s="18" t="s">
        <v>30</v>
      </c>
      <c r="AO67" s="22">
        <v>0.16700000000000001</v>
      </c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7"/>
      <c r="BA67" s="37"/>
      <c r="BB67" s="37"/>
      <c r="BC67" s="37"/>
      <c r="BD67" s="42"/>
      <c r="BE67" s="41"/>
      <c r="BF67" s="41"/>
      <c r="BG67" s="41"/>
      <c r="BH67" s="41"/>
      <c r="BI67" s="41"/>
      <c r="BJ67" s="41"/>
      <c r="BK67" s="41"/>
      <c r="BL67" s="41"/>
      <c r="BM67" s="41"/>
      <c r="BN67" s="41"/>
    </row>
    <row r="68" spans="1:66" s="5" customFormat="1" hidden="1" x14ac:dyDescent="0.25">
      <c r="A68" s="7"/>
      <c r="B68" s="5" t="str">
        <f t="array" ref="B68">IFERROR(INDEX(DemandSupply,MATCH(INDEX($R$1:R68,SMALL(ROW($R$1:R68)+(10000*($R$1:R68="")),COUNTA($R$1:R68))),Sectors,0)),"")</f>
        <v>Demand</v>
      </c>
      <c r="M68" s="7"/>
      <c r="N68" s="76"/>
      <c r="O68" s="77"/>
      <c r="P68" s="77"/>
      <c r="Q68" s="82"/>
      <c r="R68" s="77"/>
      <c r="S68" s="76"/>
      <c r="T68" s="77"/>
      <c r="U68" s="82"/>
      <c r="V68" s="77"/>
      <c r="W68" s="82"/>
      <c r="X68" s="77"/>
      <c r="Y68" s="77"/>
      <c r="Z68" s="76"/>
      <c r="AA68" s="77"/>
      <c r="AB68" s="76"/>
      <c r="AC68" s="77"/>
      <c r="AD68" s="76"/>
      <c r="AE68" s="77"/>
      <c r="AF68" s="76"/>
      <c r="AG68" s="77"/>
      <c r="AH68" s="76"/>
      <c r="AI68" s="7"/>
      <c r="AJ68" s="27" t="str">
        <f t="shared" si="2"/>
        <v/>
      </c>
      <c r="AK68" s="3" t="s">
        <v>63</v>
      </c>
      <c r="AL68" s="3"/>
      <c r="AM68" s="3"/>
      <c r="AN68" s="18" t="s">
        <v>29</v>
      </c>
      <c r="AO68" s="3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7"/>
      <c r="BA68" s="37"/>
      <c r="BB68" s="37"/>
      <c r="BC68" s="37"/>
      <c r="BD68" s="42"/>
      <c r="BE68" s="41"/>
      <c r="BF68" s="41"/>
      <c r="BG68" s="41"/>
      <c r="BH68" s="41"/>
      <c r="BI68" s="41"/>
      <c r="BJ68" s="41"/>
      <c r="BK68" s="41"/>
      <c r="BL68" s="41"/>
      <c r="BM68" s="41"/>
      <c r="BN68" s="41"/>
    </row>
    <row r="69" spans="1:66" s="5" customFormat="1" hidden="1" x14ac:dyDescent="0.25">
      <c r="A69" s="7"/>
      <c r="B69" s="5" t="str">
        <f t="array" ref="B69">IFERROR(INDEX(DemandSupply,MATCH(INDEX($R$1:R69,SMALL(ROW($R$1:R69)+(10000*($R$1:R69="")),COUNTA($R$1:R69))),Sectors,0)),"")</f>
        <v>Demand</v>
      </c>
      <c r="M69" s="7"/>
      <c r="N69" s="76"/>
      <c r="O69" s="77"/>
      <c r="P69" s="77"/>
      <c r="Q69" s="82"/>
      <c r="R69" s="77"/>
      <c r="S69" s="76"/>
      <c r="T69" s="77"/>
      <c r="U69" s="82"/>
      <c r="V69" s="77"/>
      <c r="W69" s="82"/>
      <c r="X69" s="77"/>
      <c r="Y69" s="77"/>
      <c r="Z69" s="76"/>
      <c r="AA69" s="77"/>
      <c r="AB69" s="76"/>
      <c r="AC69" s="77"/>
      <c r="AD69" s="76"/>
      <c r="AE69" s="77"/>
      <c r="AF69" s="76"/>
      <c r="AG69" s="77"/>
      <c r="AH69" s="76"/>
      <c r="AI69" s="7"/>
      <c r="AJ69" s="27" t="str">
        <f t="shared" si="2"/>
        <v/>
      </c>
      <c r="AK69" s="3" t="s">
        <v>41</v>
      </c>
      <c r="AL69" s="3"/>
      <c r="AM69" s="3" t="s">
        <v>43</v>
      </c>
      <c r="AN69" s="18" t="s">
        <v>29</v>
      </c>
      <c r="AO69" s="3">
        <v>1990</v>
      </c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7"/>
      <c r="BA69" s="37"/>
      <c r="BB69" s="37"/>
      <c r="BC69" s="37"/>
      <c r="BD69" s="42"/>
      <c r="BE69" s="41"/>
      <c r="BF69" s="41"/>
      <c r="BG69" s="41"/>
      <c r="BH69" s="41"/>
      <c r="BI69" s="41"/>
      <c r="BJ69" s="41"/>
      <c r="BK69" s="41"/>
      <c r="BL69" s="41"/>
      <c r="BM69" s="41"/>
      <c r="BN69" s="41"/>
    </row>
    <row r="70" spans="1:66" s="5" customFormat="1" hidden="1" x14ac:dyDescent="0.25">
      <c r="A70" s="7"/>
      <c r="B70" s="5" t="str">
        <f t="array" ref="B70">IFERROR(INDEX(DemandSupply,MATCH(INDEX($R$1:R70,SMALL(ROW($R$1:R70)+(10000*($R$1:R70="")),COUNTA($R$1:R70))),Sectors,0)),"")</f>
        <v>Demand</v>
      </c>
      <c r="M70" s="7"/>
      <c r="N70" s="76"/>
      <c r="O70" s="77"/>
      <c r="P70" s="77"/>
      <c r="Q70" s="82"/>
      <c r="R70" s="77"/>
      <c r="S70" s="76"/>
      <c r="T70" s="77"/>
      <c r="U70" s="82"/>
      <c r="V70" s="77"/>
      <c r="W70" s="82"/>
      <c r="X70" s="77"/>
      <c r="Y70" s="77"/>
      <c r="Z70" s="76"/>
      <c r="AA70" s="77"/>
      <c r="AB70" s="76"/>
      <c r="AC70" s="77"/>
      <c r="AD70" s="76"/>
      <c r="AE70" s="77"/>
      <c r="AF70" s="76"/>
      <c r="AG70" s="77"/>
      <c r="AH70" s="76"/>
      <c r="AI70" s="7"/>
      <c r="AJ70" s="27" t="str">
        <f t="shared" si="2"/>
        <v/>
      </c>
      <c r="AK70" s="3" t="s">
        <v>40</v>
      </c>
      <c r="AL70" s="3"/>
      <c r="AM70" s="3" t="s">
        <v>43</v>
      </c>
      <c r="AN70" s="18" t="s">
        <v>29</v>
      </c>
      <c r="AO70" s="3">
        <v>2000</v>
      </c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7"/>
      <c r="BA70" s="37"/>
      <c r="BB70" s="37"/>
      <c r="BC70" s="37"/>
      <c r="BD70" s="42"/>
      <c r="BE70" s="41"/>
      <c r="BF70" s="41"/>
      <c r="BG70" s="41"/>
      <c r="BH70" s="41"/>
      <c r="BI70" s="41"/>
      <c r="BJ70" s="41"/>
      <c r="BK70" s="41"/>
      <c r="BL70" s="41"/>
      <c r="BM70" s="41"/>
      <c r="BN70" s="41"/>
    </row>
    <row r="71" spans="1:66" s="5" customFormat="1" hidden="1" x14ac:dyDescent="0.25">
      <c r="A71" s="7"/>
      <c r="B71" s="5" t="str">
        <f t="array" ref="B71">IFERROR(INDEX(DemandSupply,MATCH(INDEX($R$1:R71,SMALL(ROW($R$1:R71)+(10000*($R$1:R71="")),COUNTA($R$1:R71))),Sectors,0)),"")</f>
        <v>Demand</v>
      </c>
      <c r="M71" s="7"/>
      <c r="N71" s="76"/>
      <c r="O71" s="77"/>
      <c r="P71" s="77"/>
      <c r="Q71" s="82"/>
      <c r="R71" s="77"/>
      <c r="S71" s="76"/>
      <c r="T71" s="77"/>
      <c r="U71" s="82"/>
      <c r="V71" s="77"/>
      <c r="W71" s="82"/>
      <c r="X71" s="77"/>
      <c r="Y71" s="77"/>
      <c r="Z71" s="76"/>
      <c r="AA71" s="77"/>
      <c r="AB71" s="76"/>
      <c r="AC71" s="77"/>
      <c r="AD71" s="76"/>
      <c r="AE71" s="77"/>
      <c r="AF71" s="76"/>
      <c r="AG71" s="77"/>
      <c r="AH71" s="76"/>
      <c r="AI71" s="7"/>
      <c r="AJ71" s="27" t="str">
        <f t="shared" si="2"/>
        <v/>
      </c>
      <c r="AK71" s="3" t="s">
        <v>42</v>
      </c>
      <c r="AL71" s="3"/>
      <c r="AM71" s="3" t="s">
        <v>10</v>
      </c>
      <c r="AN71" s="18" t="s">
        <v>29</v>
      </c>
      <c r="AO71" s="3">
        <v>25</v>
      </c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7"/>
      <c r="BA71" s="37"/>
      <c r="BB71" s="37"/>
      <c r="BC71" s="37"/>
      <c r="BD71" s="42"/>
      <c r="BE71" s="41"/>
      <c r="BF71" s="41"/>
      <c r="BG71" s="41"/>
      <c r="BH71" s="41"/>
      <c r="BI71" s="41"/>
      <c r="BJ71" s="41"/>
      <c r="BK71" s="41"/>
      <c r="BL71" s="41"/>
      <c r="BM71" s="41"/>
      <c r="BN71" s="41"/>
    </row>
    <row r="72" spans="1:66" s="5" customFormat="1" hidden="1" x14ac:dyDescent="0.25">
      <c r="A72" s="7"/>
      <c r="B72" s="5" t="str">
        <f t="array" ref="B72">IFERROR(INDEX(DemandSupply,MATCH(INDEX($R$1:R72,SMALL(ROW($R$1:R72)+(10000*($R$1:R72="")),COUNTA($R$1:R72))),Sectors,0)),"")</f>
        <v>Demand</v>
      </c>
      <c r="M72" s="7"/>
      <c r="N72" s="76"/>
      <c r="O72" s="77"/>
      <c r="P72" s="77"/>
      <c r="Q72" s="82"/>
      <c r="R72" s="77"/>
      <c r="S72" s="76"/>
      <c r="T72" s="77"/>
      <c r="U72" s="82"/>
      <c r="V72" s="77"/>
      <c r="W72" s="82"/>
      <c r="X72" s="77"/>
      <c r="Y72" s="77"/>
      <c r="Z72" s="76"/>
      <c r="AA72" s="77"/>
      <c r="AB72" s="76"/>
      <c r="AC72" s="77"/>
      <c r="AD72" s="76"/>
      <c r="AE72" s="77"/>
      <c r="AF72" s="76"/>
      <c r="AG72" s="77"/>
      <c r="AH72" s="76"/>
      <c r="AI72" s="7"/>
      <c r="AJ72" s="27" t="str">
        <f t="shared" si="2"/>
        <v/>
      </c>
      <c r="AK72" s="3" t="s">
        <v>67</v>
      </c>
      <c r="AL72" s="3"/>
      <c r="AM72" s="3" t="s">
        <v>118</v>
      </c>
      <c r="AN72" s="18" t="s">
        <v>29</v>
      </c>
      <c r="AO72" s="3">
        <v>0.25</v>
      </c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7"/>
      <c r="BA72" s="37"/>
      <c r="BB72" s="37"/>
      <c r="BC72" s="37"/>
      <c r="BD72" s="42"/>
      <c r="BE72" s="41"/>
      <c r="BF72" s="41"/>
      <c r="BG72" s="41"/>
      <c r="BH72" s="41"/>
      <c r="BI72" s="41"/>
      <c r="BJ72" s="41"/>
      <c r="BK72" s="41"/>
      <c r="BL72" s="41"/>
      <c r="BM72" s="41"/>
      <c r="BN72" s="41"/>
    </row>
    <row r="73" spans="1:66" s="5" customFormat="1" hidden="1" x14ac:dyDescent="0.25">
      <c r="A73" s="7"/>
      <c r="B73" s="5" t="str">
        <f t="array" ref="B73">IFERROR(INDEX(DemandSupply,MATCH(INDEX($R$1:R73,SMALL(ROW($R$1:R73)+(10000*($R$1:R73="")),COUNTA($R$1:R73))),Sectors,0)),"")</f>
        <v>Demand</v>
      </c>
      <c r="M73" s="7"/>
      <c r="N73" s="76"/>
      <c r="O73" s="77"/>
      <c r="P73" s="77"/>
      <c r="Q73" s="82"/>
      <c r="R73" s="77"/>
      <c r="S73" s="76"/>
      <c r="T73" s="77"/>
      <c r="U73" s="82"/>
      <c r="V73" s="77"/>
      <c r="W73" s="82"/>
      <c r="X73" s="77"/>
      <c r="Y73" s="77"/>
      <c r="Z73" s="76"/>
      <c r="AA73" s="77"/>
      <c r="AB73" s="76"/>
      <c r="AC73" s="77"/>
      <c r="AD73" s="76"/>
      <c r="AE73" s="77"/>
      <c r="AF73" s="76"/>
      <c r="AG73" s="77"/>
      <c r="AH73" s="76"/>
      <c r="AI73" s="7"/>
      <c r="AJ73" s="27" t="str">
        <f t="shared" si="2"/>
        <v/>
      </c>
      <c r="AK73" s="3" t="s">
        <v>38</v>
      </c>
      <c r="AL73" s="3"/>
      <c r="AM73" s="3" t="s">
        <v>68</v>
      </c>
      <c r="AN73" s="18" t="s">
        <v>29</v>
      </c>
      <c r="AO73" s="23"/>
      <c r="AP73" s="162"/>
      <c r="AQ73" s="162"/>
      <c r="AR73" s="162"/>
      <c r="AS73" s="162"/>
      <c r="AT73" s="162"/>
      <c r="AU73" s="162"/>
      <c r="AV73" s="162"/>
      <c r="AW73" s="162"/>
      <c r="AX73" s="162"/>
      <c r="AY73" s="162"/>
      <c r="AZ73" s="7"/>
      <c r="BA73" s="37"/>
      <c r="BB73" s="37"/>
      <c r="BC73" s="37"/>
      <c r="BD73" s="42"/>
      <c r="BE73" s="41"/>
      <c r="BF73" s="41"/>
      <c r="BG73" s="41"/>
      <c r="BH73" s="41"/>
      <c r="BI73" s="41"/>
      <c r="BJ73" s="41"/>
      <c r="BK73" s="41"/>
      <c r="BL73" s="41"/>
      <c r="BM73" s="41"/>
      <c r="BN73" s="41"/>
    </row>
    <row r="74" spans="1:66" s="5" customFormat="1" hidden="1" x14ac:dyDescent="0.25">
      <c r="A74" s="7"/>
      <c r="B74" s="5" t="str">
        <f t="array" ref="B74">IFERROR(INDEX(DemandSupply,MATCH(INDEX($R$1:R74,SMALL(ROW($R$1:R74)+(10000*($R$1:R74="")),COUNTA($R$1:R74))),Sectors,0)),"")</f>
        <v>Demand</v>
      </c>
      <c r="M74" s="7"/>
      <c r="N74" s="76"/>
      <c r="O74" s="77"/>
      <c r="P74" s="77"/>
      <c r="Q74" s="82"/>
      <c r="R74" s="77"/>
      <c r="S74" s="76"/>
      <c r="T74" s="77"/>
      <c r="U74" s="82"/>
      <c r="V74" s="77"/>
      <c r="W74" s="82"/>
      <c r="X74" s="77"/>
      <c r="Y74" s="77"/>
      <c r="Z74" s="76"/>
      <c r="AA74" s="77"/>
      <c r="AB74" s="76"/>
      <c r="AC74" s="77"/>
      <c r="AD74" s="76"/>
      <c r="AE74" s="77"/>
      <c r="AF74" s="76"/>
      <c r="AG74" s="77"/>
      <c r="AH74" s="76"/>
      <c r="AI74" s="7"/>
      <c r="AJ74" s="27" t="str">
        <f t="shared" si="2"/>
        <v/>
      </c>
      <c r="AK74" s="3" t="s">
        <v>44</v>
      </c>
      <c r="AL74" s="3"/>
      <c r="AM74" s="3" t="s">
        <v>68</v>
      </c>
      <c r="AN74" s="18" t="s">
        <v>29</v>
      </c>
      <c r="AO74" s="23"/>
      <c r="AP74" s="162"/>
      <c r="AQ74" s="162"/>
      <c r="AR74" s="162"/>
      <c r="AS74" s="162"/>
      <c r="AT74" s="162"/>
      <c r="AU74" s="162"/>
      <c r="AV74" s="162"/>
      <c r="AW74" s="162"/>
      <c r="AX74" s="162"/>
      <c r="AY74" s="162"/>
      <c r="AZ74" s="7"/>
      <c r="BA74" s="37"/>
      <c r="BB74" s="37"/>
      <c r="BC74" s="37"/>
      <c r="BD74" s="42"/>
      <c r="BE74" s="41"/>
      <c r="BF74" s="41"/>
      <c r="BG74" s="41"/>
      <c r="BH74" s="41"/>
      <c r="BI74" s="41"/>
      <c r="BJ74" s="41"/>
      <c r="BK74" s="41"/>
      <c r="BL74" s="41"/>
      <c r="BM74" s="41"/>
      <c r="BN74" s="41"/>
    </row>
    <row r="75" spans="1:66" s="5" customFormat="1" hidden="1" x14ac:dyDescent="0.25">
      <c r="A75" s="7"/>
      <c r="B75" s="5" t="str">
        <f t="array" ref="B75">IFERROR(INDEX(DemandSupply,MATCH(INDEX($R$1:R75,SMALL(ROW($R$1:R75)+(10000*($R$1:R75="")),COUNTA($R$1:R75))),Sectors,0)),"")</f>
        <v>Demand</v>
      </c>
      <c r="M75" s="7"/>
      <c r="N75" s="76"/>
      <c r="O75" s="77"/>
      <c r="P75" s="77"/>
      <c r="Q75" s="82"/>
      <c r="R75" s="77"/>
      <c r="S75" s="76"/>
      <c r="T75" s="77"/>
      <c r="U75" s="82"/>
      <c r="V75" s="77"/>
      <c r="W75" s="82"/>
      <c r="X75" s="77"/>
      <c r="Y75" s="77"/>
      <c r="Z75" s="76"/>
      <c r="AA75" s="77"/>
      <c r="AB75" s="76"/>
      <c r="AC75" s="77"/>
      <c r="AD75" s="76"/>
      <c r="AE75" s="77"/>
      <c r="AF75" s="76"/>
      <c r="AG75" s="77"/>
      <c r="AH75" s="76"/>
      <c r="AI75" s="7"/>
      <c r="AJ75" s="27" t="str">
        <f t="shared" si="2"/>
        <v/>
      </c>
      <c r="AK75" s="3" t="s">
        <v>51</v>
      </c>
      <c r="AL75" s="3"/>
      <c r="AM75" s="3" t="s">
        <v>68</v>
      </c>
      <c r="AN75" s="18" t="s">
        <v>29</v>
      </c>
      <c r="AO75" s="23"/>
      <c r="AP75" s="162"/>
      <c r="AQ75" s="162"/>
      <c r="AR75" s="162"/>
      <c r="AS75" s="162"/>
      <c r="AT75" s="162"/>
      <c r="AU75" s="162"/>
      <c r="AV75" s="162"/>
      <c r="AW75" s="162"/>
      <c r="AX75" s="162"/>
      <c r="AY75" s="162"/>
      <c r="AZ75" s="7"/>
      <c r="BA75" s="37"/>
      <c r="BB75" s="37"/>
      <c r="BC75" s="37"/>
      <c r="BD75" s="42"/>
      <c r="BE75" s="41"/>
      <c r="BF75" s="41"/>
      <c r="BG75" s="41"/>
      <c r="BH75" s="41"/>
      <c r="BI75" s="41"/>
      <c r="BJ75" s="41"/>
      <c r="BK75" s="41"/>
      <c r="BL75" s="41"/>
      <c r="BM75" s="41"/>
      <c r="BN75" s="41"/>
    </row>
    <row r="76" spans="1:66" s="5" customFormat="1" hidden="1" x14ac:dyDescent="0.25">
      <c r="A76" s="7"/>
      <c r="B76" s="5" t="str">
        <f t="array" ref="B76">IFERROR(INDEX(DemandSupply,MATCH(INDEX($R$1:R76,SMALL(ROW($R$1:R76)+(10000*($R$1:R76="")),COUNTA($R$1:R76))),Sectors,0)),"")</f>
        <v>Demand</v>
      </c>
      <c r="M76" s="7"/>
      <c r="N76" s="76"/>
      <c r="O76" s="77"/>
      <c r="P76" s="77"/>
      <c r="Q76" s="82"/>
      <c r="R76" s="77"/>
      <c r="S76" s="76"/>
      <c r="T76" s="77"/>
      <c r="U76" s="82"/>
      <c r="V76" s="77"/>
      <c r="W76" s="82"/>
      <c r="X76" s="77"/>
      <c r="Y76" s="77"/>
      <c r="Z76" s="76"/>
      <c r="AA76" s="77"/>
      <c r="AB76" s="76"/>
      <c r="AC76" s="77"/>
      <c r="AD76" s="76"/>
      <c r="AE76" s="77"/>
      <c r="AF76" s="76"/>
      <c r="AG76" s="77"/>
      <c r="AH76" s="76"/>
      <c r="AI76" s="7"/>
      <c r="AJ76" s="27" t="str">
        <f t="shared" si="2"/>
        <v/>
      </c>
      <c r="AK76" s="3" t="s">
        <v>191</v>
      </c>
      <c r="AL76" s="3"/>
      <c r="AM76" s="3" t="s">
        <v>118</v>
      </c>
      <c r="AN76" s="18" t="s">
        <v>29</v>
      </c>
      <c r="AO76" s="3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7"/>
      <c r="BA76" s="37"/>
      <c r="BB76" s="37"/>
      <c r="BC76" s="37"/>
      <c r="BD76" s="42"/>
      <c r="BE76" s="41"/>
      <c r="BF76" s="41"/>
      <c r="BG76" s="41"/>
      <c r="BH76" s="41"/>
      <c r="BI76" s="41"/>
      <c r="BJ76" s="41"/>
      <c r="BK76" s="41"/>
      <c r="BL76" s="41"/>
      <c r="BM76" s="41"/>
      <c r="BN76" s="41"/>
    </row>
    <row r="77" spans="1:66" s="5" customFormat="1" hidden="1" x14ac:dyDescent="0.25">
      <c r="A77" s="7"/>
      <c r="B77" s="5" t="str">
        <f t="array" ref="B77">IFERROR(INDEX(DemandSupply,MATCH(INDEX($R$1:R77,SMALL(ROW($R$1:R77)+(10000*($R$1:R77="")),COUNTA($R$1:R77))),Sectors,0)),"")</f>
        <v>Demand</v>
      </c>
      <c r="M77" s="7"/>
      <c r="N77" s="76"/>
      <c r="O77" s="77"/>
      <c r="P77" s="77"/>
      <c r="Q77" s="82"/>
      <c r="R77" s="77"/>
      <c r="S77" s="76"/>
      <c r="T77" s="77"/>
      <c r="U77" s="82"/>
      <c r="V77" s="77"/>
      <c r="W77" s="82"/>
      <c r="X77" s="77"/>
      <c r="Y77" s="77"/>
      <c r="Z77" s="76"/>
      <c r="AA77" s="77"/>
      <c r="AB77" s="76"/>
      <c r="AC77" s="77"/>
      <c r="AD77" s="76"/>
      <c r="AE77" s="77"/>
      <c r="AF77" s="76"/>
      <c r="AG77" s="77"/>
      <c r="AH77" s="76"/>
      <c r="AI77" s="7"/>
      <c r="AJ77" s="27" t="str">
        <f t="shared" si="2"/>
        <v/>
      </c>
      <c r="AK77" s="3" t="s">
        <v>192</v>
      </c>
      <c r="AL77" s="3"/>
      <c r="AM77" s="3" t="s">
        <v>118</v>
      </c>
      <c r="AN77" s="18" t="s">
        <v>29</v>
      </c>
      <c r="AO77" s="3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7"/>
      <c r="BA77" s="37"/>
      <c r="BB77" s="37"/>
      <c r="BC77" s="37"/>
      <c r="BD77" s="42"/>
      <c r="BE77" s="41"/>
      <c r="BF77" s="41"/>
      <c r="BG77" s="41"/>
      <c r="BH77" s="41"/>
      <c r="BI77" s="41"/>
      <c r="BJ77" s="41"/>
      <c r="BK77" s="41"/>
      <c r="BL77" s="41"/>
      <c r="BM77" s="41"/>
      <c r="BN77" s="41"/>
    </row>
    <row r="78" spans="1:66" s="5" customFormat="1" hidden="1" x14ac:dyDescent="0.25">
      <c r="A78" s="7"/>
      <c r="B78" s="5" t="str">
        <f t="array" ref="B78">IFERROR(INDEX(DemandSupply,MATCH(INDEX($R$1:R78,SMALL(ROW($R$1:R78)+(10000*($R$1:R78="")),COUNTA($R$1:R78))),Sectors,0)),"")</f>
        <v>Demand</v>
      </c>
      <c r="M78" s="7"/>
      <c r="N78" s="76"/>
      <c r="O78" s="77"/>
      <c r="P78" s="77"/>
      <c r="Q78" s="82"/>
      <c r="R78" s="77"/>
      <c r="S78" s="76"/>
      <c r="T78" s="77"/>
      <c r="U78" s="82"/>
      <c r="V78" s="77"/>
      <c r="W78" s="82"/>
      <c r="X78" s="77"/>
      <c r="Y78" s="77"/>
      <c r="Z78" s="76"/>
      <c r="AA78" s="77"/>
      <c r="AB78" s="76"/>
      <c r="AC78" s="77"/>
      <c r="AD78" s="76"/>
      <c r="AE78" s="77"/>
      <c r="AF78" s="76"/>
      <c r="AG78" s="77"/>
      <c r="AH78" s="76"/>
      <c r="AI78" s="7"/>
      <c r="AJ78" s="27" t="str">
        <f t="shared" si="2"/>
        <v/>
      </c>
      <c r="AK78" s="3" t="s">
        <v>94</v>
      </c>
      <c r="AL78" s="3" t="s">
        <v>149</v>
      </c>
      <c r="AM78" s="3" t="s">
        <v>54</v>
      </c>
      <c r="AN78" s="18" t="s">
        <v>29</v>
      </c>
      <c r="AO78" s="22">
        <v>0.63300000000000001</v>
      </c>
      <c r="AP78" s="161">
        <f t="shared" ref="AP78:AY78" si="3">AO78</f>
        <v>0.63300000000000001</v>
      </c>
      <c r="AQ78" s="161">
        <f t="shared" si="3"/>
        <v>0.63300000000000001</v>
      </c>
      <c r="AR78" s="161">
        <f t="shared" si="3"/>
        <v>0.63300000000000001</v>
      </c>
      <c r="AS78" s="161">
        <f t="shared" si="3"/>
        <v>0.63300000000000001</v>
      </c>
      <c r="AT78" s="161">
        <f t="shared" si="3"/>
        <v>0.63300000000000001</v>
      </c>
      <c r="AU78" s="161">
        <f t="shared" si="3"/>
        <v>0.63300000000000001</v>
      </c>
      <c r="AV78" s="161">
        <f t="shared" si="3"/>
        <v>0.63300000000000001</v>
      </c>
      <c r="AW78" s="161">
        <f t="shared" si="3"/>
        <v>0.63300000000000001</v>
      </c>
      <c r="AX78" s="161">
        <f t="shared" si="3"/>
        <v>0.63300000000000001</v>
      </c>
      <c r="AY78" s="161">
        <f t="shared" si="3"/>
        <v>0.63300000000000001</v>
      </c>
      <c r="AZ78" s="7"/>
      <c r="BA78" s="37"/>
      <c r="BB78" s="37"/>
      <c r="BC78" s="37"/>
      <c r="BD78" s="42"/>
      <c r="BE78" s="41"/>
      <c r="BF78" s="41"/>
      <c r="BG78" s="41"/>
      <c r="BH78" s="41"/>
      <c r="BI78" s="41"/>
      <c r="BJ78" s="41"/>
      <c r="BK78" s="41"/>
      <c r="BL78" s="41"/>
      <c r="BM78" s="41"/>
      <c r="BN78" s="41"/>
    </row>
    <row r="79" spans="1:66" s="5" customFormat="1" hidden="1" x14ac:dyDescent="0.25">
      <c r="A79" s="7"/>
      <c r="B79" s="5" t="str">
        <f t="array" ref="B79">IFERROR(INDEX(DemandSupply,MATCH(INDEX($R$1:R79,SMALL(ROW($R$1:R79)+(10000*($R$1:R79="")),COUNTA($R$1:R79))),Sectors,0)),"")</f>
        <v>Demand</v>
      </c>
      <c r="M79" s="7"/>
      <c r="N79" s="76"/>
      <c r="O79" s="77"/>
      <c r="P79" s="77"/>
      <c r="Q79" s="82"/>
      <c r="R79" s="77"/>
      <c r="S79" s="76"/>
      <c r="T79" s="77"/>
      <c r="U79" s="82"/>
      <c r="V79" s="77"/>
      <c r="W79" s="82"/>
      <c r="X79" s="77"/>
      <c r="Y79" s="77"/>
      <c r="Z79" s="76"/>
      <c r="AA79" s="77"/>
      <c r="AB79" s="76"/>
      <c r="AC79" s="77"/>
      <c r="AD79" s="76"/>
      <c r="AE79" s="77"/>
      <c r="AF79" s="76"/>
      <c r="AG79" s="77"/>
      <c r="AH79" s="76"/>
      <c r="AI79" s="7"/>
      <c r="AJ79" s="27" t="str">
        <f t="shared" si="2"/>
        <v/>
      </c>
      <c r="AK79" s="3" t="s">
        <v>94</v>
      </c>
      <c r="AL79" s="3" t="s">
        <v>150</v>
      </c>
      <c r="AM79" s="3" t="s">
        <v>54</v>
      </c>
      <c r="AN79" s="18" t="s">
        <v>29</v>
      </c>
      <c r="AO79" s="22">
        <v>6.9000000000000006E-2</v>
      </c>
      <c r="AP79" s="161">
        <f t="shared" ref="AP79:AY79" si="4">AO79</f>
        <v>6.9000000000000006E-2</v>
      </c>
      <c r="AQ79" s="161">
        <f t="shared" si="4"/>
        <v>6.9000000000000006E-2</v>
      </c>
      <c r="AR79" s="161">
        <f t="shared" si="4"/>
        <v>6.9000000000000006E-2</v>
      </c>
      <c r="AS79" s="161">
        <f t="shared" si="4"/>
        <v>6.9000000000000006E-2</v>
      </c>
      <c r="AT79" s="161">
        <f t="shared" si="4"/>
        <v>6.9000000000000006E-2</v>
      </c>
      <c r="AU79" s="161">
        <f t="shared" si="4"/>
        <v>6.9000000000000006E-2</v>
      </c>
      <c r="AV79" s="161">
        <f t="shared" si="4"/>
        <v>6.9000000000000006E-2</v>
      </c>
      <c r="AW79" s="161">
        <f t="shared" si="4"/>
        <v>6.9000000000000006E-2</v>
      </c>
      <c r="AX79" s="161">
        <f t="shared" si="4"/>
        <v>6.9000000000000006E-2</v>
      </c>
      <c r="AY79" s="161">
        <f t="shared" si="4"/>
        <v>6.9000000000000006E-2</v>
      </c>
      <c r="AZ79" s="7"/>
      <c r="BA79" s="37"/>
      <c r="BB79" s="37"/>
      <c r="BC79" s="37"/>
      <c r="BD79" s="42"/>
      <c r="BE79" s="41"/>
      <c r="BF79" s="41"/>
      <c r="BG79" s="41"/>
      <c r="BH79" s="41"/>
      <c r="BI79" s="41"/>
      <c r="BJ79" s="41"/>
      <c r="BK79" s="41"/>
      <c r="BL79" s="41"/>
      <c r="BM79" s="41"/>
      <c r="BN79" s="41"/>
    </row>
    <row r="80" spans="1:66" s="5" customFormat="1" hidden="1" x14ac:dyDescent="0.25">
      <c r="A80" s="7"/>
      <c r="B80" s="5" t="str">
        <f t="array" ref="B80">IFERROR(INDEX(DemandSupply,MATCH(INDEX($R$1:R80,SMALL(ROW($R$1:R80)+(10000*($R$1:R80="")),COUNTA($R$1:R80))),Sectors,0)),"")</f>
        <v>Demand</v>
      </c>
      <c r="M80" s="7"/>
      <c r="N80" s="76"/>
      <c r="O80" s="77"/>
      <c r="P80" s="77"/>
      <c r="Q80" s="82"/>
      <c r="R80" s="77"/>
      <c r="S80" s="76"/>
      <c r="T80" s="77"/>
      <c r="U80" s="82"/>
      <c r="V80" s="77"/>
      <c r="W80" s="82"/>
      <c r="X80" s="77"/>
      <c r="Y80" s="77"/>
      <c r="Z80" s="76"/>
      <c r="AA80" s="77"/>
      <c r="AB80" s="76"/>
      <c r="AC80" s="77"/>
      <c r="AD80" s="76"/>
      <c r="AE80" s="77"/>
      <c r="AF80" s="76"/>
      <c r="AG80" s="77"/>
      <c r="AH80" s="76"/>
      <c r="AI80" s="7"/>
      <c r="AJ80" s="27" t="str">
        <f t="shared" si="2"/>
        <v/>
      </c>
      <c r="AK80" s="3" t="s">
        <v>91</v>
      </c>
      <c r="AL80" s="3"/>
      <c r="AM80" s="3" t="s">
        <v>118</v>
      </c>
      <c r="AN80" s="18" t="s">
        <v>29</v>
      </c>
      <c r="AO80" s="22">
        <v>0.83299999999999996</v>
      </c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7"/>
      <c r="BA80" s="37"/>
      <c r="BB80" s="37"/>
      <c r="BC80" s="37"/>
      <c r="BD80" s="42"/>
      <c r="BE80" s="41"/>
      <c r="BF80" s="41"/>
      <c r="BG80" s="41"/>
      <c r="BH80" s="41"/>
      <c r="BI80" s="41"/>
      <c r="BJ80" s="41"/>
      <c r="BK80" s="41"/>
      <c r="BL80" s="41"/>
      <c r="BM80" s="41"/>
      <c r="BN80" s="41"/>
    </row>
    <row r="81" spans="1:66" s="5" customFormat="1" hidden="1" x14ac:dyDescent="0.25">
      <c r="A81" s="7"/>
      <c r="B81" s="5" t="str">
        <f t="array" ref="B81">IFERROR(INDEX(DemandSupply,MATCH(INDEX($R$1:R81,SMALL(ROW($R$1:R81)+(10000*($R$1:R81="")),COUNTA($R$1:R81))),Sectors,0)),"")</f>
        <v>Demand</v>
      </c>
      <c r="M81" s="7"/>
      <c r="N81" s="76"/>
      <c r="O81" s="77"/>
      <c r="P81" s="77"/>
      <c r="Q81" s="82"/>
      <c r="R81" s="77"/>
      <c r="S81" s="76"/>
      <c r="T81" s="77"/>
      <c r="U81" s="82"/>
      <c r="V81" s="77"/>
      <c r="W81" s="82"/>
      <c r="X81" s="77"/>
      <c r="Y81" s="77"/>
      <c r="Z81" s="76"/>
      <c r="AA81" s="77"/>
      <c r="AB81" s="76"/>
      <c r="AC81" s="77"/>
      <c r="AD81" s="76"/>
      <c r="AE81" s="77"/>
      <c r="AF81" s="76"/>
      <c r="AG81" s="77"/>
      <c r="AH81" s="76"/>
      <c r="AI81" s="7"/>
      <c r="AJ81" s="27" t="str">
        <f t="shared" si="2"/>
        <v/>
      </c>
      <c r="AK81" s="3" t="s">
        <v>63</v>
      </c>
      <c r="AL81" s="3"/>
      <c r="AM81" s="3"/>
      <c r="AN81" s="18" t="s">
        <v>31</v>
      </c>
      <c r="AO81" s="3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7"/>
      <c r="BA81" s="37"/>
      <c r="BB81" s="37"/>
      <c r="BC81" s="37"/>
      <c r="BD81" s="42"/>
      <c r="BE81" s="41"/>
      <c r="BF81" s="41"/>
      <c r="BG81" s="41"/>
      <c r="BH81" s="41"/>
      <c r="BI81" s="41"/>
      <c r="BJ81" s="41"/>
      <c r="BK81" s="41"/>
      <c r="BL81" s="41"/>
      <c r="BM81" s="41"/>
      <c r="BN81" s="41"/>
    </row>
    <row r="82" spans="1:66" s="5" customFormat="1" hidden="1" x14ac:dyDescent="0.25">
      <c r="A82" s="7"/>
      <c r="B82" s="5" t="str">
        <f t="array" ref="B82">IFERROR(INDEX(DemandSupply,MATCH(INDEX($R$1:R82,SMALL(ROW($R$1:R82)+(10000*($R$1:R82="")),COUNTA($R$1:R82))),Sectors,0)),"")</f>
        <v>Demand</v>
      </c>
      <c r="M82" s="7"/>
      <c r="N82" s="76"/>
      <c r="O82" s="77"/>
      <c r="P82" s="77"/>
      <c r="Q82" s="82"/>
      <c r="R82" s="77"/>
      <c r="S82" s="76"/>
      <c r="T82" s="77"/>
      <c r="U82" s="82"/>
      <c r="V82" s="77"/>
      <c r="W82" s="82"/>
      <c r="X82" s="77"/>
      <c r="Y82" s="77"/>
      <c r="Z82" s="76"/>
      <c r="AA82" s="77"/>
      <c r="AB82" s="76"/>
      <c r="AC82" s="77"/>
      <c r="AD82" s="76"/>
      <c r="AE82" s="77"/>
      <c r="AF82" s="76"/>
      <c r="AG82" s="77"/>
      <c r="AH82" s="76"/>
      <c r="AI82" s="7"/>
      <c r="AJ82" s="27" t="str">
        <f t="shared" si="2"/>
        <v/>
      </c>
      <c r="AK82" s="3" t="s">
        <v>41</v>
      </c>
      <c r="AL82" s="3"/>
      <c r="AM82" s="3" t="s">
        <v>43</v>
      </c>
      <c r="AN82" s="18" t="s">
        <v>31</v>
      </c>
      <c r="AO82" s="3">
        <v>2000</v>
      </c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7"/>
      <c r="BA82" s="37"/>
      <c r="BB82" s="37"/>
      <c r="BC82" s="37"/>
      <c r="BD82" s="42"/>
      <c r="BE82" s="41"/>
      <c r="BF82" s="41"/>
      <c r="BG82" s="41"/>
      <c r="BH82" s="41"/>
      <c r="BI82" s="41"/>
      <c r="BJ82" s="41"/>
      <c r="BK82" s="41"/>
      <c r="BL82" s="41"/>
      <c r="BM82" s="41"/>
      <c r="BN82" s="41"/>
    </row>
    <row r="83" spans="1:66" s="5" customFormat="1" hidden="1" x14ac:dyDescent="0.25">
      <c r="A83" s="7"/>
      <c r="B83" s="5" t="str">
        <f t="array" ref="B83">IFERROR(INDEX(DemandSupply,MATCH(INDEX($R$1:R83,SMALL(ROW($R$1:R83)+(10000*($R$1:R83="")),COUNTA($R$1:R83))),Sectors,0)),"")</f>
        <v>Demand</v>
      </c>
      <c r="M83" s="7"/>
      <c r="N83" s="76"/>
      <c r="O83" s="77"/>
      <c r="P83" s="77"/>
      <c r="Q83" s="82"/>
      <c r="R83" s="77"/>
      <c r="S83" s="76"/>
      <c r="T83" s="77"/>
      <c r="U83" s="82"/>
      <c r="V83" s="77"/>
      <c r="W83" s="82"/>
      <c r="X83" s="77"/>
      <c r="Y83" s="77"/>
      <c r="Z83" s="76"/>
      <c r="AA83" s="77"/>
      <c r="AB83" s="76"/>
      <c r="AC83" s="77"/>
      <c r="AD83" s="76"/>
      <c r="AE83" s="77"/>
      <c r="AF83" s="76"/>
      <c r="AG83" s="77"/>
      <c r="AH83" s="76"/>
      <c r="AI83" s="7"/>
      <c r="AJ83" s="27" t="str">
        <f t="shared" si="2"/>
        <v/>
      </c>
      <c r="AK83" s="3" t="s">
        <v>40</v>
      </c>
      <c r="AL83" s="3"/>
      <c r="AM83" s="3" t="s">
        <v>43</v>
      </c>
      <c r="AN83" s="18" t="s">
        <v>31</v>
      </c>
      <c r="AO83" s="3">
        <v>2100</v>
      </c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7"/>
      <c r="BA83" s="37"/>
      <c r="BB83" s="37"/>
      <c r="BC83" s="37"/>
      <c r="BD83" s="42"/>
      <c r="BE83" s="41"/>
      <c r="BF83" s="41"/>
      <c r="BG83" s="41"/>
      <c r="BH83" s="41"/>
      <c r="BI83" s="41"/>
      <c r="BJ83" s="41"/>
      <c r="BK83" s="41"/>
      <c r="BL83" s="41"/>
      <c r="BM83" s="41"/>
      <c r="BN83" s="41"/>
    </row>
    <row r="84" spans="1:66" s="5" customFormat="1" hidden="1" x14ac:dyDescent="0.25">
      <c r="A84" s="7"/>
      <c r="B84" s="5" t="str">
        <f t="array" ref="B84">IFERROR(INDEX(DemandSupply,MATCH(INDEX($R$1:R84,SMALL(ROW($R$1:R84)+(10000*($R$1:R84="")),COUNTA($R$1:R84))),Sectors,0)),"")</f>
        <v>Demand</v>
      </c>
      <c r="M84" s="7"/>
      <c r="N84" s="76"/>
      <c r="O84" s="77"/>
      <c r="P84" s="77"/>
      <c r="Q84" s="82"/>
      <c r="R84" s="77"/>
      <c r="S84" s="76"/>
      <c r="T84" s="77"/>
      <c r="U84" s="82"/>
      <c r="V84" s="77"/>
      <c r="W84" s="82"/>
      <c r="X84" s="77"/>
      <c r="Y84" s="77"/>
      <c r="Z84" s="76"/>
      <c r="AA84" s="77"/>
      <c r="AB84" s="76"/>
      <c r="AC84" s="77"/>
      <c r="AD84" s="76"/>
      <c r="AE84" s="77"/>
      <c r="AF84" s="76"/>
      <c r="AG84" s="77"/>
      <c r="AH84" s="76"/>
      <c r="AI84" s="7"/>
      <c r="AJ84" s="27" t="str">
        <f t="shared" si="2"/>
        <v/>
      </c>
      <c r="AK84" s="3" t="s">
        <v>42</v>
      </c>
      <c r="AL84" s="3"/>
      <c r="AM84" s="3" t="s">
        <v>10</v>
      </c>
      <c r="AN84" s="18" t="s">
        <v>31</v>
      </c>
      <c r="AO84" s="3">
        <v>25</v>
      </c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7"/>
      <c r="BA84" s="37"/>
      <c r="BB84" s="37"/>
      <c r="BC84" s="37"/>
      <c r="BD84" s="42"/>
      <c r="BE84" s="41"/>
      <c r="BF84" s="41"/>
      <c r="BG84" s="41"/>
      <c r="BH84" s="41"/>
      <c r="BI84" s="41"/>
      <c r="BJ84" s="41"/>
      <c r="BK84" s="41"/>
      <c r="BL84" s="41"/>
      <c r="BM84" s="41"/>
      <c r="BN84" s="41"/>
    </row>
    <row r="85" spans="1:66" s="5" customFormat="1" hidden="1" x14ac:dyDescent="0.25">
      <c r="A85" s="7"/>
      <c r="B85" s="5" t="str">
        <f t="array" ref="B85">IFERROR(INDEX(DemandSupply,MATCH(INDEX($R$1:R85,SMALL(ROW($R$1:R85)+(10000*($R$1:R85="")),COUNTA($R$1:R85))),Sectors,0)),"")</f>
        <v>Demand</v>
      </c>
      <c r="M85" s="7"/>
      <c r="N85" s="76"/>
      <c r="O85" s="77"/>
      <c r="P85" s="77"/>
      <c r="Q85" s="82"/>
      <c r="R85" s="77"/>
      <c r="S85" s="76"/>
      <c r="T85" s="77"/>
      <c r="U85" s="82"/>
      <c r="V85" s="77"/>
      <c r="W85" s="82"/>
      <c r="X85" s="77"/>
      <c r="Y85" s="77"/>
      <c r="Z85" s="76"/>
      <c r="AA85" s="77"/>
      <c r="AB85" s="76"/>
      <c r="AC85" s="77"/>
      <c r="AD85" s="76"/>
      <c r="AE85" s="77"/>
      <c r="AF85" s="76"/>
      <c r="AG85" s="77"/>
      <c r="AH85" s="76"/>
      <c r="AI85" s="7"/>
      <c r="AJ85" s="27" t="str">
        <f t="shared" si="2"/>
        <v/>
      </c>
      <c r="AK85" s="3" t="s">
        <v>67</v>
      </c>
      <c r="AL85" s="3"/>
      <c r="AM85" s="3" t="s">
        <v>118</v>
      </c>
      <c r="AN85" s="18" t="s">
        <v>31</v>
      </c>
      <c r="AO85" s="3">
        <v>0.25</v>
      </c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7"/>
      <c r="BA85" s="37"/>
      <c r="BB85" s="37"/>
      <c r="BC85" s="37"/>
      <c r="BD85" s="42"/>
      <c r="BE85" s="41"/>
      <c r="BF85" s="41"/>
      <c r="BG85" s="41"/>
      <c r="BH85" s="41"/>
      <c r="BI85" s="41"/>
      <c r="BJ85" s="41"/>
      <c r="BK85" s="41"/>
      <c r="BL85" s="41"/>
      <c r="BM85" s="41"/>
      <c r="BN85" s="41"/>
    </row>
    <row r="86" spans="1:66" s="5" customFormat="1" hidden="1" x14ac:dyDescent="0.25">
      <c r="A86" s="7"/>
      <c r="B86" s="5" t="str">
        <f t="array" ref="B86">IFERROR(INDEX(DemandSupply,MATCH(INDEX($R$1:R86,SMALL(ROW($R$1:R86)+(10000*($R$1:R86="")),COUNTA($R$1:R86))),Sectors,0)),"")</f>
        <v>Demand</v>
      </c>
      <c r="M86" s="7"/>
      <c r="N86" s="76"/>
      <c r="O86" s="77"/>
      <c r="P86" s="77"/>
      <c r="Q86" s="82"/>
      <c r="R86" s="77"/>
      <c r="S86" s="76"/>
      <c r="T86" s="77"/>
      <c r="U86" s="82"/>
      <c r="V86" s="77"/>
      <c r="W86" s="82"/>
      <c r="X86" s="77"/>
      <c r="Y86" s="77"/>
      <c r="Z86" s="76"/>
      <c r="AA86" s="77"/>
      <c r="AB86" s="76"/>
      <c r="AC86" s="77"/>
      <c r="AD86" s="76"/>
      <c r="AE86" s="77"/>
      <c r="AF86" s="76"/>
      <c r="AG86" s="77"/>
      <c r="AH86" s="76"/>
      <c r="AI86" s="7"/>
      <c r="AJ86" s="27" t="str">
        <f t="shared" si="2"/>
        <v/>
      </c>
      <c r="AK86" s="3" t="s">
        <v>38</v>
      </c>
      <c r="AL86" s="3"/>
      <c r="AM86" s="3" t="s">
        <v>68</v>
      </c>
      <c r="AN86" s="18" t="s">
        <v>31</v>
      </c>
      <c r="AO86" s="23">
        <v>2655</v>
      </c>
      <c r="AP86" s="162">
        <f t="shared" ref="AP86:AY86" si="5">AO86</f>
        <v>2655</v>
      </c>
      <c r="AQ86" s="162">
        <f t="shared" si="5"/>
        <v>2655</v>
      </c>
      <c r="AR86" s="162">
        <f t="shared" si="5"/>
        <v>2655</v>
      </c>
      <c r="AS86" s="162">
        <f t="shared" si="5"/>
        <v>2655</v>
      </c>
      <c r="AT86" s="162">
        <f t="shared" si="5"/>
        <v>2655</v>
      </c>
      <c r="AU86" s="162">
        <f t="shared" si="5"/>
        <v>2655</v>
      </c>
      <c r="AV86" s="162">
        <f t="shared" si="5"/>
        <v>2655</v>
      </c>
      <c r="AW86" s="162">
        <f t="shared" si="5"/>
        <v>2655</v>
      </c>
      <c r="AX86" s="162">
        <f t="shared" si="5"/>
        <v>2655</v>
      </c>
      <c r="AY86" s="162">
        <f t="shared" si="5"/>
        <v>2655</v>
      </c>
      <c r="AZ86" s="7"/>
      <c r="BA86" s="37"/>
      <c r="BB86" s="37"/>
      <c r="BC86" s="37"/>
      <c r="BD86" s="42"/>
      <c r="BE86" s="41"/>
      <c r="BF86" s="41"/>
      <c r="BG86" s="41"/>
      <c r="BH86" s="41"/>
      <c r="BI86" s="41"/>
      <c r="BJ86" s="41"/>
      <c r="BK86" s="41"/>
      <c r="BL86" s="41"/>
      <c r="BM86" s="41"/>
      <c r="BN86" s="41"/>
    </row>
    <row r="87" spans="1:66" s="5" customFormat="1" hidden="1" x14ac:dyDescent="0.25">
      <c r="A87" s="7"/>
      <c r="B87" s="5" t="str">
        <f t="array" ref="B87">IFERROR(INDEX(DemandSupply,MATCH(INDEX($R$1:R87,SMALL(ROW($R$1:R87)+(10000*($R$1:R87="")),COUNTA($R$1:R87))),Sectors,0)),"")</f>
        <v>Demand</v>
      </c>
      <c r="M87" s="7"/>
      <c r="N87" s="76"/>
      <c r="O87" s="77"/>
      <c r="P87" s="77"/>
      <c r="Q87" s="82"/>
      <c r="R87" s="77"/>
      <c r="S87" s="76"/>
      <c r="T87" s="77"/>
      <c r="U87" s="82"/>
      <c r="V87" s="77"/>
      <c r="W87" s="82"/>
      <c r="X87" s="77"/>
      <c r="Y87" s="77"/>
      <c r="Z87" s="76"/>
      <c r="AA87" s="77"/>
      <c r="AB87" s="76"/>
      <c r="AC87" s="77"/>
      <c r="AD87" s="76"/>
      <c r="AE87" s="77"/>
      <c r="AF87" s="76"/>
      <c r="AG87" s="77"/>
      <c r="AH87" s="76"/>
      <c r="AI87" s="7"/>
      <c r="AJ87" s="27" t="str">
        <f t="shared" si="2"/>
        <v/>
      </c>
      <c r="AK87" s="3" t="s">
        <v>44</v>
      </c>
      <c r="AL87" s="3"/>
      <c r="AM87" s="3" t="s">
        <v>68</v>
      </c>
      <c r="AN87" s="18" t="s">
        <v>31</v>
      </c>
      <c r="AO87" s="23"/>
      <c r="AP87" s="162"/>
      <c r="AQ87" s="162"/>
      <c r="AR87" s="162"/>
      <c r="AS87" s="162"/>
      <c r="AT87" s="162"/>
      <c r="AU87" s="162"/>
      <c r="AV87" s="162"/>
      <c r="AW87" s="162"/>
      <c r="AX87" s="162"/>
      <c r="AY87" s="162"/>
      <c r="AZ87" s="7"/>
      <c r="BA87" s="37"/>
      <c r="BB87" s="37"/>
      <c r="BC87" s="37"/>
      <c r="BD87" s="42"/>
      <c r="BE87" s="41"/>
      <c r="BF87" s="41"/>
      <c r="BG87" s="41"/>
      <c r="BH87" s="41"/>
      <c r="BI87" s="41"/>
      <c r="BJ87" s="41"/>
      <c r="BK87" s="41"/>
      <c r="BL87" s="41"/>
      <c r="BM87" s="41"/>
      <c r="BN87" s="41"/>
    </row>
    <row r="88" spans="1:66" s="5" customFormat="1" hidden="1" x14ac:dyDescent="0.25">
      <c r="A88" s="7"/>
      <c r="B88" s="5" t="str">
        <f t="array" ref="B88">IFERROR(INDEX(DemandSupply,MATCH(INDEX($R$1:R88,SMALL(ROW($R$1:R88)+(10000*($R$1:R88="")),COUNTA($R$1:R88))),Sectors,0)),"")</f>
        <v>Demand</v>
      </c>
      <c r="M88" s="7"/>
      <c r="N88" s="76"/>
      <c r="O88" s="77"/>
      <c r="P88" s="77"/>
      <c r="Q88" s="82"/>
      <c r="R88" s="77"/>
      <c r="S88" s="76"/>
      <c r="T88" s="77"/>
      <c r="U88" s="82"/>
      <c r="V88" s="77"/>
      <c r="W88" s="82"/>
      <c r="X88" s="77"/>
      <c r="Y88" s="77"/>
      <c r="Z88" s="76"/>
      <c r="AA88" s="77"/>
      <c r="AB88" s="76"/>
      <c r="AC88" s="77"/>
      <c r="AD88" s="76"/>
      <c r="AE88" s="77"/>
      <c r="AF88" s="76"/>
      <c r="AG88" s="77"/>
      <c r="AH88" s="76"/>
      <c r="AI88" s="7"/>
      <c r="AJ88" s="27" t="str">
        <f t="shared" si="2"/>
        <v/>
      </c>
      <c r="AK88" s="3" t="s">
        <v>51</v>
      </c>
      <c r="AL88" s="3"/>
      <c r="AM88" s="3" t="s">
        <v>68</v>
      </c>
      <c r="AN88" s="18" t="s">
        <v>31</v>
      </c>
      <c r="AO88" s="23"/>
      <c r="AP88" s="162"/>
      <c r="AQ88" s="162"/>
      <c r="AR88" s="162"/>
      <c r="AS88" s="162"/>
      <c r="AT88" s="162"/>
      <c r="AU88" s="162"/>
      <c r="AV88" s="162"/>
      <c r="AW88" s="162"/>
      <c r="AX88" s="162"/>
      <c r="AY88" s="162"/>
      <c r="AZ88" s="7"/>
      <c r="BA88" s="37"/>
      <c r="BB88" s="37"/>
      <c r="BC88" s="37"/>
      <c r="BD88" s="42"/>
      <c r="BE88" s="41"/>
      <c r="BF88" s="41"/>
      <c r="BG88" s="41"/>
      <c r="BH88" s="41"/>
      <c r="BI88" s="41"/>
      <c r="BJ88" s="41"/>
      <c r="BK88" s="41"/>
      <c r="BL88" s="41"/>
      <c r="BM88" s="41"/>
      <c r="BN88" s="41"/>
    </row>
    <row r="89" spans="1:66" s="5" customFormat="1" hidden="1" x14ac:dyDescent="0.25">
      <c r="A89" s="7"/>
      <c r="B89" s="5" t="str">
        <f t="array" ref="B89">IFERROR(INDEX(DemandSupply,MATCH(INDEX($R$1:R89,SMALL(ROW($R$1:R89)+(10000*($R$1:R89="")),COUNTA($R$1:R89))),Sectors,0)),"")</f>
        <v>Demand</v>
      </c>
      <c r="M89" s="7"/>
      <c r="N89" s="76"/>
      <c r="O89" s="77"/>
      <c r="P89" s="77"/>
      <c r="Q89" s="82"/>
      <c r="R89" s="77"/>
      <c r="S89" s="76"/>
      <c r="T89" s="77"/>
      <c r="U89" s="82"/>
      <c r="V89" s="77"/>
      <c r="W89" s="82"/>
      <c r="X89" s="77"/>
      <c r="Y89" s="77"/>
      <c r="Z89" s="76"/>
      <c r="AA89" s="77"/>
      <c r="AB89" s="76"/>
      <c r="AC89" s="77"/>
      <c r="AD89" s="76"/>
      <c r="AE89" s="77"/>
      <c r="AF89" s="76"/>
      <c r="AG89" s="77"/>
      <c r="AH89" s="76"/>
      <c r="AI89" s="7"/>
      <c r="AJ89" s="27" t="str">
        <f t="shared" si="2"/>
        <v/>
      </c>
      <c r="AK89" s="3" t="s">
        <v>191</v>
      </c>
      <c r="AL89" s="3"/>
      <c r="AM89" s="3" t="s">
        <v>118</v>
      </c>
      <c r="AN89" s="18" t="s">
        <v>31</v>
      </c>
      <c r="AO89" s="3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7"/>
      <c r="BA89" s="37"/>
      <c r="BB89" s="37"/>
      <c r="BC89" s="37"/>
      <c r="BD89" s="42"/>
      <c r="BE89" s="41"/>
      <c r="BF89" s="41"/>
      <c r="BG89" s="41"/>
      <c r="BH89" s="41"/>
      <c r="BI89" s="41"/>
      <c r="BJ89" s="41"/>
      <c r="BK89" s="41"/>
      <c r="BL89" s="41"/>
      <c r="BM89" s="41"/>
      <c r="BN89" s="41"/>
    </row>
    <row r="90" spans="1:66" s="5" customFormat="1" hidden="1" x14ac:dyDescent="0.25">
      <c r="A90" s="7"/>
      <c r="B90" s="5" t="str">
        <f t="array" ref="B90">IFERROR(INDEX(DemandSupply,MATCH(INDEX($R$1:R90,SMALL(ROW($R$1:R90)+(10000*($R$1:R90="")),COUNTA($R$1:R90))),Sectors,0)),"")</f>
        <v>Demand</v>
      </c>
      <c r="M90" s="7"/>
      <c r="N90" s="76"/>
      <c r="O90" s="77"/>
      <c r="P90" s="77"/>
      <c r="Q90" s="82"/>
      <c r="R90" s="77"/>
      <c r="S90" s="76"/>
      <c r="T90" s="77"/>
      <c r="U90" s="82"/>
      <c r="V90" s="77"/>
      <c r="W90" s="82"/>
      <c r="X90" s="77"/>
      <c r="Y90" s="77"/>
      <c r="Z90" s="76"/>
      <c r="AA90" s="77"/>
      <c r="AB90" s="76"/>
      <c r="AC90" s="77"/>
      <c r="AD90" s="76"/>
      <c r="AE90" s="77"/>
      <c r="AF90" s="76"/>
      <c r="AG90" s="77"/>
      <c r="AH90" s="76"/>
      <c r="AI90" s="7"/>
      <c r="AJ90" s="27" t="str">
        <f t="shared" si="2"/>
        <v/>
      </c>
      <c r="AK90" s="3" t="s">
        <v>192</v>
      </c>
      <c r="AL90" s="3"/>
      <c r="AM90" s="3" t="s">
        <v>118</v>
      </c>
      <c r="AN90" s="18" t="s">
        <v>31</v>
      </c>
      <c r="AO90" s="3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7"/>
      <c r="BA90" s="37"/>
      <c r="BB90" s="37"/>
      <c r="BC90" s="37"/>
      <c r="BD90" s="42"/>
      <c r="BE90" s="41"/>
      <c r="BF90" s="41"/>
      <c r="BG90" s="41"/>
      <c r="BH90" s="41"/>
      <c r="BI90" s="41"/>
      <c r="BJ90" s="41"/>
      <c r="BK90" s="41"/>
      <c r="BL90" s="41"/>
      <c r="BM90" s="41"/>
      <c r="BN90" s="41"/>
    </row>
    <row r="91" spans="1:66" s="5" customFormat="1" hidden="1" x14ac:dyDescent="0.25">
      <c r="A91" s="7"/>
      <c r="B91" s="5" t="str">
        <f t="array" ref="B91">IFERROR(INDEX(DemandSupply,MATCH(INDEX($R$1:R91,SMALL(ROW($R$1:R91)+(10000*($R$1:R91="")),COUNTA($R$1:R91))),Sectors,0)),"")</f>
        <v>Demand</v>
      </c>
      <c r="M91" s="7"/>
      <c r="N91" s="76"/>
      <c r="O91" s="77"/>
      <c r="P91" s="77"/>
      <c r="Q91" s="82"/>
      <c r="R91" s="77"/>
      <c r="S91" s="76"/>
      <c r="T91" s="77"/>
      <c r="U91" s="82"/>
      <c r="V91" s="77"/>
      <c r="W91" s="82"/>
      <c r="X91" s="77"/>
      <c r="Y91" s="77"/>
      <c r="Z91" s="76"/>
      <c r="AA91" s="77"/>
      <c r="AB91" s="76"/>
      <c r="AC91" s="77"/>
      <c r="AD91" s="76"/>
      <c r="AE91" s="77"/>
      <c r="AF91" s="76"/>
      <c r="AG91" s="77"/>
      <c r="AH91" s="76"/>
      <c r="AI91" s="7"/>
      <c r="AJ91" s="27" t="str">
        <f t="shared" si="2"/>
        <v/>
      </c>
      <c r="AK91" s="3" t="s">
        <v>94</v>
      </c>
      <c r="AL91" s="3" t="s">
        <v>149</v>
      </c>
      <c r="AM91" s="3" t="s">
        <v>54</v>
      </c>
      <c r="AN91" s="18" t="s">
        <v>31</v>
      </c>
      <c r="AO91" s="22">
        <v>0.51500000000000001</v>
      </c>
      <c r="AP91" s="161">
        <f t="shared" ref="AP91:AY91" si="6">AO91</f>
        <v>0.51500000000000001</v>
      </c>
      <c r="AQ91" s="161">
        <f t="shared" si="6"/>
        <v>0.51500000000000001</v>
      </c>
      <c r="AR91" s="161">
        <f t="shared" si="6"/>
        <v>0.51500000000000001</v>
      </c>
      <c r="AS91" s="161">
        <f t="shared" si="6"/>
        <v>0.51500000000000001</v>
      </c>
      <c r="AT91" s="161">
        <f t="shared" si="6"/>
        <v>0.51500000000000001</v>
      </c>
      <c r="AU91" s="161">
        <f t="shared" si="6"/>
        <v>0.51500000000000001</v>
      </c>
      <c r="AV91" s="161">
        <f t="shared" si="6"/>
        <v>0.51500000000000001</v>
      </c>
      <c r="AW91" s="161">
        <f t="shared" si="6"/>
        <v>0.51500000000000001</v>
      </c>
      <c r="AX91" s="161">
        <f t="shared" si="6"/>
        <v>0.51500000000000001</v>
      </c>
      <c r="AY91" s="161">
        <f t="shared" si="6"/>
        <v>0.51500000000000001</v>
      </c>
      <c r="AZ91" s="7"/>
      <c r="BA91" s="37"/>
      <c r="BB91" s="37"/>
      <c r="BC91" s="37"/>
      <c r="BD91" s="42"/>
      <c r="BE91" s="41"/>
      <c r="BF91" s="41"/>
      <c r="BG91" s="41"/>
      <c r="BH91" s="41"/>
      <c r="BI91" s="41"/>
      <c r="BJ91" s="41"/>
      <c r="BK91" s="41"/>
      <c r="BL91" s="41"/>
      <c r="BM91" s="41"/>
      <c r="BN91" s="41"/>
    </row>
    <row r="92" spans="1:66" s="5" customFormat="1" hidden="1" x14ac:dyDescent="0.25">
      <c r="A92" s="7"/>
      <c r="B92" s="5" t="str">
        <f t="array" ref="B92">IFERROR(INDEX(DemandSupply,MATCH(INDEX($R$1:R92,SMALL(ROW($R$1:R92)+(10000*($R$1:R92="")),COUNTA($R$1:R92))),Sectors,0)),"")</f>
        <v>Demand</v>
      </c>
      <c r="M92" s="7"/>
      <c r="N92" s="76"/>
      <c r="O92" s="77"/>
      <c r="P92" s="77"/>
      <c r="Q92" s="82"/>
      <c r="R92" s="77"/>
      <c r="S92" s="76"/>
      <c r="T92" s="77"/>
      <c r="U92" s="82"/>
      <c r="V92" s="77"/>
      <c r="W92" s="82"/>
      <c r="X92" s="77"/>
      <c r="Y92" s="77"/>
      <c r="Z92" s="76"/>
      <c r="AA92" s="77"/>
      <c r="AB92" s="76"/>
      <c r="AC92" s="77"/>
      <c r="AD92" s="76"/>
      <c r="AE92" s="77"/>
      <c r="AF92" s="76"/>
      <c r="AG92" s="77"/>
      <c r="AH92" s="76"/>
      <c r="AI92" s="7"/>
      <c r="AJ92" s="27" t="str">
        <f t="shared" si="2"/>
        <v/>
      </c>
      <c r="AK92" s="3" t="s">
        <v>94</v>
      </c>
      <c r="AL92" s="3" t="s">
        <v>150</v>
      </c>
      <c r="AM92" s="3" t="s">
        <v>54</v>
      </c>
      <c r="AN92" s="18" t="s">
        <v>31</v>
      </c>
      <c r="AO92" s="22">
        <v>5.6000000000000001E-2</v>
      </c>
      <c r="AP92" s="161">
        <f t="shared" ref="AP92:AY92" si="7">AO92</f>
        <v>5.6000000000000001E-2</v>
      </c>
      <c r="AQ92" s="161">
        <f t="shared" si="7"/>
        <v>5.6000000000000001E-2</v>
      </c>
      <c r="AR92" s="161">
        <f t="shared" si="7"/>
        <v>5.6000000000000001E-2</v>
      </c>
      <c r="AS92" s="161">
        <f t="shared" si="7"/>
        <v>5.6000000000000001E-2</v>
      </c>
      <c r="AT92" s="161">
        <f t="shared" si="7"/>
        <v>5.6000000000000001E-2</v>
      </c>
      <c r="AU92" s="161">
        <f t="shared" si="7"/>
        <v>5.6000000000000001E-2</v>
      </c>
      <c r="AV92" s="161">
        <f t="shared" si="7"/>
        <v>5.6000000000000001E-2</v>
      </c>
      <c r="AW92" s="161">
        <f t="shared" si="7"/>
        <v>5.6000000000000001E-2</v>
      </c>
      <c r="AX92" s="161">
        <f t="shared" si="7"/>
        <v>5.6000000000000001E-2</v>
      </c>
      <c r="AY92" s="161">
        <f t="shared" si="7"/>
        <v>5.6000000000000001E-2</v>
      </c>
      <c r="AZ92" s="7"/>
      <c r="BA92" s="37"/>
      <c r="BB92" s="37"/>
      <c r="BC92" s="37"/>
      <c r="BD92" s="42"/>
      <c r="BE92" s="41"/>
      <c r="BF92" s="41"/>
      <c r="BG92" s="41"/>
      <c r="BH92" s="41"/>
      <c r="BI92" s="41"/>
      <c r="BJ92" s="41"/>
      <c r="BK92" s="41"/>
      <c r="BL92" s="41"/>
      <c r="BM92" s="41"/>
      <c r="BN92" s="41"/>
    </row>
    <row r="93" spans="1:66" s="5" customFormat="1" hidden="1" x14ac:dyDescent="0.25">
      <c r="A93" s="7"/>
      <c r="B93" s="5" t="str">
        <f t="array" ref="B93">IFERROR(INDEX(DemandSupply,MATCH(INDEX($R$1:R93,SMALL(ROW($R$1:R93)+(10000*($R$1:R93="")),COUNTA($R$1:R93))),Sectors,0)),"")</f>
        <v>Demand</v>
      </c>
      <c r="M93" s="7"/>
      <c r="N93" s="76"/>
      <c r="O93" s="77"/>
      <c r="P93" s="77"/>
      <c r="Q93" s="82"/>
      <c r="R93" s="77"/>
      <c r="S93" s="76"/>
      <c r="T93" s="77"/>
      <c r="U93" s="82"/>
      <c r="V93" s="77"/>
      <c r="W93" s="82"/>
      <c r="X93" s="77"/>
      <c r="Y93" s="77"/>
      <c r="Z93" s="76"/>
      <c r="AA93" s="77"/>
      <c r="AB93" s="76"/>
      <c r="AC93" s="77"/>
      <c r="AD93" s="76"/>
      <c r="AE93" s="77"/>
      <c r="AF93" s="76"/>
      <c r="AG93" s="77"/>
      <c r="AH93" s="76"/>
      <c r="AI93" s="7"/>
      <c r="AJ93" s="27" t="str">
        <f t="shared" si="2"/>
        <v/>
      </c>
      <c r="AK93" s="3" t="s">
        <v>91</v>
      </c>
      <c r="AL93" s="3"/>
      <c r="AM93" s="3" t="s">
        <v>118</v>
      </c>
      <c r="AN93" s="18" t="s">
        <v>31</v>
      </c>
      <c r="AO93" s="22">
        <v>0</v>
      </c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7"/>
      <c r="BA93" s="37"/>
      <c r="BB93" s="37"/>
      <c r="BC93" s="37"/>
      <c r="BD93" s="42"/>
      <c r="BE93" s="41"/>
      <c r="BF93" s="41"/>
      <c r="BG93" s="41"/>
      <c r="BH93" s="41"/>
      <c r="BI93" s="41"/>
      <c r="BJ93" s="41"/>
      <c r="BK93" s="41"/>
      <c r="BL93" s="41"/>
      <c r="BM93" s="41"/>
      <c r="BN93" s="41"/>
    </row>
    <row r="94" spans="1:66" s="5" customFormat="1" hidden="1" x14ac:dyDescent="0.25">
      <c r="A94" s="7"/>
      <c r="B94" s="5" t="str">
        <f t="array" ref="B94">IFERROR(INDEX(DemandSupply,MATCH(INDEX($R$1:R94,SMALL(ROW($R$1:R94)+(10000*($R$1:R94="")),COUNTA($R$1:R94))),Sectors,0)),"")</f>
        <v>Demand</v>
      </c>
      <c r="M94" s="7"/>
      <c r="N94" s="76"/>
      <c r="O94" s="77"/>
      <c r="P94" s="77"/>
      <c r="Q94" s="82"/>
      <c r="R94" s="77"/>
      <c r="S94" s="76"/>
      <c r="T94" s="77"/>
      <c r="U94" s="82"/>
      <c r="V94" s="77"/>
      <c r="W94" s="82"/>
      <c r="X94" s="77"/>
      <c r="Y94" s="77"/>
      <c r="Z94" s="76"/>
      <c r="AA94" s="77"/>
      <c r="AB94" s="76"/>
      <c r="AC94" s="77"/>
      <c r="AD94" s="76"/>
      <c r="AE94" s="77"/>
      <c r="AF94" s="76"/>
      <c r="AG94" s="77"/>
      <c r="AH94" s="76"/>
      <c r="AI94" s="7"/>
      <c r="AJ94" s="27" t="str">
        <f t="shared" si="2"/>
        <v/>
      </c>
      <c r="AK94" s="3" t="s">
        <v>63</v>
      </c>
      <c r="AL94" s="3"/>
      <c r="AM94" s="3"/>
      <c r="AN94" s="18" t="s">
        <v>32</v>
      </c>
      <c r="AO94" s="3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7"/>
      <c r="BA94" s="37"/>
      <c r="BB94" s="37"/>
      <c r="BC94" s="37"/>
      <c r="BD94" s="42"/>
      <c r="BE94" s="41"/>
      <c r="BF94" s="41"/>
      <c r="BG94" s="41"/>
      <c r="BH94" s="41"/>
      <c r="BI94" s="41"/>
      <c r="BJ94" s="41"/>
      <c r="BK94" s="41"/>
      <c r="BL94" s="41"/>
      <c r="BM94" s="41"/>
      <c r="BN94" s="41"/>
    </row>
    <row r="95" spans="1:66" s="5" customFormat="1" hidden="1" x14ac:dyDescent="0.25">
      <c r="A95" s="7"/>
      <c r="B95" s="5" t="str">
        <f t="array" ref="B95">IFERROR(INDEX(DemandSupply,MATCH(INDEX($R$1:R95,SMALL(ROW($R$1:R95)+(10000*($R$1:R95="")),COUNTA($R$1:R95))),Sectors,0)),"")</f>
        <v>Demand</v>
      </c>
      <c r="M95" s="7"/>
      <c r="N95" s="76"/>
      <c r="O95" s="77"/>
      <c r="P95" s="77"/>
      <c r="Q95" s="82"/>
      <c r="R95" s="77"/>
      <c r="S95" s="76"/>
      <c r="T95" s="77"/>
      <c r="U95" s="82"/>
      <c r="V95" s="77"/>
      <c r="W95" s="82"/>
      <c r="X95" s="77"/>
      <c r="Y95" s="77"/>
      <c r="Z95" s="76"/>
      <c r="AA95" s="77"/>
      <c r="AB95" s="76"/>
      <c r="AC95" s="77"/>
      <c r="AD95" s="76"/>
      <c r="AE95" s="77"/>
      <c r="AF95" s="76"/>
      <c r="AG95" s="77"/>
      <c r="AH95" s="76"/>
      <c r="AI95" s="7"/>
      <c r="AJ95" s="27" t="str">
        <f t="shared" si="2"/>
        <v/>
      </c>
      <c r="AK95" s="3" t="s">
        <v>41</v>
      </c>
      <c r="AL95" s="3"/>
      <c r="AM95" s="3" t="s">
        <v>43</v>
      </c>
      <c r="AN95" s="18" t="s">
        <v>32</v>
      </c>
      <c r="AO95" s="3">
        <v>2000</v>
      </c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7"/>
      <c r="BA95" s="37"/>
      <c r="BB95" s="37"/>
      <c r="BC95" s="37"/>
      <c r="BD95" s="42"/>
      <c r="BE95" s="41"/>
      <c r="BF95" s="41"/>
      <c r="BG95" s="41"/>
      <c r="BH95" s="41"/>
      <c r="BI95" s="41"/>
      <c r="BJ95" s="41"/>
      <c r="BK95" s="41"/>
      <c r="BL95" s="41"/>
      <c r="BM95" s="41"/>
      <c r="BN95" s="41"/>
    </row>
    <row r="96" spans="1:66" s="5" customFormat="1" hidden="1" x14ac:dyDescent="0.25">
      <c r="A96" s="7"/>
      <c r="B96" s="5" t="str">
        <f t="array" ref="B96">IFERROR(INDEX(DemandSupply,MATCH(INDEX($R$1:R96,SMALL(ROW($R$1:R96)+(10000*($R$1:R96="")),COUNTA($R$1:R96))),Sectors,0)),"")</f>
        <v>Demand</v>
      </c>
      <c r="M96" s="7"/>
      <c r="N96" s="76"/>
      <c r="O96" s="77"/>
      <c r="P96" s="77"/>
      <c r="Q96" s="82"/>
      <c r="R96" s="77"/>
      <c r="S96" s="76"/>
      <c r="T96" s="77"/>
      <c r="U96" s="82"/>
      <c r="V96" s="77"/>
      <c r="W96" s="82"/>
      <c r="X96" s="77"/>
      <c r="Y96" s="77"/>
      <c r="Z96" s="76"/>
      <c r="AA96" s="77"/>
      <c r="AB96" s="76"/>
      <c r="AC96" s="77"/>
      <c r="AD96" s="76"/>
      <c r="AE96" s="77"/>
      <c r="AF96" s="76"/>
      <c r="AG96" s="77"/>
      <c r="AH96" s="76"/>
      <c r="AI96" s="7"/>
      <c r="AJ96" s="27" t="str">
        <f t="shared" si="2"/>
        <v/>
      </c>
      <c r="AK96" s="3" t="s">
        <v>40</v>
      </c>
      <c r="AL96" s="3"/>
      <c r="AM96" s="3" t="s">
        <v>43</v>
      </c>
      <c r="AN96" s="18" t="s">
        <v>32</v>
      </c>
      <c r="AO96" s="3">
        <v>2100</v>
      </c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7"/>
      <c r="BA96" s="37"/>
      <c r="BB96" s="37"/>
      <c r="BC96" s="37"/>
      <c r="BD96" s="42"/>
      <c r="BE96" s="41"/>
      <c r="BF96" s="41"/>
      <c r="BG96" s="41"/>
      <c r="BH96" s="41"/>
      <c r="BI96" s="41"/>
      <c r="BJ96" s="41"/>
      <c r="BK96" s="41"/>
      <c r="BL96" s="41"/>
      <c r="BM96" s="41"/>
      <c r="BN96" s="41"/>
    </row>
    <row r="97" spans="1:66" s="5" customFormat="1" hidden="1" x14ac:dyDescent="0.25">
      <c r="A97" s="7"/>
      <c r="B97" s="5" t="str">
        <f t="array" ref="B97">IFERROR(INDEX(DemandSupply,MATCH(INDEX($R$1:R97,SMALL(ROW($R$1:R97)+(10000*($R$1:R97="")),COUNTA($R$1:R97))),Sectors,0)),"")</f>
        <v>Demand</v>
      </c>
      <c r="M97" s="7"/>
      <c r="N97" s="76"/>
      <c r="O97" s="77"/>
      <c r="P97" s="77"/>
      <c r="Q97" s="82"/>
      <c r="R97" s="77"/>
      <c r="S97" s="76"/>
      <c r="T97" s="77"/>
      <c r="U97" s="82"/>
      <c r="V97" s="77"/>
      <c r="W97" s="82"/>
      <c r="X97" s="77"/>
      <c r="Y97" s="77"/>
      <c r="Z97" s="76"/>
      <c r="AA97" s="77"/>
      <c r="AB97" s="76"/>
      <c r="AC97" s="77"/>
      <c r="AD97" s="76"/>
      <c r="AE97" s="77"/>
      <c r="AF97" s="76"/>
      <c r="AG97" s="77"/>
      <c r="AH97" s="76"/>
      <c r="AI97" s="7"/>
      <c r="AJ97" s="27" t="str">
        <f t="shared" si="2"/>
        <v/>
      </c>
      <c r="AK97" s="3" t="s">
        <v>42</v>
      </c>
      <c r="AL97" s="3"/>
      <c r="AM97" s="3" t="s">
        <v>10</v>
      </c>
      <c r="AN97" s="18" t="s">
        <v>32</v>
      </c>
      <c r="AO97" s="3">
        <v>25</v>
      </c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7"/>
      <c r="BA97" s="37"/>
      <c r="BB97" s="37"/>
      <c r="BC97" s="37"/>
      <c r="BD97" s="42"/>
      <c r="BE97" s="41"/>
      <c r="BF97" s="41"/>
      <c r="BG97" s="41"/>
      <c r="BH97" s="41"/>
      <c r="BI97" s="41"/>
      <c r="BJ97" s="41"/>
      <c r="BK97" s="41"/>
      <c r="BL97" s="41"/>
      <c r="BM97" s="41"/>
      <c r="BN97" s="41"/>
    </row>
    <row r="98" spans="1:66" s="5" customFormat="1" hidden="1" x14ac:dyDescent="0.25">
      <c r="A98" s="7"/>
      <c r="B98" s="5" t="str">
        <f t="array" ref="B98">IFERROR(INDEX(DemandSupply,MATCH(INDEX($R$1:R98,SMALL(ROW($R$1:R98)+(10000*($R$1:R98="")),COUNTA($R$1:R98))),Sectors,0)),"")</f>
        <v>Demand</v>
      </c>
      <c r="M98" s="7"/>
      <c r="N98" s="76"/>
      <c r="O98" s="77"/>
      <c r="P98" s="77"/>
      <c r="Q98" s="82"/>
      <c r="R98" s="77"/>
      <c r="S98" s="76"/>
      <c r="T98" s="77"/>
      <c r="U98" s="82"/>
      <c r="V98" s="77"/>
      <c r="W98" s="82"/>
      <c r="X98" s="77"/>
      <c r="Y98" s="77"/>
      <c r="Z98" s="76"/>
      <c r="AA98" s="77"/>
      <c r="AB98" s="76"/>
      <c r="AC98" s="77"/>
      <c r="AD98" s="76"/>
      <c r="AE98" s="77"/>
      <c r="AF98" s="76"/>
      <c r="AG98" s="77"/>
      <c r="AH98" s="76"/>
      <c r="AI98" s="7"/>
      <c r="AJ98" s="27" t="str">
        <f t="shared" si="2"/>
        <v/>
      </c>
      <c r="AK98" s="3" t="s">
        <v>67</v>
      </c>
      <c r="AL98" s="3"/>
      <c r="AM98" s="3" t="s">
        <v>118</v>
      </c>
      <c r="AN98" s="18" t="s">
        <v>32</v>
      </c>
      <c r="AO98" s="3">
        <v>0.25</v>
      </c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7"/>
      <c r="BA98" s="37"/>
      <c r="BB98" s="37"/>
      <c r="BC98" s="37"/>
      <c r="BD98" s="42"/>
      <c r="BE98" s="41"/>
      <c r="BF98" s="41"/>
      <c r="BG98" s="41"/>
      <c r="BH98" s="41"/>
      <c r="BI98" s="41"/>
      <c r="BJ98" s="41"/>
      <c r="BK98" s="41"/>
      <c r="BL98" s="41"/>
      <c r="BM98" s="41"/>
      <c r="BN98" s="41"/>
    </row>
    <row r="99" spans="1:66" s="5" customFormat="1" hidden="1" x14ac:dyDescent="0.25">
      <c r="A99" s="7"/>
      <c r="B99" s="5" t="str">
        <f t="array" ref="B99">IFERROR(INDEX(DemandSupply,MATCH(INDEX($R$1:R99,SMALL(ROW($R$1:R99)+(10000*($R$1:R99="")),COUNTA($R$1:R99))),Sectors,0)),"")</f>
        <v>Demand</v>
      </c>
      <c r="M99" s="7"/>
      <c r="N99" s="76"/>
      <c r="O99" s="77"/>
      <c r="P99" s="77"/>
      <c r="Q99" s="82"/>
      <c r="R99" s="77"/>
      <c r="S99" s="76"/>
      <c r="T99" s="77"/>
      <c r="U99" s="82"/>
      <c r="V99" s="77"/>
      <c r="W99" s="82"/>
      <c r="X99" s="77"/>
      <c r="Y99" s="77"/>
      <c r="Z99" s="76"/>
      <c r="AA99" s="77"/>
      <c r="AB99" s="76"/>
      <c r="AC99" s="77"/>
      <c r="AD99" s="76"/>
      <c r="AE99" s="77"/>
      <c r="AF99" s="76"/>
      <c r="AG99" s="77"/>
      <c r="AH99" s="76"/>
      <c r="AI99" s="7"/>
      <c r="AJ99" s="27" t="str">
        <f t="shared" si="2"/>
        <v/>
      </c>
      <c r="AK99" s="3" t="s">
        <v>38</v>
      </c>
      <c r="AL99" s="3"/>
      <c r="AM99" s="3" t="s">
        <v>68</v>
      </c>
      <c r="AN99" s="18" t="s">
        <v>32</v>
      </c>
      <c r="AO99" s="23">
        <v>10548</v>
      </c>
      <c r="AP99" s="162">
        <f t="shared" ref="AP99:AY99" si="8">AO99</f>
        <v>10548</v>
      </c>
      <c r="AQ99" s="162">
        <f t="shared" si="8"/>
        <v>10548</v>
      </c>
      <c r="AR99" s="162">
        <f t="shared" si="8"/>
        <v>10548</v>
      </c>
      <c r="AS99" s="162">
        <f t="shared" si="8"/>
        <v>10548</v>
      </c>
      <c r="AT99" s="162">
        <f t="shared" si="8"/>
        <v>10548</v>
      </c>
      <c r="AU99" s="162">
        <f t="shared" si="8"/>
        <v>10548</v>
      </c>
      <c r="AV99" s="162">
        <f t="shared" si="8"/>
        <v>10548</v>
      </c>
      <c r="AW99" s="162">
        <f t="shared" si="8"/>
        <v>10548</v>
      </c>
      <c r="AX99" s="162">
        <f t="shared" si="8"/>
        <v>10548</v>
      </c>
      <c r="AY99" s="162">
        <f t="shared" si="8"/>
        <v>10548</v>
      </c>
      <c r="AZ99" s="7"/>
      <c r="BA99" s="37"/>
      <c r="BB99" s="37"/>
      <c r="BC99" s="37"/>
      <c r="BD99" s="42"/>
      <c r="BE99" s="41"/>
      <c r="BF99" s="41"/>
      <c r="BG99" s="41"/>
      <c r="BH99" s="41"/>
      <c r="BI99" s="41"/>
      <c r="BJ99" s="41"/>
      <c r="BK99" s="41"/>
      <c r="BL99" s="41"/>
      <c r="BM99" s="41"/>
      <c r="BN99" s="41"/>
    </row>
    <row r="100" spans="1:66" s="5" customFormat="1" hidden="1" x14ac:dyDescent="0.25">
      <c r="A100" s="7"/>
      <c r="B100" s="5" t="str">
        <f t="array" ref="B100">IFERROR(INDEX(DemandSupply,MATCH(INDEX($R$1:R100,SMALL(ROW($R$1:R100)+(10000*($R$1:R100="")),COUNTA($R$1:R100))),Sectors,0)),"")</f>
        <v>Demand</v>
      </c>
      <c r="M100" s="7"/>
      <c r="N100" s="76"/>
      <c r="O100" s="77"/>
      <c r="P100" s="77"/>
      <c r="Q100" s="82"/>
      <c r="R100" s="77"/>
      <c r="S100" s="76"/>
      <c r="T100" s="77"/>
      <c r="U100" s="82"/>
      <c r="V100" s="77"/>
      <c r="W100" s="82"/>
      <c r="X100" s="77"/>
      <c r="Y100" s="77"/>
      <c r="Z100" s="76"/>
      <c r="AA100" s="77"/>
      <c r="AB100" s="76"/>
      <c r="AC100" s="77"/>
      <c r="AD100" s="76"/>
      <c r="AE100" s="77"/>
      <c r="AF100" s="76"/>
      <c r="AG100" s="77"/>
      <c r="AH100" s="76"/>
      <c r="AI100" s="7"/>
      <c r="AJ100" s="27" t="str">
        <f t="shared" si="2"/>
        <v/>
      </c>
      <c r="AK100" s="3" t="s">
        <v>44</v>
      </c>
      <c r="AL100" s="3"/>
      <c r="AM100" s="3" t="s">
        <v>68</v>
      </c>
      <c r="AN100" s="18" t="s">
        <v>32</v>
      </c>
      <c r="AO100" s="23"/>
      <c r="AP100" s="162"/>
      <c r="AQ100" s="162"/>
      <c r="AR100" s="162"/>
      <c r="AS100" s="162"/>
      <c r="AT100" s="162"/>
      <c r="AU100" s="162"/>
      <c r="AV100" s="162"/>
      <c r="AW100" s="162"/>
      <c r="AX100" s="162"/>
      <c r="AY100" s="162"/>
      <c r="AZ100" s="7"/>
      <c r="BA100" s="37"/>
      <c r="BB100" s="37"/>
      <c r="BC100" s="37"/>
      <c r="BD100" s="42"/>
      <c r="BE100" s="41"/>
      <c r="BF100" s="41"/>
      <c r="BG100" s="41"/>
      <c r="BH100" s="41"/>
      <c r="BI100" s="41"/>
      <c r="BJ100" s="41"/>
      <c r="BK100" s="41"/>
      <c r="BL100" s="41"/>
      <c r="BM100" s="41"/>
      <c r="BN100" s="41"/>
    </row>
    <row r="101" spans="1:66" s="5" customFormat="1" hidden="1" x14ac:dyDescent="0.25">
      <c r="A101" s="7"/>
      <c r="B101" s="5" t="str">
        <f t="array" ref="B101">IFERROR(INDEX(DemandSupply,MATCH(INDEX($R$1:R101,SMALL(ROW($R$1:R101)+(10000*($R$1:R101="")),COUNTA($R$1:R101))),Sectors,0)),"")</f>
        <v>Demand</v>
      </c>
      <c r="M101" s="7"/>
      <c r="N101" s="76"/>
      <c r="O101" s="77"/>
      <c r="P101" s="77"/>
      <c r="Q101" s="82"/>
      <c r="R101" s="77"/>
      <c r="S101" s="76"/>
      <c r="T101" s="77"/>
      <c r="U101" s="82"/>
      <c r="V101" s="77"/>
      <c r="W101" s="82"/>
      <c r="X101" s="77"/>
      <c r="Y101" s="77"/>
      <c r="Z101" s="76"/>
      <c r="AA101" s="77"/>
      <c r="AB101" s="76"/>
      <c r="AC101" s="77"/>
      <c r="AD101" s="76"/>
      <c r="AE101" s="77"/>
      <c r="AF101" s="76"/>
      <c r="AG101" s="77"/>
      <c r="AH101" s="76"/>
      <c r="AI101" s="7"/>
      <c r="AJ101" s="27" t="str">
        <f t="shared" si="2"/>
        <v/>
      </c>
      <c r="AK101" s="3" t="s">
        <v>51</v>
      </c>
      <c r="AL101" s="3"/>
      <c r="AM101" s="3" t="s">
        <v>68</v>
      </c>
      <c r="AN101" s="18" t="s">
        <v>32</v>
      </c>
      <c r="AO101" s="23"/>
      <c r="AP101" s="162"/>
      <c r="AQ101" s="162"/>
      <c r="AR101" s="162"/>
      <c r="AS101" s="162"/>
      <c r="AT101" s="162"/>
      <c r="AU101" s="162"/>
      <c r="AV101" s="162"/>
      <c r="AW101" s="162"/>
      <c r="AX101" s="162"/>
      <c r="AY101" s="162"/>
      <c r="AZ101" s="7"/>
      <c r="BA101" s="37"/>
      <c r="BB101" s="37"/>
      <c r="BC101" s="37"/>
      <c r="BD101" s="42"/>
      <c r="BE101" s="41"/>
      <c r="BF101" s="41"/>
      <c r="BG101" s="41"/>
      <c r="BH101" s="41"/>
      <c r="BI101" s="41"/>
      <c r="BJ101" s="41"/>
      <c r="BK101" s="41"/>
      <c r="BL101" s="41"/>
      <c r="BM101" s="41"/>
      <c r="BN101" s="41"/>
    </row>
    <row r="102" spans="1:66" s="5" customFormat="1" hidden="1" x14ac:dyDescent="0.25">
      <c r="A102" s="7"/>
      <c r="B102" s="5" t="str">
        <f t="array" ref="B102">IFERROR(INDEX(DemandSupply,MATCH(INDEX($R$1:R102,SMALL(ROW($R$1:R102)+(10000*($R$1:R102="")),COUNTA($R$1:R102))),Sectors,0)),"")</f>
        <v>Demand</v>
      </c>
      <c r="M102" s="7"/>
      <c r="N102" s="76"/>
      <c r="O102" s="77"/>
      <c r="P102" s="77"/>
      <c r="Q102" s="82"/>
      <c r="R102" s="77"/>
      <c r="S102" s="76"/>
      <c r="T102" s="77"/>
      <c r="U102" s="82"/>
      <c r="V102" s="77"/>
      <c r="W102" s="82"/>
      <c r="X102" s="77"/>
      <c r="Y102" s="77"/>
      <c r="Z102" s="76"/>
      <c r="AA102" s="77"/>
      <c r="AB102" s="76"/>
      <c r="AC102" s="77"/>
      <c r="AD102" s="76"/>
      <c r="AE102" s="77"/>
      <c r="AF102" s="76"/>
      <c r="AG102" s="77"/>
      <c r="AH102" s="76"/>
      <c r="AI102" s="7"/>
      <c r="AJ102" s="27" t="str">
        <f t="shared" si="2"/>
        <v/>
      </c>
      <c r="AK102" s="3" t="s">
        <v>191</v>
      </c>
      <c r="AL102" s="3"/>
      <c r="AM102" s="3" t="s">
        <v>118</v>
      </c>
      <c r="AN102" s="18" t="s">
        <v>32</v>
      </c>
      <c r="AO102" s="3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7"/>
      <c r="BA102" s="37"/>
      <c r="BB102" s="37"/>
      <c r="BC102" s="37"/>
      <c r="BD102" s="42"/>
      <c r="BE102" s="41"/>
      <c r="BF102" s="41"/>
      <c r="BG102" s="41"/>
      <c r="BH102" s="41"/>
      <c r="BI102" s="41"/>
      <c r="BJ102" s="41"/>
      <c r="BK102" s="41"/>
      <c r="BL102" s="41"/>
      <c r="BM102" s="41"/>
      <c r="BN102" s="41"/>
    </row>
    <row r="103" spans="1:66" s="5" customFormat="1" hidden="1" x14ac:dyDescent="0.25">
      <c r="A103" s="7"/>
      <c r="B103" s="5" t="str">
        <f t="array" ref="B103">IFERROR(INDEX(DemandSupply,MATCH(INDEX($R$1:R103,SMALL(ROW($R$1:R103)+(10000*($R$1:R103="")),COUNTA($R$1:R103))),Sectors,0)),"")</f>
        <v>Demand</v>
      </c>
      <c r="M103" s="7"/>
      <c r="N103" s="76"/>
      <c r="O103" s="77"/>
      <c r="P103" s="77"/>
      <c r="Q103" s="82"/>
      <c r="R103" s="77"/>
      <c r="S103" s="76"/>
      <c r="T103" s="77"/>
      <c r="U103" s="82"/>
      <c r="V103" s="77"/>
      <c r="W103" s="82"/>
      <c r="X103" s="77"/>
      <c r="Y103" s="77"/>
      <c r="Z103" s="76"/>
      <c r="AA103" s="77"/>
      <c r="AB103" s="76"/>
      <c r="AC103" s="77"/>
      <c r="AD103" s="76"/>
      <c r="AE103" s="77"/>
      <c r="AF103" s="76"/>
      <c r="AG103" s="77"/>
      <c r="AH103" s="76"/>
      <c r="AI103" s="7"/>
      <c r="AJ103" s="27" t="str">
        <f t="shared" si="2"/>
        <v/>
      </c>
      <c r="AK103" s="3" t="s">
        <v>192</v>
      </c>
      <c r="AL103" s="3"/>
      <c r="AM103" s="3" t="s">
        <v>118</v>
      </c>
      <c r="AN103" s="18" t="s">
        <v>32</v>
      </c>
      <c r="AO103" s="3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7"/>
      <c r="BA103" s="37"/>
      <c r="BB103" s="37"/>
      <c r="BC103" s="37"/>
      <c r="BD103" s="42"/>
      <c r="BE103" s="41"/>
      <c r="BF103" s="41"/>
      <c r="BG103" s="41"/>
      <c r="BH103" s="41"/>
      <c r="BI103" s="41"/>
      <c r="BJ103" s="41"/>
      <c r="BK103" s="41"/>
      <c r="BL103" s="41"/>
      <c r="BM103" s="41"/>
      <c r="BN103" s="41"/>
    </row>
    <row r="104" spans="1:66" s="5" customFormat="1" hidden="1" x14ac:dyDescent="0.25">
      <c r="A104" s="7"/>
      <c r="B104" s="5" t="str">
        <f t="array" ref="B104">IFERROR(INDEX(DemandSupply,MATCH(INDEX($R$1:R104,SMALL(ROW($R$1:R104)+(10000*($R$1:R104="")),COUNTA($R$1:R104))),Sectors,0)),"")</f>
        <v>Demand</v>
      </c>
      <c r="M104" s="7"/>
      <c r="N104" s="76"/>
      <c r="O104" s="77"/>
      <c r="P104" s="77"/>
      <c r="Q104" s="82"/>
      <c r="R104" s="77"/>
      <c r="S104" s="76"/>
      <c r="T104" s="77"/>
      <c r="U104" s="82"/>
      <c r="V104" s="77"/>
      <c r="W104" s="82"/>
      <c r="X104" s="77"/>
      <c r="Y104" s="77"/>
      <c r="Z104" s="76"/>
      <c r="AA104" s="77"/>
      <c r="AB104" s="76"/>
      <c r="AC104" s="77"/>
      <c r="AD104" s="76"/>
      <c r="AE104" s="77"/>
      <c r="AF104" s="76"/>
      <c r="AG104" s="77"/>
      <c r="AH104" s="76"/>
      <c r="AI104" s="7"/>
      <c r="AJ104" s="27" t="str">
        <f t="shared" si="2"/>
        <v/>
      </c>
      <c r="AK104" s="3" t="s">
        <v>94</v>
      </c>
      <c r="AL104" s="3" t="s">
        <v>149</v>
      </c>
      <c r="AM104" s="3" t="s">
        <v>54</v>
      </c>
      <c r="AN104" s="18" t="s">
        <v>32</v>
      </c>
      <c r="AO104" s="22">
        <v>0.36</v>
      </c>
      <c r="AP104" s="161">
        <f t="shared" ref="AP104:AY104" si="9">AO104</f>
        <v>0.36</v>
      </c>
      <c r="AQ104" s="161">
        <f t="shared" si="9"/>
        <v>0.36</v>
      </c>
      <c r="AR104" s="161">
        <f t="shared" si="9"/>
        <v>0.36</v>
      </c>
      <c r="AS104" s="161">
        <f t="shared" si="9"/>
        <v>0.36</v>
      </c>
      <c r="AT104" s="161">
        <f t="shared" si="9"/>
        <v>0.36</v>
      </c>
      <c r="AU104" s="161">
        <f t="shared" si="9"/>
        <v>0.36</v>
      </c>
      <c r="AV104" s="161">
        <f t="shared" si="9"/>
        <v>0.36</v>
      </c>
      <c r="AW104" s="161">
        <f t="shared" si="9"/>
        <v>0.36</v>
      </c>
      <c r="AX104" s="161">
        <f t="shared" si="9"/>
        <v>0.36</v>
      </c>
      <c r="AY104" s="161">
        <f t="shared" si="9"/>
        <v>0.36</v>
      </c>
      <c r="AZ104" s="7"/>
      <c r="BA104" s="37"/>
      <c r="BB104" s="37"/>
      <c r="BC104" s="37"/>
      <c r="BD104" s="42"/>
      <c r="BE104" s="41"/>
      <c r="BF104" s="41"/>
      <c r="BG104" s="41"/>
      <c r="BH104" s="41"/>
      <c r="BI104" s="41"/>
      <c r="BJ104" s="41"/>
      <c r="BK104" s="41"/>
      <c r="BL104" s="41"/>
      <c r="BM104" s="41"/>
      <c r="BN104" s="41"/>
    </row>
    <row r="105" spans="1:66" s="5" customFormat="1" hidden="1" x14ac:dyDescent="0.25">
      <c r="A105" s="7"/>
      <c r="B105" s="5" t="str">
        <f t="array" ref="B105">IFERROR(INDEX(DemandSupply,MATCH(INDEX($R$1:R105,SMALL(ROW($R$1:R105)+(10000*($R$1:R105="")),COUNTA($R$1:R105))),Sectors,0)),"")</f>
        <v>Demand</v>
      </c>
      <c r="M105" s="7"/>
      <c r="N105" s="76"/>
      <c r="O105" s="77"/>
      <c r="P105" s="77"/>
      <c r="Q105" s="82"/>
      <c r="R105" s="77"/>
      <c r="S105" s="76"/>
      <c r="T105" s="77"/>
      <c r="U105" s="82"/>
      <c r="V105" s="77"/>
      <c r="W105" s="82"/>
      <c r="X105" s="77"/>
      <c r="Y105" s="77"/>
      <c r="Z105" s="76"/>
      <c r="AA105" s="77"/>
      <c r="AB105" s="76"/>
      <c r="AC105" s="77"/>
      <c r="AD105" s="76"/>
      <c r="AE105" s="77"/>
      <c r="AF105" s="76"/>
      <c r="AG105" s="77"/>
      <c r="AH105" s="76"/>
      <c r="AI105" s="7"/>
      <c r="AJ105" s="27" t="str">
        <f t="shared" si="2"/>
        <v/>
      </c>
      <c r="AK105" s="3" t="s">
        <v>94</v>
      </c>
      <c r="AL105" s="3" t="s">
        <v>150</v>
      </c>
      <c r="AM105" s="3" t="s">
        <v>54</v>
      </c>
      <c r="AN105" s="18" t="s">
        <v>32</v>
      </c>
      <c r="AO105" s="22">
        <v>3.9E-2</v>
      </c>
      <c r="AP105" s="161">
        <f t="shared" ref="AP105:AY105" si="10">AO105</f>
        <v>3.9E-2</v>
      </c>
      <c r="AQ105" s="161">
        <f t="shared" si="10"/>
        <v>3.9E-2</v>
      </c>
      <c r="AR105" s="161">
        <f t="shared" si="10"/>
        <v>3.9E-2</v>
      </c>
      <c r="AS105" s="161">
        <f t="shared" si="10"/>
        <v>3.9E-2</v>
      </c>
      <c r="AT105" s="161">
        <f t="shared" si="10"/>
        <v>3.9E-2</v>
      </c>
      <c r="AU105" s="161">
        <f t="shared" si="10"/>
        <v>3.9E-2</v>
      </c>
      <c r="AV105" s="161">
        <f t="shared" si="10"/>
        <v>3.9E-2</v>
      </c>
      <c r="AW105" s="161">
        <f t="shared" si="10"/>
        <v>3.9E-2</v>
      </c>
      <c r="AX105" s="161">
        <f t="shared" si="10"/>
        <v>3.9E-2</v>
      </c>
      <c r="AY105" s="161">
        <f t="shared" si="10"/>
        <v>3.9E-2</v>
      </c>
      <c r="AZ105" s="7"/>
      <c r="BA105" s="37"/>
      <c r="BB105" s="37"/>
      <c r="BC105" s="37"/>
      <c r="BD105" s="42"/>
      <c r="BE105" s="41"/>
      <c r="BF105" s="41"/>
      <c r="BG105" s="41"/>
      <c r="BH105" s="41"/>
      <c r="BI105" s="41"/>
      <c r="BJ105" s="41"/>
      <c r="BK105" s="41"/>
      <c r="BL105" s="41"/>
      <c r="BM105" s="41"/>
      <c r="BN105" s="41"/>
    </row>
    <row r="106" spans="1:66" s="5" customFormat="1" hidden="1" x14ac:dyDescent="0.25">
      <c r="A106" s="7"/>
      <c r="B106" s="5" t="str">
        <f t="array" ref="B106">IFERROR(INDEX(DemandSupply,MATCH(INDEX($R$1:R106,SMALL(ROW($R$1:R106)+(10000*($R$1:R106="")),COUNTA($R$1:R106))),Sectors,0)),"")</f>
        <v>Demand</v>
      </c>
      <c r="M106" s="7"/>
      <c r="N106" s="76"/>
      <c r="O106" s="77"/>
      <c r="P106" s="77"/>
      <c r="Q106" s="82"/>
      <c r="R106" s="77"/>
      <c r="S106" s="76"/>
      <c r="T106" s="77"/>
      <c r="U106" s="82"/>
      <c r="V106" s="77"/>
      <c r="W106" s="82"/>
      <c r="X106" s="77"/>
      <c r="Y106" s="77"/>
      <c r="Z106" s="76"/>
      <c r="AA106" s="77"/>
      <c r="AB106" s="76"/>
      <c r="AC106" s="77"/>
      <c r="AD106" s="76"/>
      <c r="AE106" s="77"/>
      <c r="AF106" s="76"/>
      <c r="AG106" s="77"/>
      <c r="AH106" s="76"/>
      <c r="AI106" s="7"/>
      <c r="AJ106" s="27" t="str">
        <f t="shared" si="2"/>
        <v/>
      </c>
      <c r="AK106" s="3" t="s">
        <v>91</v>
      </c>
      <c r="AL106" s="3"/>
      <c r="AM106" s="3" t="s">
        <v>118</v>
      </c>
      <c r="AN106" s="18" t="s">
        <v>32</v>
      </c>
      <c r="AO106" s="22">
        <v>0</v>
      </c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7"/>
      <c r="BA106" s="37"/>
      <c r="BB106" s="37"/>
      <c r="BC106" s="37"/>
      <c r="BD106" s="42"/>
      <c r="BE106" s="41"/>
      <c r="BF106" s="41"/>
      <c r="BG106" s="41"/>
      <c r="BH106" s="41"/>
      <c r="BI106" s="41"/>
      <c r="BJ106" s="41"/>
      <c r="BK106" s="41"/>
      <c r="BL106" s="41"/>
      <c r="BM106" s="41"/>
      <c r="BN106" s="41"/>
    </row>
    <row r="107" spans="1:66" s="5" customFormat="1" hidden="1" x14ac:dyDescent="0.25">
      <c r="A107" s="7"/>
      <c r="B107" s="5" t="str">
        <f t="array" ref="B107">IFERROR(INDEX(DemandSupply,MATCH(INDEX($R$1:R107,SMALL(ROW($R$1:R107)+(10000*($R$1:R107="")),COUNTA($R$1:R107))),Sectors,0)),"")</f>
        <v>Demand</v>
      </c>
      <c r="M107" s="7"/>
      <c r="N107" s="76"/>
      <c r="O107" s="77"/>
      <c r="P107" s="77"/>
      <c r="Q107" s="82"/>
      <c r="R107" s="77"/>
      <c r="S107" s="76"/>
      <c r="T107" s="77"/>
      <c r="U107" s="82"/>
      <c r="V107" s="77"/>
      <c r="W107" s="82"/>
      <c r="X107" s="77"/>
      <c r="Y107" s="77"/>
      <c r="Z107" s="76"/>
      <c r="AA107" s="77"/>
      <c r="AB107" s="76"/>
      <c r="AC107" s="77"/>
      <c r="AD107" s="76"/>
      <c r="AE107" s="77"/>
      <c r="AF107" s="76"/>
      <c r="AG107" s="77"/>
      <c r="AH107" s="76"/>
      <c r="AI107" s="7"/>
      <c r="AJ107" s="27" t="str">
        <f t="shared" si="2"/>
        <v/>
      </c>
      <c r="AK107" s="3" t="s">
        <v>63</v>
      </c>
      <c r="AL107" s="3"/>
      <c r="AM107" s="3"/>
      <c r="AN107" s="88" t="s">
        <v>33</v>
      </c>
      <c r="AO107" s="3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7"/>
      <c r="BA107" s="37"/>
      <c r="BB107" s="37"/>
      <c r="BC107" s="37"/>
      <c r="BD107" s="42"/>
      <c r="BE107" s="41"/>
      <c r="BF107" s="41"/>
      <c r="BG107" s="41"/>
      <c r="BH107" s="41"/>
      <c r="BI107" s="41"/>
      <c r="BJ107" s="41"/>
      <c r="BK107" s="41"/>
      <c r="BL107" s="41"/>
      <c r="BM107" s="41"/>
      <c r="BN107" s="41"/>
    </row>
    <row r="108" spans="1:66" s="5" customFormat="1" hidden="1" x14ac:dyDescent="0.25">
      <c r="A108" s="7"/>
      <c r="B108" s="5" t="str">
        <f t="array" ref="B108">IFERROR(INDEX(DemandSupply,MATCH(INDEX($R$1:R108,SMALL(ROW($R$1:R108)+(10000*($R$1:R108="")),COUNTA($R$1:R108))),Sectors,0)),"")</f>
        <v>Demand</v>
      </c>
      <c r="M108" s="7"/>
      <c r="N108" s="76"/>
      <c r="O108" s="77"/>
      <c r="P108" s="77"/>
      <c r="Q108" s="82"/>
      <c r="R108" s="77"/>
      <c r="S108" s="76"/>
      <c r="T108" s="77"/>
      <c r="U108" s="82"/>
      <c r="V108" s="77"/>
      <c r="W108" s="82"/>
      <c r="X108" s="77"/>
      <c r="Y108" s="77"/>
      <c r="Z108" s="76"/>
      <c r="AA108" s="77"/>
      <c r="AB108" s="76"/>
      <c r="AC108" s="77"/>
      <c r="AD108" s="76"/>
      <c r="AE108" s="77"/>
      <c r="AF108" s="76"/>
      <c r="AG108" s="77"/>
      <c r="AH108" s="76"/>
      <c r="AI108" s="7"/>
      <c r="AJ108" s="27" t="str">
        <f t="shared" si="2"/>
        <v/>
      </c>
      <c r="AK108" s="3" t="s">
        <v>41</v>
      </c>
      <c r="AL108" s="3"/>
      <c r="AM108" s="3" t="s">
        <v>43</v>
      </c>
      <c r="AN108" s="18" t="s">
        <v>33</v>
      </c>
      <c r="AO108" s="3">
        <v>2015</v>
      </c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7"/>
      <c r="BA108" s="37"/>
      <c r="BB108" s="37"/>
      <c r="BC108" s="37"/>
      <c r="BD108" s="42"/>
      <c r="BE108" s="41"/>
      <c r="BF108" s="41"/>
      <c r="BG108" s="41"/>
      <c r="BH108" s="41"/>
      <c r="BI108" s="41"/>
      <c r="BJ108" s="41"/>
      <c r="BK108" s="41"/>
      <c r="BL108" s="41"/>
      <c r="BM108" s="41"/>
      <c r="BN108" s="41"/>
    </row>
    <row r="109" spans="1:66" s="5" customFormat="1" hidden="1" x14ac:dyDescent="0.25">
      <c r="A109" s="7"/>
      <c r="B109" s="5" t="str">
        <f t="array" ref="B109">IFERROR(INDEX(DemandSupply,MATCH(INDEX($R$1:R109,SMALL(ROW($R$1:R109)+(10000*($R$1:R109="")),COUNTA($R$1:R109))),Sectors,0)),"")</f>
        <v>Demand</v>
      </c>
      <c r="M109" s="7"/>
      <c r="N109" s="76"/>
      <c r="O109" s="77"/>
      <c r="P109" s="77"/>
      <c r="Q109" s="82"/>
      <c r="R109" s="77"/>
      <c r="S109" s="76"/>
      <c r="T109" s="77"/>
      <c r="U109" s="82"/>
      <c r="V109" s="77"/>
      <c r="W109" s="82"/>
      <c r="X109" s="77"/>
      <c r="Y109" s="77"/>
      <c r="Z109" s="76"/>
      <c r="AA109" s="77"/>
      <c r="AB109" s="76"/>
      <c r="AC109" s="77"/>
      <c r="AD109" s="76"/>
      <c r="AE109" s="77"/>
      <c r="AF109" s="76"/>
      <c r="AG109" s="77"/>
      <c r="AH109" s="76"/>
      <c r="AI109" s="7"/>
      <c r="AJ109" s="27" t="str">
        <f t="shared" si="2"/>
        <v/>
      </c>
      <c r="AK109" s="3" t="s">
        <v>40</v>
      </c>
      <c r="AL109" s="3"/>
      <c r="AM109" s="3" t="s">
        <v>43</v>
      </c>
      <c r="AN109" s="18" t="s">
        <v>33</v>
      </c>
      <c r="AO109" s="3">
        <v>2100</v>
      </c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7"/>
      <c r="BA109" s="37"/>
      <c r="BB109" s="37"/>
      <c r="BC109" s="37"/>
      <c r="BD109" s="42"/>
      <c r="BE109" s="41"/>
      <c r="BF109" s="41"/>
      <c r="BG109" s="41"/>
      <c r="BH109" s="41"/>
      <c r="BI109" s="41"/>
      <c r="BJ109" s="41"/>
      <c r="BK109" s="41"/>
      <c r="BL109" s="41"/>
      <c r="BM109" s="41"/>
      <c r="BN109" s="41"/>
    </row>
    <row r="110" spans="1:66" s="5" customFormat="1" hidden="1" x14ac:dyDescent="0.25">
      <c r="A110" s="7"/>
      <c r="B110" s="5" t="str">
        <f t="array" ref="B110">IFERROR(INDEX(DemandSupply,MATCH(INDEX($R$1:R110,SMALL(ROW($R$1:R110)+(10000*($R$1:R110="")),COUNTA($R$1:R110))),Sectors,0)),"")</f>
        <v>Demand</v>
      </c>
      <c r="M110" s="7"/>
      <c r="N110" s="76"/>
      <c r="O110" s="77"/>
      <c r="P110" s="77"/>
      <c r="Q110" s="82"/>
      <c r="R110" s="77"/>
      <c r="S110" s="76"/>
      <c r="T110" s="77"/>
      <c r="U110" s="82"/>
      <c r="V110" s="77"/>
      <c r="W110" s="82"/>
      <c r="X110" s="77"/>
      <c r="Y110" s="77"/>
      <c r="Z110" s="76"/>
      <c r="AA110" s="77"/>
      <c r="AB110" s="76"/>
      <c r="AC110" s="77"/>
      <c r="AD110" s="76"/>
      <c r="AE110" s="77"/>
      <c r="AF110" s="76"/>
      <c r="AG110" s="77"/>
      <c r="AH110" s="76"/>
      <c r="AI110" s="7"/>
      <c r="AJ110" s="27" t="str">
        <f t="shared" si="2"/>
        <v/>
      </c>
      <c r="AK110" s="3" t="s">
        <v>42</v>
      </c>
      <c r="AL110" s="3"/>
      <c r="AM110" s="3" t="s">
        <v>10</v>
      </c>
      <c r="AN110" s="18" t="s">
        <v>33</v>
      </c>
      <c r="AO110" s="3">
        <v>25</v>
      </c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7"/>
      <c r="BA110" s="37"/>
      <c r="BB110" s="37"/>
      <c r="BC110" s="37"/>
      <c r="BD110" s="42"/>
      <c r="BE110" s="41"/>
      <c r="BF110" s="41"/>
      <c r="BG110" s="41"/>
      <c r="BH110" s="41"/>
      <c r="BI110" s="41"/>
      <c r="BJ110" s="41"/>
      <c r="BK110" s="41"/>
      <c r="BL110" s="41"/>
      <c r="BM110" s="41"/>
      <c r="BN110" s="41"/>
    </row>
    <row r="111" spans="1:66" s="5" customFormat="1" hidden="1" x14ac:dyDescent="0.25">
      <c r="A111" s="7"/>
      <c r="B111" s="5" t="str">
        <f t="array" ref="B111">IFERROR(INDEX(DemandSupply,MATCH(INDEX($R$1:R111,SMALL(ROW($R$1:R111)+(10000*($R$1:R111="")),COUNTA($R$1:R111))),Sectors,0)),"")</f>
        <v>Demand</v>
      </c>
      <c r="M111" s="7"/>
      <c r="N111" s="76"/>
      <c r="O111" s="77"/>
      <c r="P111" s="77"/>
      <c r="Q111" s="82"/>
      <c r="R111" s="77"/>
      <c r="S111" s="76"/>
      <c r="T111" s="77"/>
      <c r="U111" s="82"/>
      <c r="V111" s="77"/>
      <c r="W111" s="82"/>
      <c r="X111" s="77"/>
      <c r="Y111" s="77"/>
      <c r="Z111" s="76"/>
      <c r="AA111" s="77"/>
      <c r="AB111" s="76"/>
      <c r="AC111" s="77"/>
      <c r="AD111" s="76"/>
      <c r="AE111" s="77"/>
      <c r="AF111" s="76"/>
      <c r="AG111" s="77"/>
      <c r="AH111" s="76"/>
      <c r="AI111" s="7"/>
      <c r="AJ111" s="27" t="str">
        <f t="shared" si="2"/>
        <v/>
      </c>
      <c r="AK111" s="3" t="s">
        <v>67</v>
      </c>
      <c r="AL111" s="3"/>
      <c r="AM111" s="3" t="s">
        <v>118</v>
      </c>
      <c r="AN111" s="18" t="s">
        <v>33</v>
      </c>
      <c r="AO111" s="3">
        <v>0.25</v>
      </c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7"/>
      <c r="BA111" s="37"/>
      <c r="BB111" s="37"/>
      <c r="BC111" s="37"/>
      <c r="BD111" s="42"/>
      <c r="BE111" s="41"/>
      <c r="BF111" s="41"/>
      <c r="BG111" s="41"/>
      <c r="BH111" s="41"/>
      <c r="BI111" s="41"/>
      <c r="BJ111" s="41"/>
      <c r="BK111" s="41"/>
      <c r="BL111" s="41"/>
      <c r="BM111" s="41"/>
      <c r="BN111" s="41"/>
    </row>
    <row r="112" spans="1:66" s="5" customFormat="1" hidden="1" x14ac:dyDescent="0.25">
      <c r="A112" s="7"/>
      <c r="B112" s="5" t="str">
        <f t="array" ref="B112">IFERROR(INDEX(DemandSupply,MATCH(INDEX($R$1:R112,SMALL(ROW($R$1:R112)+(10000*($R$1:R112="")),COUNTA($R$1:R112))),Sectors,0)),"")</f>
        <v>Demand</v>
      </c>
      <c r="M112" s="7"/>
      <c r="N112" s="76"/>
      <c r="O112" s="77"/>
      <c r="P112" s="77"/>
      <c r="Q112" s="82"/>
      <c r="R112" s="77"/>
      <c r="S112" s="76"/>
      <c r="T112" s="77"/>
      <c r="U112" s="82"/>
      <c r="V112" s="77"/>
      <c r="W112" s="82"/>
      <c r="X112" s="77"/>
      <c r="Y112" s="77"/>
      <c r="Z112" s="76"/>
      <c r="AA112" s="77"/>
      <c r="AB112" s="76"/>
      <c r="AC112" s="77"/>
      <c r="AD112" s="76"/>
      <c r="AE112" s="77"/>
      <c r="AF112" s="76"/>
      <c r="AG112" s="77"/>
      <c r="AH112" s="76"/>
      <c r="AI112" s="7"/>
      <c r="AJ112" s="27" t="str">
        <f t="shared" si="2"/>
        <v/>
      </c>
      <c r="AK112" s="3" t="s">
        <v>38</v>
      </c>
      <c r="AL112" s="3"/>
      <c r="AM112" s="3" t="s">
        <v>68</v>
      </c>
      <c r="AN112" s="18" t="s">
        <v>33</v>
      </c>
      <c r="AO112" s="23">
        <v>18325</v>
      </c>
      <c r="AP112" s="162">
        <f t="shared" ref="AP112:AY112" si="11">AO112</f>
        <v>18325</v>
      </c>
      <c r="AQ112" s="162">
        <f t="shared" si="11"/>
        <v>18325</v>
      </c>
      <c r="AR112" s="162">
        <f t="shared" si="11"/>
        <v>18325</v>
      </c>
      <c r="AS112" s="162">
        <f t="shared" si="11"/>
        <v>18325</v>
      </c>
      <c r="AT112" s="162">
        <f t="shared" si="11"/>
        <v>18325</v>
      </c>
      <c r="AU112" s="162">
        <f t="shared" si="11"/>
        <v>18325</v>
      </c>
      <c r="AV112" s="162">
        <f t="shared" si="11"/>
        <v>18325</v>
      </c>
      <c r="AW112" s="162">
        <f t="shared" si="11"/>
        <v>18325</v>
      </c>
      <c r="AX112" s="162">
        <f t="shared" si="11"/>
        <v>18325</v>
      </c>
      <c r="AY112" s="162">
        <f t="shared" si="11"/>
        <v>18325</v>
      </c>
      <c r="AZ112" s="7"/>
      <c r="BA112" s="37"/>
      <c r="BB112" s="37"/>
      <c r="BC112" s="37"/>
      <c r="BD112" s="42"/>
      <c r="BE112" s="41"/>
      <c r="BF112" s="41"/>
      <c r="BG112" s="41"/>
      <c r="BH112" s="41"/>
      <c r="BI112" s="41"/>
      <c r="BJ112" s="41"/>
      <c r="BK112" s="41"/>
      <c r="BL112" s="41"/>
      <c r="BM112" s="41"/>
      <c r="BN112" s="41"/>
    </row>
    <row r="113" spans="1:66" s="5" customFormat="1" hidden="1" x14ac:dyDescent="0.25">
      <c r="A113" s="7"/>
      <c r="B113" s="5" t="str">
        <f t="array" ref="B113">IFERROR(INDEX(DemandSupply,MATCH(INDEX($R$1:R113,SMALL(ROW($R$1:R113)+(10000*($R$1:R113="")),COUNTA($R$1:R113))),Sectors,0)),"")</f>
        <v>Demand</v>
      </c>
      <c r="M113" s="7"/>
      <c r="N113" s="76"/>
      <c r="O113" s="77"/>
      <c r="P113" s="77"/>
      <c r="Q113" s="82"/>
      <c r="R113" s="77"/>
      <c r="S113" s="76"/>
      <c r="T113" s="77"/>
      <c r="U113" s="82"/>
      <c r="V113" s="77"/>
      <c r="W113" s="82"/>
      <c r="X113" s="77"/>
      <c r="Y113" s="77"/>
      <c r="Z113" s="76"/>
      <c r="AA113" s="77"/>
      <c r="AB113" s="76"/>
      <c r="AC113" s="77"/>
      <c r="AD113" s="76"/>
      <c r="AE113" s="77"/>
      <c r="AF113" s="76"/>
      <c r="AG113" s="77"/>
      <c r="AH113" s="76"/>
      <c r="AI113" s="7"/>
      <c r="AJ113" s="27" t="str">
        <f t="shared" si="2"/>
        <v/>
      </c>
      <c r="AK113" s="3" t="s">
        <v>44</v>
      </c>
      <c r="AL113" s="3"/>
      <c r="AM113" s="3" t="s">
        <v>68</v>
      </c>
      <c r="AN113" s="18" t="s">
        <v>33</v>
      </c>
      <c r="AO113" s="23"/>
      <c r="AP113" s="162"/>
      <c r="AQ113" s="162"/>
      <c r="AR113" s="162"/>
      <c r="AS113" s="162"/>
      <c r="AT113" s="162"/>
      <c r="AU113" s="162"/>
      <c r="AV113" s="162"/>
      <c r="AW113" s="162"/>
      <c r="AX113" s="162"/>
      <c r="AY113" s="162"/>
      <c r="AZ113" s="7"/>
      <c r="BA113" s="37"/>
      <c r="BB113" s="37"/>
      <c r="BC113" s="37"/>
      <c r="BD113" s="42"/>
      <c r="BE113" s="41"/>
      <c r="BF113" s="41"/>
      <c r="BG113" s="41"/>
      <c r="BH113" s="41"/>
      <c r="BI113" s="41"/>
      <c r="BJ113" s="41"/>
      <c r="BK113" s="41"/>
      <c r="BL113" s="41"/>
      <c r="BM113" s="41"/>
      <c r="BN113" s="41"/>
    </row>
    <row r="114" spans="1:66" s="5" customFormat="1" hidden="1" x14ac:dyDescent="0.25">
      <c r="A114" s="7"/>
      <c r="B114" s="5" t="str">
        <f t="array" ref="B114">IFERROR(INDEX(DemandSupply,MATCH(INDEX($R$1:R114,SMALL(ROW($R$1:R114)+(10000*($R$1:R114="")),COUNTA($R$1:R114))),Sectors,0)),"")</f>
        <v>Demand</v>
      </c>
      <c r="M114" s="7"/>
      <c r="N114" s="76"/>
      <c r="O114" s="77"/>
      <c r="P114" s="77"/>
      <c r="Q114" s="82"/>
      <c r="R114" s="77"/>
      <c r="S114" s="76"/>
      <c r="T114" s="77"/>
      <c r="U114" s="82"/>
      <c r="V114" s="77"/>
      <c r="W114" s="82"/>
      <c r="X114" s="77"/>
      <c r="Y114" s="77"/>
      <c r="Z114" s="76"/>
      <c r="AA114" s="77"/>
      <c r="AB114" s="76"/>
      <c r="AC114" s="77"/>
      <c r="AD114" s="76"/>
      <c r="AE114" s="77"/>
      <c r="AF114" s="76"/>
      <c r="AG114" s="77"/>
      <c r="AH114" s="76"/>
      <c r="AI114" s="7"/>
      <c r="AJ114" s="27" t="str">
        <f t="shared" si="2"/>
        <v/>
      </c>
      <c r="AK114" s="3" t="s">
        <v>51</v>
      </c>
      <c r="AL114" s="3"/>
      <c r="AM114" s="3" t="s">
        <v>68</v>
      </c>
      <c r="AN114" s="18" t="s">
        <v>33</v>
      </c>
      <c r="AO114" s="23"/>
      <c r="AP114" s="162"/>
      <c r="AQ114" s="162"/>
      <c r="AR114" s="162"/>
      <c r="AS114" s="162"/>
      <c r="AT114" s="162"/>
      <c r="AU114" s="162"/>
      <c r="AV114" s="162"/>
      <c r="AW114" s="162"/>
      <c r="AX114" s="162"/>
      <c r="AY114" s="162"/>
      <c r="AZ114" s="7"/>
      <c r="BA114" s="37"/>
      <c r="BB114" s="37"/>
      <c r="BC114" s="37"/>
      <c r="BD114" s="42"/>
      <c r="BE114" s="41"/>
      <c r="BF114" s="41"/>
      <c r="BG114" s="41"/>
      <c r="BH114" s="41"/>
      <c r="BI114" s="41"/>
      <c r="BJ114" s="41"/>
      <c r="BK114" s="41"/>
      <c r="BL114" s="41"/>
      <c r="BM114" s="41"/>
      <c r="BN114" s="41"/>
    </row>
    <row r="115" spans="1:66" s="5" customFormat="1" hidden="1" x14ac:dyDescent="0.25">
      <c r="A115" s="7"/>
      <c r="B115" s="5" t="str">
        <f t="array" ref="B115">IFERROR(INDEX(DemandSupply,MATCH(INDEX($R$1:R115,SMALL(ROW($R$1:R115)+(10000*($R$1:R115="")),COUNTA($R$1:R115))),Sectors,0)),"")</f>
        <v>Demand</v>
      </c>
      <c r="M115" s="7"/>
      <c r="N115" s="76"/>
      <c r="O115" s="77"/>
      <c r="P115" s="77"/>
      <c r="Q115" s="82"/>
      <c r="R115" s="77"/>
      <c r="S115" s="76"/>
      <c r="T115" s="77"/>
      <c r="U115" s="82"/>
      <c r="V115" s="77"/>
      <c r="W115" s="82"/>
      <c r="X115" s="77"/>
      <c r="Y115" s="77"/>
      <c r="Z115" s="76"/>
      <c r="AA115" s="77"/>
      <c r="AB115" s="76"/>
      <c r="AC115" s="77"/>
      <c r="AD115" s="76"/>
      <c r="AE115" s="77"/>
      <c r="AF115" s="76"/>
      <c r="AG115" s="77"/>
      <c r="AH115" s="76"/>
      <c r="AI115" s="7"/>
      <c r="AJ115" s="27" t="str">
        <f t="shared" si="2"/>
        <v/>
      </c>
      <c r="AK115" s="3" t="s">
        <v>191</v>
      </c>
      <c r="AL115" s="3"/>
      <c r="AM115" s="3" t="s">
        <v>118</v>
      </c>
      <c r="AN115" s="18" t="s">
        <v>33</v>
      </c>
      <c r="AO115" s="3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7"/>
      <c r="BA115" s="37"/>
      <c r="BB115" s="37"/>
      <c r="BC115" s="37"/>
      <c r="BD115" s="42"/>
      <c r="BE115" s="41"/>
      <c r="BF115" s="41"/>
      <c r="BG115" s="41"/>
      <c r="BH115" s="41"/>
      <c r="BI115" s="41"/>
      <c r="BJ115" s="41"/>
      <c r="BK115" s="41"/>
      <c r="BL115" s="41"/>
      <c r="BM115" s="41"/>
      <c r="BN115" s="41"/>
    </row>
    <row r="116" spans="1:66" s="5" customFormat="1" hidden="1" x14ac:dyDescent="0.25">
      <c r="A116" s="7"/>
      <c r="B116" s="5" t="str">
        <f t="array" ref="B116">IFERROR(INDEX(DemandSupply,MATCH(INDEX($R$1:R116,SMALL(ROW($R$1:R116)+(10000*($R$1:R116="")),COUNTA($R$1:R116))),Sectors,0)),"")</f>
        <v>Demand</v>
      </c>
      <c r="M116" s="7"/>
      <c r="N116" s="76"/>
      <c r="O116" s="77"/>
      <c r="P116" s="77"/>
      <c r="Q116" s="82"/>
      <c r="R116" s="77"/>
      <c r="S116" s="76"/>
      <c r="T116" s="77"/>
      <c r="U116" s="82"/>
      <c r="V116" s="77"/>
      <c r="W116" s="82"/>
      <c r="X116" s="77"/>
      <c r="Y116" s="77"/>
      <c r="Z116" s="76"/>
      <c r="AA116" s="77"/>
      <c r="AB116" s="76"/>
      <c r="AC116" s="77"/>
      <c r="AD116" s="76"/>
      <c r="AE116" s="77"/>
      <c r="AF116" s="76"/>
      <c r="AG116" s="77"/>
      <c r="AH116" s="76"/>
      <c r="AI116" s="7"/>
      <c r="AJ116" s="27" t="str">
        <f t="shared" si="2"/>
        <v/>
      </c>
      <c r="AK116" s="3" t="s">
        <v>192</v>
      </c>
      <c r="AL116" s="3"/>
      <c r="AM116" s="3" t="s">
        <v>118</v>
      </c>
      <c r="AN116" s="18" t="s">
        <v>33</v>
      </c>
      <c r="AO116" s="3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7"/>
      <c r="BA116" s="37"/>
      <c r="BB116" s="37"/>
      <c r="BC116" s="37"/>
      <c r="BD116" s="42"/>
      <c r="BE116" s="41"/>
      <c r="BF116" s="41"/>
      <c r="BG116" s="41"/>
      <c r="BH116" s="41"/>
      <c r="BI116" s="41"/>
      <c r="BJ116" s="41"/>
      <c r="BK116" s="41"/>
      <c r="BL116" s="41"/>
      <c r="BM116" s="41"/>
      <c r="BN116" s="41"/>
    </row>
    <row r="117" spans="1:66" s="5" customFormat="1" hidden="1" x14ac:dyDescent="0.25">
      <c r="A117" s="7"/>
      <c r="B117" s="5" t="str">
        <f t="array" ref="B117">IFERROR(INDEX(DemandSupply,MATCH(INDEX($R$1:R117,SMALL(ROW($R$1:R117)+(10000*($R$1:R117="")),COUNTA($R$1:R117))),Sectors,0)),"")</f>
        <v>Demand</v>
      </c>
      <c r="M117" s="7"/>
      <c r="N117" s="76"/>
      <c r="O117" s="77"/>
      <c r="P117" s="77"/>
      <c r="Q117" s="82"/>
      <c r="R117" s="77"/>
      <c r="S117" s="76"/>
      <c r="T117" s="77"/>
      <c r="U117" s="82"/>
      <c r="V117" s="77"/>
      <c r="W117" s="82"/>
      <c r="X117" s="77"/>
      <c r="Y117" s="77"/>
      <c r="Z117" s="76"/>
      <c r="AA117" s="77"/>
      <c r="AB117" s="76"/>
      <c r="AC117" s="77"/>
      <c r="AD117" s="76"/>
      <c r="AE117" s="77"/>
      <c r="AF117" s="76"/>
      <c r="AG117" s="77"/>
      <c r="AH117" s="76"/>
      <c r="AI117" s="7"/>
      <c r="AJ117" s="27" t="str">
        <f t="shared" si="2"/>
        <v/>
      </c>
      <c r="AK117" s="3" t="s">
        <v>94</v>
      </c>
      <c r="AL117" s="3" t="s">
        <v>149</v>
      </c>
      <c r="AM117" s="3" t="s">
        <v>54</v>
      </c>
      <c r="AN117" s="18" t="s">
        <v>33</v>
      </c>
      <c r="AO117" s="22">
        <v>0.309</v>
      </c>
      <c r="AP117" s="161">
        <f t="shared" ref="AP117:AY117" si="12">AO117</f>
        <v>0.309</v>
      </c>
      <c r="AQ117" s="161">
        <f t="shared" si="12"/>
        <v>0.309</v>
      </c>
      <c r="AR117" s="161">
        <f t="shared" si="12"/>
        <v>0.309</v>
      </c>
      <c r="AS117" s="161">
        <f t="shared" si="12"/>
        <v>0.309</v>
      </c>
      <c r="AT117" s="161">
        <f t="shared" si="12"/>
        <v>0.309</v>
      </c>
      <c r="AU117" s="161">
        <f t="shared" si="12"/>
        <v>0.309</v>
      </c>
      <c r="AV117" s="161">
        <f t="shared" si="12"/>
        <v>0.309</v>
      </c>
      <c r="AW117" s="161">
        <f t="shared" si="12"/>
        <v>0.309</v>
      </c>
      <c r="AX117" s="161">
        <f t="shared" si="12"/>
        <v>0.309</v>
      </c>
      <c r="AY117" s="161">
        <f t="shared" si="12"/>
        <v>0.309</v>
      </c>
      <c r="AZ117" s="7"/>
      <c r="BA117" s="37"/>
      <c r="BB117" s="37"/>
      <c r="BC117" s="37"/>
      <c r="BD117" s="42"/>
      <c r="BE117" s="41"/>
      <c r="BF117" s="41"/>
      <c r="BG117" s="41"/>
      <c r="BH117" s="41"/>
      <c r="BI117" s="41"/>
      <c r="BJ117" s="41"/>
      <c r="BK117" s="41"/>
      <c r="BL117" s="41"/>
      <c r="BM117" s="41"/>
      <c r="BN117" s="41"/>
    </row>
    <row r="118" spans="1:66" s="5" customFormat="1" hidden="1" x14ac:dyDescent="0.25">
      <c r="A118" s="7"/>
      <c r="B118" s="5" t="str">
        <f t="array" ref="B118">IFERROR(INDEX(DemandSupply,MATCH(INDEX($R$1:R118,SMALL(ROW($R$1:R118)+(10000*($R$1:R118="")),COUNTA($R$1:R118))),Sectors,0)),"")</f>
        <v>Demand</v>
      </c>
      <c r="M118" s="7"/>
      <c r="N118" s="76"/>
      <c r="O118" s="77"/>
      <c r="P118" s="77"/>
      <c r="Q118" s="82"/>
      <c r="R118" s="77"/>
      <c r="S118" s="76"/>
      <c r="T118" s="77"/>
      <c r="U118" s="82"/>
      <c r="V118" s="77"/>
      <c r="W118" s="82"/>
      <c r="X118" s="77"/>
      <c r="Y118" s="77"/>
      <c r="Z118" s="76"/>
      <c r="AA118" s="77"/>
      <c r="AB118" s="76"/>
      <c r="AC118" s="77"/>
      <c r="AD118" s="76"/>
      <c r="AE118" s="77"/>
      <c r="AF118" s="76"/>
      <c r="AG118" s="77"/>
      <c r="AH118" s="76"/>
      <c r="AI118" s="7"/>
      <c r="AJ118" s="27" t="str">
        <f t="shared" si="2"/>
        <v/>
      </c>
      <c r="AK118" s="3" t="s">
        <v>94</v>
      </c>
      <c r="AL118" s="3" t="s">
        <v>150</v>
      </c>
      <c r="AM118" s="3" t="s">
        <v>54</v>
      </c>
      <c r="AN118" s="18" t="s">
        <v>33</v>
      </c>
      <c r="AO118" s="22">
        <v>2.3E-2</v>
      </c>
      <c r="AP118" s="161">
        <f t="shared" ref="AP118:AY118" si="13">AO118</f>
        <v>2.3E-2</v>
      </c>
      <c r="AQ118" s="161">
        <f t="shared" si="13"/>
        <v>2.3E-2</v>
      </c>
      <c r="AR118" s="161">
        <f t="shared" si="13"/>
        <v>2.3E-2</v>
      </c>
      <c r="AS118" s="161">
        <f t="shared" si="13"/>
        <v>2.3E-2</v>
      </c>
      <c r="AT118" s="161">
        <f t="shared" si="13"/>
        <v>2.3E-2</v>
      </c>
      <c r="AU118" s="161">
        <f t="shared" si="13"/>
        <v>2.3E-2</v>
      </c>
      <c r="AV118" s="161">
        <f t="shared" si="13"/>
        <v>2.3E-2</v>
      </c>
      <c r="AW118" s="161">
        <f t="shared" si="13"/>
        <v>2.3E-2</v>
      </c>
      <c r="AX118" s="161">
        <f t="shared" si="13"/>
        <v>2.3E-2</v>
      </c>
      <c r="AY118" s="161">
        <f t="shared" si="13"/>
        <v>2.3E-2</v>
      </c>
      <c r="AZ118" s="7"/>
      <c r="BA118" s="37"/>
      <c r="BB118" s="37"/>
      <c r="BC118" s="37"/>
      <c r="BD118" s="42"/>
      <c r="BE118" s="41"/>
      <c r="BF118" s="41"/>
      <c r="BG118" s="41"/>
      <c r="BH118" s="41"/>
      <c r="BI118" s="41"/>
      <c r="BJ118" s="41"/>
      <c r="BK118" s="41"/>
      <c r="BL118" s="41"/>
      <c r="BM118" s="41"/>
      <c r="BN118" s="41"/>
    </row>
    <row r="119" spans="1:66" s="5" customFormat="1" hidden="1" x14ac:dyDescent="0.25">
      <c r="A119" s="7"/>
      <c r="B119" s="5" t="str">
        <f t="array" ref="B119">IFERROR(INDEX(DemandSupply,MATCH(INDEX($R$1:R119,SMALL(ROW($R$1:R119)+(10000*($R$1:R119="")),COUNTA($R$1:R119))),Sectors,0)),"")</f>
        <v>Demand</v>
      </c>
      <c r="M119" s="7"/>
      <c r="N119" s="76"/>
      <c r="O119" s="77"/>
      <c r="P119" s="77"/>
      <c r="Q119" s="82"/>
      <c r="R119" s="77"/>
      <c r="S119" s="76"/>
      <c r="T119" s="77"/>
      <c r="U119" s="82"/>
      <c r="V119" s="77"/>
      <c r="W119" s="82"/>
      <c r="X119" s="77"/>
      <c r="Y119" s="77"/>
      <c r="Z119" s="76"/>
      <c r="AA119" s="77"/>
      <c r="AB119" s="76"/>
      <c r="AC119" s="77"/>
      <c r="AD119" s="76"/>
      <c r="AE119" s="77"/>
      <c r="AF119" s="76"/>
      <c r="AG119" s="77"/>
      <c r="AH119" s="76"/>
      <c r="AI119" s="7"/>
      <c r="AJ119" s="27" t="str">
        <f t="shared" si="2"/>
        <v/>
      </c>
      <c r="AK119" s="3" t="s">
        <v>91</v>
      </c>
      <c r="AL119" s="3"/>
      <c r="AM119" s="3" t="s">
        <v>118</v>
      </c>
      <c r="AN119" s="18" t="s">
        <v>33</v>
      </c>
      <c r="AO119" s="22">
        <v>0</v>
      </c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7"/>
      <c r="BA119" s="37"/>
      <c r="BB119" s="37"/>
      <c r="BC119" s="37"/>
      <c r="BD119" s="42"/>
      <c r="BE119" s="41"/>
      <c r="BF119" s="41"/>
      <c r="BG119" s="41"/>
      <c r="BH119" s="41"/>
      <c r="BI119" s="41"/>
      <c r="BJ119" s="41"/>
      <c r="BK119" s="41"/>
      <c r="BL119" s="41"/>
      <c r="BM119" s="41"/>
      <c r="BN119" s="41"/>
    </row>
    <row r="120" spans="1:66" s="5" customFormat="1" x14ac:dyDescent="0.25">
      <c r="A120" s="7"/>
      <c r="B120" s="5" t="str">
        <f t="array" ref="B120">IFERROR(INDEX(DemandSupply,MATCH(INDEX($R$1:R120,SMALL(ROW($R$1:R120)+(10000*($R$1:R120="")),COUNTA($R$1:R120))),Sectors,0)),"")</f>
        <v>Demand</v>
      </c>
      <c r="M120" s="7"/>
      <c r="N120" s="76"/>
      <c r="O120" s="77"/>
      <c r="P120" s="77"/>
      <c r="Q120" s="82"/>
      <c r="R120" s="77"/>
      <c r="S120" s="76"/>
      <c r="T120" s="77"/>
      <c r="U120" s="82"/>
      <c r="V120" s="79"/>
      <c r="W120" s="83"/>
      <c r="X120" s="77"/>
      <c r="Y120" s="76"/>
      <c r="Z120" s="76"/>
      <c r="AA120" s="76"/>
      <c r="AB120" s="76"/>
      <c r="AC120" s="76"/>
      <c r="AD120" s="76"/>
      <c r="AE120" s="76"/>
      <c r="AF120" s="76"/>
      <c r="AG120" s="76"/>
      <c r="AH120" s="76"/>
      <c r="AI120" s="7"/>
      <c r="AJ120" s="27" t="str">
        <f t="shared" si="2"/>
        <v/>
      </c>
      <c r="AK120" s="6"/>
      <c r="AL120" s="6"/>
      <c r="AM120" s="6"/>
      <c r="AN120" s="11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7"/>
      <c r="BA120" s="15"/>
      <c r="BB120" s="15"/>
      <c r="BC120" s="15"/>
      <c r="BD120" s="41"/>
      <c r="BE120" s="41"/>
      <c r="BF120" s="41"/>
      <c r="BG120" s="41"/>
      <c r="BH120" s="41"/>
      <c r="BI120" s="41"/>
      <c r="BJ120" s="41"/>
      <c r="BK120" s="41"/>
      <c r="BL120" s="41"/>
      <c r="BM120" s="41"/>
      <c r="BN120" s="41"/>
    </row>
    <row r="121" spans="1:66" s="5" customFormat="1" x14ac:dyDescent="0.25">
      <c r="A121" s="7"/>
      <c r="B121" s="5" t="str">
        <f t="array" ref="B121">IFERROR(INDEX(DemandSupply,MATCH(INDEX($R$1:R121,SMALL(ROW($R$1:R121)+(10000*($R$1:R121="")),COUNTA($R$1:R121))),Sectors,0)),"")</f>
        <v>Demand</v>
      </c>
      <c r="M121" s="7"/>
      <c r="N121" s="76"/>
      <c r="O121" s="77"/>
      <c r="P121" s="77"/>
      <c r="Q121" s="82"/>
      <c r="R121" s="77"/>
      <c r="S121" s="76"/>
      <c r="T121" s="77"/>
      <c r="U121" s="82"/>
      <c r="V121" s="77"/>
      <c r="W121" s="81"/>
      <c r="X121" s="32" t="s">
        <v>86</v>
      </c>
      <c r="Y121" s="82"/>
      <c r="Z121" s="76"/>
      <c r="AA121" s="77"/>
      <c r="AB121" s="76"/>
      <c r="AC121" s="77"/>
      <c r="AD121" s="76"/>
      <c r="AE121" s="77"/>
      <c r="AF121" s="76"/>
      <c r="AG121" s="77"/>
      <c r="AH121" s="76"/>
      <c r="AI121" s="7"/>
      <c r="AJ121" s="28" t="str">
        <f t="shared" si="2"/>
        <v>Space heating</v>
      </c>
      <c r="AK121" s="6"/>
      <c r="AL121" s="6"/>
      <c r="AM121" s="6"/>
      <c r="AN121" s="11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7"/>
      <c r="BA121" s="15"/>
      <c r="BB121" s="15"/>
      <c r="BC121" s="15"/>
      <c r="BD121" s="41"/>
      <c r="BE121" s="41"/>
      <c r="BF121" s="41"/>
      <c r="BG121" s="41"/>
      <c r="BH121" s="41"/>
      <c r="BI121" s="41"/>
      <c r="BJ121" s="41"/>
      <c r="BK121" s="41"/>
      <c r="BL121" s="41"/>
      <c r="BM121" s="41"/>
      <c r="BN121" s="41"/>
    </row>
    <row r="122" spans="1:66" s="5" customFormat="1" hidden="1" x14ac:dyDescent="0.25">
      <c r="A122" s="7"/>
      <c r="B122" s="5" t="str">
        <f t="array" ref="B122">IFERROR(INDEX(DemandSupply,MATCH(INDEX($R$1:R122,SMALL(ROW($R$1:R122)+(10000*($R$1:R122="")),COUNTA($R$1:R122))),Sectors,0)),"")</f>
        <v>Demand</v>
      </c>
      <c r="M122" s="7"/>
      <c r="N122" s="76"/>
      <c r="O122" s="77"/>
      <c r="P122" s="77"/>
      <c r="Q122" s="82"/>
      <c r="R122" s="77"/>
      <c r="S122" s="76"/>
      <c r="T122" s="77"/>
      <c r="U122" s="82"/>
      <c r="V122" s="77"/>
      <c r="W122" s="82"/>
      <c r="X122" s="77"/>
      <c r="Y122" s="82"/>
      <c r="Z122" s="76"/>
      <c r="AA122" s="77"/>
      <c r="AB122" s="76"/>
      <c r="AC122" s="77"/>
      <c r="AD122" s="76"/>
      <c r="AE122" s="77"/>
      <c r="AF122" s="76"/>
      <c r="AG122" s="77"/>
      <c r="AH122" s="76"/>
      <c r="AI122" s="7"/>
      <c r="AJ122" s="27" t="str">
        <f t="shared" si="2"/>
        <v/>
      </c>
      <c r="AK122" s="6" t="s">
        <v>93</v>
      </c>
      <c r="AL122" s="3" t="s">
        <v>151</v>
      </c>
      <c r="AM122" s="3"/>
      <c r="AN122" s="18" t="s">
        <v>36</v>
      </c>
      <c r="AO122" s="3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7"/>
      <c r="BA122" s="37"/>
      <c r="BB122" s="37"/>
      <c r="BC122" s="37"/>
      <c r="BD122" s="42"/>
      <c r="BE122" s="41"/>
      <c r="BF122" s="41"/>
      <c r="BG122" s="41"/>
      <c r="BH122" s="41"/>
      <c r="BI122" s="41"/>
      <c r="BJ122" s="41"/>
      <c r="BK122" s="41"/>
      <c r="BL122" s="41"/>
      <c r="BM122" s="41"/>
      <c r="BN122" s="41"/>
    </row>
    <row r="123" spans="1:66" s="5" customFormat="1" hidden="1" x14ac:dyDescent="0.25">
      <c r="A123" s="7"/>
      <c r="B123" s="5" t="str">
        <f t="array" ref="B123">IFERROR(INDEX(DemandSupply,MATCH(INDEX($R$1:R123,SMALL(ROW($R$1:R123)+(10000*($R$1:R123="")),COUNTA($R$1:R123))),Sectors,0)),"")</f>
        <v>Demand</v>
      </c>
      <c r="M123" s="7"/>
      <c r="N123" s="76"/>
      <c r="O123" s="77"/>
      <c r="P123" s="77"/>
      <c r="Q123" s="82"/>
      <c r="R123" s="77"/>
      <c r="S123" s="76"/>
      <c r="T123" s="77"/>
      <c r="U123" s="82"/>
      <c r="V123" s="77"/>
      <c r="W123" s="82"/>
      <c r="X123" s="77"/>
      <c r="Y123" s="82"/>
      <c r="Z123" s="76"/>
      <c r="AA123" s="77"/>
      <c r="AB123" s="76"/>
      <c r="AC123" s="77"/>
      <c r="AD123" s="76"/>
      <c r="AE123" s="77"/>
      <c r="AF123" s="76"/>
      <c r="AG123" s="77"/>
      <c r="AH123" s="76"/>
      <c r="AI123" s="7"/>
      <c r="AJ123" s="27" t="str">
        <f t="shared" si="2"/>
        <v/>
      </c>
      <c r="AK123" s="3" t="s">
        <v>58</v>
      </c>
      <c r="AL123" s="3"/>
      <c r="AM123" s="3"/>
      <c r="AN123" s="18" t="s">
        <v>23</v>
      </c>
      <c r="AO123" s="3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7"/>
      <c r="BA123" s="37"/>
      <c r="BB123" s="37"/>
      <c r="BC123" s="37"/>
      <c r="BD123" s="42"/>
      <c r="BE123" s="41"/>
      <c r="BF123" s="41"/>
      <c r="BG123" s="41"/>
      <c r="BH123" s="41"/>
      <c r="BI123" s="41"/>
      <c r="BJ123" s="41"/>
      <c r="BK123" s="41"/>
      <c r="BL123" s="41"/>
      <c r="BM123" s="41"/>
      <c r="BN123" s="41"/>
    </row>
    <row r="124" spans="1:66" s="5" customFormat="1" hidden="1" x14ac:dyDescent="0.25">
      <c r="A124" s="7"/>
      <c r="B124" s="5" t="str">
        <f t="array" ref="B124">IFERROR(INDEX(DemandSupply,MATCH(INDEX($R$1:R124,SMALL(ROW($R$1:R124)+(10000*($R$1:R124="")),COUNTA($R$1:R124))),Sectors,0)),"")</f>
        <v>Demand</v>
      </c>
      <c r="M124" s="7"/>
      <c r="N124" s="76"/>
      <c r="O124" s="77"/>
      <c r="P124" s="77"/>
      <c r="Q124" s="82"/>
      <c r="R124" s="77"/>
      <c r="S124" s="76"/>
      <c r="T124" s="77"/>
      <c r="U124" s="82"/>
      <c r="V124" s="77"/>
      <c r="W124" s="82"/>
      <c r="X124" s="77"/>
      <c r="Y124" s="82"/>
      <c r="Z124" s="76"/>
      <c r="AA124" s="77"/>
      <c r="AB124" s="76"/>
      <c r="AC124" s="77"/>
      <c r="AD124" s="76"/>
      <c r="AE124" s="77"/>
      <c r="AF124" s="76"/>
      <c r="AG124" s="77"/>
      <c r="AH124" s="76"/>
      <c r="AI124" s="7"/>
      <c r="AJ124" s="27" t="str">
        <f t="shared" si="2"/>
        <v/>
      </c>
      <c r="AK124" s="3" t="s">
        <v>80</v>
      </c>
      <c r="AL124" s="3"/>
      <c r="AM124" s="3"/>
      <c r="AN124" s="18" t="s">
        <v>37</v>
      </c>
      <c r="AO124" s="3">
        <v>10</v>
      </c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7"/>
      <c r="BA124" s="37"/>
      <c r="BB124" s="37"/>
      <c r="BC124" s="37"/>
      <c r="BD124" s="42"/>
      <c r="BE124" s="41"/>
      <c r="BF124" s="41"/>
      <c r="BG124" s="41"/>
      <c r="BH124" s="41"/>
      <c r="BI124" s="41"/>
      <c r="BJ124" s="41"/>
      <c r="BK124" s="41"/>
      <c r="BL124" s="41"/>
      <c r="BM124" s="41"/>
      <c r="BN124" s="41"/>
    </row>
    <row r="125" spans="1:66" s="5" customFormat="1" hidden="1" x14ac:dyDescent="0.25">
      <c r="A125" s="7"/>
      <c r="B125" s="5" t="str">
        <f t="array" ref="B125">IFERROR(INDEX(DemandSupply,MATCH(INDEX($R$1:R125,SMALL(ROW($R$1:R125)+(10000*($R$1:R125="")),COUNTA($R$1:R125))),Sectors,0)),"")</f>
        <v>Demand</v>
      </c>
      <c r="M125" s="7"/>
      <c r="N125" s="76"/>
      <c r="O125" s="77"/>
      <c r="P125" s="77"/>
      <c r="Q125" s="82"/>
      <c r="R125" s="77"/>
      <c r="S125" s="76"/>
      <c r="T125" s="77"/>
      <c r="U125" s="82"/>
      <c r="V125" s="77"/>
      <c r="W125" s="82"/>
      <c r="X125" s="77"/>
      <c r="Y125" s="82"/>
      <c r="Z125" s="76"/>
      <c r="AA125" s="77"/>
      <c r="AB125" s="76"/>
      <c r="AC125" s="77"/>
      <c r="AD125" s="76"/>
      <c r="AE125" s="77"/>
      <c r="AF125" s="76"/>
      <c r="AG125" s="77"/>
      <c r="AH125" s="76"/>
      <c r="AI125" s="7"/>
      <c r="AJ125" s="27" t="str">
        <f t="shared" si="2"/>
        <v/>
      </c>
      <c r="AK125" s="3" t="s">
        <v>63</v>
      </c>
      <c r="AL125" s="3"/>
      <c r="AM125" s="3"/>
      <c r="AN125" s="18" t="s">
        <v>34</v>
      </c>
      <c r="AO125" s="3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7"/>
      <c r="BA125" s="37"/>
      <c r="BB125" s="37"/>
      <c r="BC125" s="37"/>
      <c r="BD125" s="42"/>
      <c r="BE125" s="41"/>
      <c r="BF125" s="41"/>
      <c r="BG125" s="41"/>
      <c r="BH125" s="41"/>
      <c r="BI125" s="41"/>
      <c r="BJ125" s="41"/>
      <c r="BK125" s="41"/>
      <c r="BL125" s="41"/>
      <c r="BM125" s="41"/>
      <c r="BN125" s="41"/>
    </row>
    <row r="126" spans="1:66" s="5" customFormat="1" hidden="1" x14ac:dyDescent="0.25">
      <c r="A126" s="7"/>
      <c r="B126" s="5" t="str">
        <f t="array" ref="B126">IFERROR(INDEX(DemandSupply,MATCH(INDEX($R$1:R126,SMALL(ROW($R$1:R126)+(10000*($R$1:R126="")),COUNTA($R$1:R126))),Sectors,0)),"")</f>
        <v>Demand</v>
      </c>
      <c r="M126" s="7"/>
      <c r="N126" s="76"/>
      <c r="O126" s="77"/>
      <c r="P126" s="77"/>
      <c r="Q126" s="82"/>
      <c r="R126" s="77"/>
      <c r="S126" s="76"/>
      <c r="T126" s="77"/>
      <c r="U126" s="82"/>
      <c r="V126" s="77"/>
      <c r="W126" s="82"/>
      <c r="X126" s="77"/>
      <c r="Y126" s="82"/>
      <c r="Z126" s="76"/>
      <c r="AA126" s="77"/>
      <c r="AB126" s="76"/>
      <c r="AC126" s="77"/>
      <c r="AD126" s="76"/>
      <c r="AE126" s="77"/>
      <c r="AF126" s="76"/>
      <c r="AG126" s="77"/>
      <c r="AH126" s="76"/>
      <c r="AI126" s="7"/>
      <c r="AJ126" s="27" t="str">
        <f t="shared" si="2"/>
        <v/>
      </c>
      <c r="AK126" s="3" t="s">
        <v>41</v>
      </c>
      <c r="AL126" s="3"/>
      <c r="AM126" s="3" t="s">
        <v>43</v>
      </c>
      <c r="AN126" s="18" t="s">
        <v>34</v>
      </c>
      <c r="AO126" s="3">
        <v>2000</v>
      </c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7"/>
      <c r="BA126" s="37"/>
      <c r="BB126" s="37"/>
      <c r="BC126" s="37"/>
      <c r="BD126" s="42"/>
      <c r="BE126" s="41"/>
      <c r="BF126" s="41"/>
      <c r="BG126" s="41"/>
      <c r="BH126" s="41"/>
      <c r="BI126" s="41"/>
      <c r="BJ126" s="41"/>
      <c r="BK126" s="41"/>
      <c r="BL126" s="41"/>
      <c r="BM126" s="41"/>
      <c r="BN126" s="41"/>
    </row>
    <row r="127" spans="1:66" s="5" customFormat="1" hidden="1" x14ac:dyDescent="0.25">
      <c r="A127" s="7"/>
      <c r="B127" s="5" t="str">
        <f t="array" ref="B127">IFERROR(INDEX(DemandSupply,MATCH(INDEX($R$1:R127,SMALL(ROW($R$1:R127)+(10000*($R$1:R127="")),COUNTA($R$1:R127))),Sectors,0)),"")</f>
        <v>Demand</v>
      </c>
      <c r="M127" s="7"/>
      <c r="N127" s="76"/>
      <c r="O127" s="77"/>
      <c r="P127" s="77"/>
      <c r="Q127" s="82"/>
      <c r="R127" s="77"/>
      <c r="S127" s="76"/>
      <c r="T127" s="77"/>
      <c r="U127" s="82"/>
      <c r="V127" s="77"/>
      <c r="W127" s="82"/>
      <c r="X127" s="77"/>
      <c r="Y127" s="82"/>
      <c r="Z127" s="76"/>
      <c r="AA127" s="77"/>
      <c r="AB127" s="76"/>
      <c r="AC127" s="77"/>
      <c r="AD127" s="76"/>
      <c r="AE127" s="77"/>
      <c r="AF127" s="76"/>
      <c r="AG127" s="77"/>
      <c r="AH127" s="76"/>
      <c r="AI127" s="7"/>
      <c r="AJ127" s="27" t="str">
        <f t="shared" si="2"/>
        <v/>
      </c>
      <c r="AK127" s="3" t="s">
        <v>40</v>
      </c>
      <c r="AL127" s="3"/>
      <c r="AM127" s="3" t="s">
        <v>43</v>
      </c>
      <c r="AN127" s="18" t="s">
        <v>34</v>
      </c>
      <c r="AO127" s="3">
        <v>2100</v>
      </c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7"/>
      <c r="BA127" s="37"/>
      <c r="BB127" s="37"/>
      <c r="BC127" s="37"/>
      <c r="BD127" s="42"/>
      <c r="BE127" s="41"/>
      <c r="BF127" s="41"/>
      <c r="BG127" s="41"/>
      <c r="BH127" s="41"/>
      <c r="BI127" s="41"/>
      <c r="BJ127" s="41"/>
      <c r="BK127" s="41"/>
      <c r="BL127" s="41"/>
      <c r="BM127" s="41"/>
      <c r="BN127" s="41"/>
    </row>
    <row r="128" spans="1:66" s="5" customFormat="1" hidden="1" x14ac:dyDescent="0.25">
      <c r="A128" s="7"/>
      <c r="B128" s="5" t="str">
        <f t="array" ref="B128">IFERROR(INDEX(DemandSupply,MATCH(INDEX($R$1:R128,SMALL(ROW($R$1:R128)+(10000*($R$1:R128="")),COUNTA($R$1:R128))),Sectors,0)),"")</f>
        <v>Demand</v>
      </c>
      <c r="M128" s="7"/>
      <c r="N128" s="76"/>
      <c r="O128" s="77"/>
      <c r="P128" s="77"/>
      <c r="Q128" s="82"/>
      <c r="R128" s="77"/>
      <c r="S128" s="76"/>
      <c r="T128" s="77"/>
      <c r="U128" s="82"/>
      <c r="V128" s="77"/>
      <c r="W128" s="82"/>
      <c r="X128" s="77"/>
      <c r="Y128" s="82"/>
      <c r="Z128" s="76"/>
      <c r="AA128" s="77"/>
      <c r="AB128" s="76"/>
      <c r="AC128" s="77"/>
      <c r="AD128" s="76"/>
      <c r="AE128" s="77"/>
      <c r="AF128" s="76"/>
      <c r="AG128" s="77"/>
      <c r="AH128" s="76"/>
      <c r="AI128" s="7"/>
      <c r="AJ128" s="27" t="str">
        <f t="shared" si="2"/>
        <v/>
      </c>
      <c r="AK128" s="3" t="s">
        <v>42</v>
      </c>
      <c r="AL128" s="3"/>
      <c r="AM128" s="3" t="s">
        <v>10</v>
      </c>
      <c r="AN128" s="18" t="s">
        <v>34</v>
      </c>
      <c r="AO128" s="3">
        <v>25</v>
      </c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7"/>
      <c r="BA128" s="37"/>
      <c r="BB128" s="37"/>
      <c r="BC128" s="37"/>
      <c r="BD128" s="42"/>
      <c r="BE128" s="41"/>
      <c r="BF128" s="41"/>
      <c r="BG128" s="41"/>
      <c r="BH128" s="41"/>
      <c r="BI128" s="41"/>
      <c r="BJ128" s="41"/>
      <c r="BK128" s="41"/>
      <c r="BL128" s="41"/>
      <c r="BM128" s="41"/>
      <c r="BN128" s="41"/>
    </row>
    <row r="129" spans="1:66" s="5" customFormat="1" hidden="1" x14ac:dyDescent="0.25">
      <c r="A129" s="7"/>
      <c r="B129" s="5" t="str">
        <f t="array" ref="B129">IFERROR(INDEX(DemandSupply,MATCH(INDEX($R$1:R129,SMALL(ROW($R$1:R129)+(10000*($R$1:R129="")),COUNTA($R$1:R129))),Sectors,0)),"")</f>
        <v>Demand</v>
      </c>
      <c r="M129" s="7"/>
      <c r="N129" s="76"/>
      <c r="O129" s="77"/>
      <c r="P129" s="77"/>
      <c r="Q129" s="82"/>
      <c r="R129" s="77"/>
      <c r="S129" s="76"/>
      <c r="T129" s="77"/>
      <c r="U129" s="82"/>
      <c r="V129" s="77"/>
      <c r="W129" s="82"/>
      <c r="X129" s="77"/>
      <c r="Y129" s="82"/>
      <c r="Z129" s="76"/>
      <c r="AA129" s="77"/>
      <c r="AB129" s="76"/>
      <c r="AC129" s="77"/>
      <c r="AD129" s="76"/>
      <c r="AE129" s="77"/>
      <c r="AF129" s="76"/>
      <c r="AG129" s="77"/>
      <c r="AH129" s="76"/>
      <c r="AI129" s="7"/>
      <c r="AJ129" s="27" t="str">
        <f t="shared" si="2"/>
        <v/>
      </c>
      <c r="AK129" s="3" t="s">
        <v>67</v>
      </c>
      <c r="AL129" s="3"/>
      <c r="AM129" s="3" t="s">
        <v>118</v>
      </c>
      <c r="AN129" s="18" t="s">
        <v>34</v>
      </c>
      <c r="AO129" s="3">
        <v>0.25</v>
      </c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7"/>
      <c r="BA129" s="37"/>
      <c r="BB129" s="37"/>
      <c r="BC129" s="37"/>
      <c r="BD129" s="42"/>
      <c r="BE129" s="41"/>
      <c r="BF129" s="41"/>
      <c r="BG129" s="41"/>
      <c r="BH129" s="41"/>
      <c r="BI129" s="41"/>
      <c r="BJ129" s="41"/>
      <c r="BK129" s="41"/>
      <c r="BL129" s="41"/>
      <c r="BM129" s="41"/>
      <c r="BN129" s="41"/>
    </row>
    <row r="130" spans="1:66" s="5" customFormat="1" hidden="1" x14ac:dyDescent="0.25">
      <c r="A130" s="7"/>
      <c r="B130" s="5" t="str">
        <f t="array" ref="B130">IFERROR(INDEX(DemandSupply,MATCH(INDEX($R$1:R130,SMALL(ROW($R$1:R130)+(10000*($R$1:R130="")),COUNTA($R$1:R130))),Sectors,0)),"")</f>
        <v>Demand</v>
      </c>
      <c r="M130" s="7"/>
      <c r="N130" s="76"/>
      <c r="O130" s="77"/>
      <c r="P130" s="77"/>
      <c r="Q130" s="82"/>
      <c r="R130" s="77"/>
      <c r="S130" s="76"/>
      <c r="T130" s="77"/>
      <c r="U130" s="82"/>
      <c r="V130" s="77"/>
      <c r="W130" s="82"/>
      <c r="X130" s="77"/>
      <c r="Y130" s="82"/>
      <c r="Z130" s="76"/>
      <c r="AA130" s="77"/>
      <c r="AB130" s="76"/>
      <c r="AC130" s="77"/>
      <c r="AD130" s="76"/>
      <c r="AE130" s="77"/>
      <c r="AF130" s="76"/>
      <c r="AG130" s="77"/>
      <c r="AH130" s="76"/>
      <c r="AI130" s="7"/>
      <c r="AJ130" s="27" t="str">
        <f t="shared" si="2"/>
        <v/>
      </c>
      <c r="AK130" s="3" t="s">
        <v>38</v>
      </c>
      <c r="AL130" s="3"/>
      <c r="AM130" s="3" t="s">
        <v>17</v>
      </c>
      <c r="AN130" s="18" t="s">
        <v>34</v>
      </c>
      <c r="AO130" s="23">
        <v>2655</v>
      </c>
      <c r="AP130" s="162">
        <f t="shared" ref="AP130:AY130" si="14">AO130</f>
        <v>2655</v>
      </c>
      <c r="AQ130" s="162">
        <f t="shared" si="14"/>
        <v>2655</v>
      </c>
      <c r="AR130" s="162">
        <f t="shared" si="14"/>
        <v>2655</v>
      </c>
      <c r="AS130" s="162">
        <f t="shared" si="14"/>
        <v>2655</v>
      </c>
      <c r="AT130" s="162">
        <f t="shared" si="14"/>
        <v>2655</v>
      </c>
      <c r="AU130" s="162">
        <f t="shared" si="14"/>
        <v>2655</v>
      </c>
      <c r="AV130" s="162">
        <f t="shared" si="14"/>
        <v>2655</v>
      </c>
      <c r="AW130" s="162">
        <f t="shared" si="14"/>
        <v>2655</v>
      </c>
      <c r="AX130" s="162">
        <f t="shared" si="14"/>
        <v>2655</v>
      </c>
      <c r="AY130" s="162">
        <f t="shared" si="14"/>
        <v>2655</v>
      </c>
      <c r="AZ130" s="7"/>
      <c r="BA130" s="37"/>
      <c r="BB130" s="37"/>
      <c r="BC130" s="37"/>
      <c r="BD130" s="42"/>
      <c r="BE130" s="41"/>
      <c r="BF130" s="41"/>
      <c r="BG130" s="41"/>
      <c r="BH130" s="41"/>
      <c r="BI130" s="41"/>
      <c r="BJ130" s="41"/>
      <c r="BK130" s="41"/>
      <c r="BL130" s="41"/>
      <c r="BM130" s="41"/>
      <c r="BN130" s="41"/>
    </row>
    <row r="131" spans="1:66" s="5" customFormat="1" hidden="1" x14ac:dyDescent="0.25">
      <c r="A131" s="7"/>
      <c r="B131" s="5" t="str">
        <f t="array" ref="B131">IFERROR(INDEX(DemandSupply,MATCH(INDEX($R$1:R131,SMALL(ROW($R$1:R131)+(10000*($R$1:R131="")),COUNTA($R$1:R131))),Sectors,0)),"")</f>
        <v>Demand</v>
      </c>
      <c r="M131" s="7"/>
      <c r="N131" s="76"/>
      <c r="O131" s="77"/>
      <c r="P131" s="77"/>
      <c r="Q131" s="82"/>
      <c r="R131" s="77"/>
      <c r="S131" s="76"/>
      <c r="T131" s="77"/>
      <c r="U131" s="82"/>
      <c r="V131" s="77"/>
      <c r="W131" s="82"/>
      <c r="X131" s="77"/>
      <c r="Y131" s="82"/>
      <c r="Z131" s="76"/>
      <c r="AA131" s="77"/>
      <c r="AB131" s="76"/>
      <c r="AC131" s="77"/>
      <c r="AD131" s="76"/>
      <c r="AE131" s="77"/>
      <c r="AF131" s="76"/>
      <c r="AG131" s="77"/>
      <c r="AH131" s="76"/>
      <c r="AI131" s="7"/>
      <c r="AJ131" s="27" t="str">
        <f t="shared" ref="AJ131:AJ194" si="15">IFERROR(INDEX($N131:$AH131,MATCH(TRUE,INDEX(($N131:$AH131&lt;&gt;0),0),0)),"")</f>
        <v/>
      </c>
      <c r="AK131" s="3" t="s">
        <v>44</v>
      </c>
      <c r="AL131" s="3"/>
      <c r="AM131" s="3" t="s">
        <v>17</v>
      </c>
      <c r="AN131" s="18" t="s">
        <v>34</v>
      </c>
      <c r="AO131" s="23"/>
      <c r="AP131" s="162"/>
      <c r="AQ131" s="162"/>
      <c r="AR131" s="162"/>
      <c r="AS131" s="162"/>
      <c r="AT131" s="162"/>
      <c r="AU131" s="162"/>
      <c r="AV131" s="162"/>
      <c r="AW131" s="162"/>
      <c r="AX131" s="162"/>
      <c r="AY131" s="162"/>
      <c r="AZ131" s="7"/>
      <c r="BA131" s="37"/>
      <c r="BB131" s="37"/>
      <c r="BC131" s="37"/>
      <c r="BD131" s="42"/>
      <c r="BE131" s="41"/>
      <c r="BF131" s="41"/>
      <c r="BG131" s="41"/>
      <c r="BH131" s="41"/>
      <c r="BI131" s="41"/>
      <c r="BJ131" s="41"/>
      <c r="BK131" s="41"/>
      <c r="BL131" s="41"/>
      <c r="BM131" s="41"/>
      <c r="BN131" s="41"/>
    </row>
    <row r="132" spans="1:66" s="5" customFormat="1" hidden="1" x14ac:dyDescent="0.25">
      <c r="A132" s="7"/>
      <c r="B132" s="5" t="str">
        <f t="array" ref="B132">IFERROR(INDEX(DemandSupply,MATCH(INDEX($R$1:R132,SMALL(ROW($R$1:R132)+(10000*($R$1:R132="")),COUNTA($R$1:R132))),Sectors,0)),"")</f>
        <v>Demand</v>
      </c>
      <c r="M132" s="7"/>
      <c r="N132" s="76"/>
      <c r="O132" s="77"/>
      <c r="P132" s="77"/>
      <c r="Q132" s="82"/>
      <c r="R132" s="77"/>
      <c r="S132" s="76"/>
      <c r="T132" s="77"/>
      <c r="U132" s="82"/>
      <c r="V132" s="77"/>
      <c r="W132" s="82"/>
      <c r="X132" s="77"/>
      <c r="Y132" s="82"/>
      <c r="Z132" s="76"/>
      <c r="AA132" s="77"/>
      <c r="AB132" s="76"/>
      <c r="AC132" s="77"/>
      <c r="AD132" s="76"/>
      <c r="AE132" s="77"/>
      <c r="AF132" s="76"/>
      <c r="AG132" s="77"/>
      <c r="AH132" s="76"/>
      <c r="AI132" s="7"/>
      <c r="AJ132" s="27" t="str">
        <f t="shared" si="15"/>
        <v/>
      </c>
      <c r="AK132" s="3" t="s">
        <v>51</v>
      </c>
      <c r="AL132" s="3"/>
      <c r="AM132" s="3" t="s">
        <v>17</v>
      </c>
      <c r="AN132" s="18" t="s">
        <v>34</v>
      </c>
      <c r="AO132" s="23"/>
      <c r="AP132" s="162"/>
      <c r="AQ132" s="162"/>
      <c r="AR132" s="162"/>
      <c r="AS132" s="162"/>
      <c r="AT132" s="162"/>
      <c r="AU132" s="162"/>
      <c r="AV132" s="162"/>
      <c r="AW132" s="162"/>
      <c r="AX132" s="162"/>
      <c r="AY132" s="162"/>
      <c r="AZ132" s="7"/>
      <c r="BA132" s="37"/>
      <c r="BB132" s="37"/>
      <c r="BC132" s="37"/>
      <c r="BD132" s="42"/>
      <c r="BE132" s="41"/>
      <c r="BF132" s="41"/>
      <c r="BG132" s="41"/>
      <c r="BH132" s="41"/>
      <c r="BI132" s="41"/>
      <c r="BJ132" s="41"/>
      <c r="BK132" s="41"/>
      <c r="BL132" s="41"/>
      <c r="BM132" s="41"/>
      <c r="BN132" s="41"/>
    </row>
    <row r="133" spans="1:66" s="5" customFormat="1" hidden="1" x14ac:dyDescent="0.25">
      <c r="A133" s="7"/>
      <c r="B133" s="5" t="str">
        <f t="array" ref="B133">IFERROR(INDEX(DemandSupply,MATCH(INDEX($R$1:R133,SMALL(ROW($R$1:R133)+(10000*($R$1:R133="")),COUNTA($R$1:R133))),Sectors,0)),"")</f>
        <v>Demand</v>
      </c>
      <c r="M133" s="7"/>
      <c r="N133" s="76"/>
      <c r="O133" s="77"/>
      <c r="P133" s="77"/>
      <c r="Q133" s="82"/>
      <c r="R133" s="77"/>
      <c r="S133" s="76"/>
      <c r="T133" s="77"/>
      <c r="U133" s="82"/>
      <c r="V133" s="77"/>
      <c r="W133" s="82"/>
      <c r="X133" s="77"/>
      <c r="Y133" s="82"/>
      <c r="Z133" s="76"/>
      <c r="AA133" s="77"/>
      <c r="AB133" s="76"/>
      <c r="AC133" s="77"/>
      <c r="AD133" s="76"/>
      <c r="AE133" s="77"/>
      <c r="AF133" s="76"/>
      <c r="AG133" s="77"/>
      <c r="AH133" s="76"/>
      <c r="AI133" s="7"/>
      <c r="AJ133" s="27" t="str">
        <f t="shared" si="15"/>
        <v/>
      </c>
      <c r="AK133" s="3" t="s">
        <v>95</v>
      </c>
      <c r="AL133" s="3" t="s">
        <v>143</v>
      </c>
      <c r="AM133" s="3" t="s">
        <v>17</v>
      </c>
      <c r="AN133" s="18" t="s">
        <v>34</v>
      </c>
      <c r="AO133" s="23">
        <f>AO138*$AO$24</f>
        <v>22</v>
      </c>
      <c r="AP133" s="162"/>
      <c r="AQ133" s="162"/>
      <c r="AR133" s="162"/>
      <c r="AS133" s="162"/>
      <c r="AT133" s="162"/>
      <c r="AU133" s="162"/>
      <c r="AV133" s="162"/>
      <c r="AW133" s="162"/>
      <c r="AX133" s="162"/>
      <c r="AY133" s="162"/>
      <c r="AZ133" s="7"/>
      <c r="BA133" s="37"/>
      <c r="BB133" s="37"/>
      <c r="BC133" s="37"/>
      <c r="BD133" s="42"/>
      <c r="BE133" s="41"/>
      <c r="BF133" s="41"/>
      <c r="BG133" s="41"/>
      <c r="BH133" s="41"/>
      <c r="BI133" s="41"/>
      <c r="BJ133" s="41"/>
      <c r="BK133" s="41"/>
      <c r="BL133" s="41"/>
      <c r="BM133" s="41"/>
      <c r="BN133" s="41"/>
    </row>
    <row r="134" spans="1:66" s="5" customFormat="1" hidden="1" x14ac:dyDescent="0.25">
      <c r="A134" s="7"/>
      <c r="B134" s="5" t="str">
        <f t="array" ref="B134">IFERROR(INDEX(DemandSupply,MATCH(INDEX($R$1:R134,SMALL(ROW($R$1:R134)+(10000*($R$1:R134="")),COUNTA($R$1:R134))),Sectors,0)),"")</f>
        <v>Demand</v>
      </c>
      <c r="M134" s="7"/>
      <c r="N134" s="76"/>
      <c r="O134" s="77"/>
      <c r="P134" s="77"/>
      <c r="Q134" s="82"/>
      <c r="R134" s="77"/>
      <c r="S134" s="76"/>
      <c r="T134" s="77"/>
      <c r="U134" s="82"/>
      <c r="V134" s="77"/>
      <c r="W134" s="82"/>
      <c r="X134" s="77"/>
      <c r="Y134" s="82"/>
      <c r="Z134" s="76"/>
      <c r="AA134" s="77"/>
      <c r="AB134" s="76"/>
      <c r="AC134" s="77"/>
      <c r="AD134" s="76"/>
      <c r="AE134" s="77"/>
      <c r="AF134" s="76"/>
      <c r="AG134" s="77"/>
      <c r="AH134" s="76"/>
      <c r="AI134" s="7"/>
      <c r="AJ134" s="27" t="str">
        <f t="shared" si="15"/>
        <v/>
      </c>
      <c r="AK134" s="3" t="s">
        <v>191</v>
      </c>
      <c r="AL134" s="3"/>
      <c r="AM134" s="3" t="s">
        <v>118</v>
      </c>
      <c r="AN134" s="18" t="s">
        <v>34</v>
      </c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7"/>
      <c r="BA134" s="37"/>
      <c r="BB134" s="37"/>
      <c r="BC134" s="37"/>
      <c r="BD134" s="42"/>
      <c r="BE134" s="41"/>
      <c r="BF134" s="41"/>
      <c r="BG134" s="41"/>
      <c r="BH134" s="41"/>
      <c r="BI134" s="41"/>
      <c r="BJ134" s="41"/>
      <c r="BK134" s="41"/>
      <c r="BL134" s="41"/>
      <c r="BM134" s="41"/>
      <c r="BN134" s="41"/>
    </row>
    <row r="135" spans="1:66" s="5" customFormat="1" hidden="1" x14ac:dyDescent="0.25">
      <c r="A135" s="7"/>
      <c r="B135" s="5" t="str">
        <f t="array" ref="B135">IFERROR(INDEX(DemandSupply,MATCH(INDEX($R$1:R135,SMALL(ROW($R$1:R135)+(10000*($R$1:R135="")),COUNTA($R$1:R135))),Sectors,0)),"")</f>
        <v>Demand</v>
      </c>
      <c r="M135" s="7"/>
      <c r="N135" s="76"/>
      <c r="O135" s="77"/>
      <c r="P135" s="77"/>
      <c r="Q135" s="82"/>
      <c r="R135" s="77"/>
      <c r="S135" s="76"/>
      <c r="T135" s="77"/>
      <c r="U135" s="82"/>
      <c r="V135" s="77"/>
      <c r="W135" s="82"/>
      <c r="X135" s="77"/>
      <c r="Y135" s="82"/>
      <c r="Z135" s="76"/>
      <c r="AA135" s="77"/>
      <c r="AB135" s="76"/>
      <c r="AC135" s="77"/>
      <c r="AD135" s="76"/>
      <c r="AE135" s="77"/>
      <c r="AF135" s="76"/>
      <c r="AG135" s="77"/>
      <c r="AH135" s="76"/>
      <c r="AI135" s="7"/>
      <c r="AJ135" s="27" t="str">
        <f t="shared" si="15"/>
        <v/>
      </c>
      <c r="AK135" s="3" t="s">
        <v>192</v>
      </c>
      <c r="AL135" s="3"/>
      <c r="AM135" s="3" t="s">
        <v>118</v>
      </c>
      <c r="AN135" s="18" t="s">
        <v>34</v>
      </c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7"/>
      <c r="BA135" s="37"/>
      <c r="BB135" s="37"/>
      <c r="BC135" s="37"/>
      <c r="BD135" s="42"/>
      <c r="BE135" s="41"/>
      <c r="BF135" s="41"/>
      <c r="BG135" s="41"/>
      <c r="BH135" s="41"/>
      <c r="BI135" s="41"/>
      <c r="BJ135" s="41"/>
      <c r="BK135" s="41"/>
      <c r="BL135" s="41"/>
      <c r="BM135" s="41"/>
      <c r="BN135" s="41"/>
    </row>
    <row r="136" spans="1:66" s="5" customFormat="1" hidden="1" x14ac:dyDescent="0.25">
      <c r="A136" s="7"/>
      <c r="B136" s="5" t="str">
        <f t="array" ref="B136">IFERROR(INDEX(DemandSupply,MATCH(INDEX($R$1:R136,SMALL(ROW($R$1:R136)+(10000*($R$1:R136="")),COUNTA($R$1:R136))),Sectors,0)),"")</f>
        <v>Demand</v>
      </c>
      <c r="M136" s="7"/>
      <c r="N136" s="76"/>
      <c r="O136" s="77"/>
      <c r="P136" s="77"/>
      <c r="Q136" s="82"/>
      <c r="R136" s="77"/>
      <c r="S136" s="76"/>
      <c r="T136" s="77"/>
      <c r="U136" s="82"/>
      <c r="V136" s="77"/>
      <c r="W136" s="82"/>
      <c r="X136" s="77"/>
      <c r="Y136" s="82"/>
      <c r="Z136" s="76"/>
      <c r="AA136" s="77"/>
      <c r="AB136" s="76"/>
      <c r="AC136" s="77"/>
      <c r="AD136" s="76"/>
      <c r="AE136" s="77"/>
      <c r="AF136" s="76"/>
      <c r="AG136" s="77"/>
      <c r="AH136" s="76"/>
      <c r="AI136" s="7"/>
      <c r="AJ136" s="27" t="str">
        <f t="shared" si="15"/>
        <v/>
      </c>
      <c r="AK136" s="3" t="s">
        <v>193</v>
      </c>
      <c r="AL136" s="3"/>
      <c r="AM136" s="3" t="s">
        <v>118</v>
      </c>
      <c r="AN136" s="18" t="s">
        <v>34</v>
      </c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7"/>
      <c r="BA136" s="37"/>
      <c r="BB136" s="37"/>
      <c r="BC136" s="37"/>
      <c r="BD136" s="42"/>
      <c r="BE136" s="41"/>
      <c r="BF136" s="41"/>
      <c r="BG136" s="41"/>
      <c r="BH136" s="41"/>
      <c r="BI136" s="41"/>
      <c r="BJ136" s="41"/>
      <c r="BK136" s="41"/>
      <c r="BL136" s="41"/>
      <c r="BM136" s="41"/>
      <c r="BN136" s="41"/>
    </row>
    <row r="137" spans="1:66" s="5" customFormat="1" hidden="1" x14ac:dyDescent="0.25">
      <c r="A137" s="7"/>
      <c r="B137" s="5" t="str">
        <f t="array" ref="B137">IFERROR(INDEX(DemandSupply,MATCH(INDEX($R$1:R137,SMALL(ROW($R$1:R137)+(10000*($R$1:R137="")),COUNTA($R$1:R137))),Sectors,0)),"")</f>
        <v>Demand</v>
      </c>
      <c r="M137" s="7"/>
      <c r="N137" s="76"/>
      <c r="O137" s="77"/>
      <c r="P137" s="77"/>
      <c r="Q137" s="82"/>
      <c r="R137" s="77"/>
      <c r="S137" s="76"/>
      <c r="T137" s="77"/>
      <c r="U137" s="82"/>
      <c r="V137" s="77"/>
      <c r="W137" s="82"/>
      <c r="X137" s="77"/>
      <c r="Y137" s="82"/>
      <c r="Z137" s="76"/>
      <c r="AA137" s="77"/>
      <c r="AB137" s="76"/>
      <c r="AC137" s="77"/>
      <c r="AD137" s="76"/>
      <c r="AE137" s="77"/>
      <c r="AF137" s="76"/>
      <c r="AG137" s="77"/>
      <c r="AH137" s="76"/>
      <c r="AI137" s="7"/>
      <c r="AJ137" s="27" t="str">
        <f t="shared" si="15"/>
        <v/>
      </c>
      <c r="AK137" s="3" t="s">
        <v>194</v>
      </c>
      <c r="AL137" s="3"/>
      <c r="AM137" s="3" t="s">
        <v>118</v>
      </c>
      <c r="AN137" s="18" t="s">
        <v>34</v>
      </c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7"/>
      <c r="BA137" s="37"/>
      <c r="BB137" s="37"/>
      <c r="BC137" s="37"/>
      <c r="BD137" s="42"/>
      <c r="BE137" s="41"/>
      <c r="BF137" s="41"/>
      <c r="BG137" s="41"/>
      <c r="BH137" s="41"/>
      <c r="BI137" s="41"/>
      <c r="BJ137" s="41"/>
      <c r="BK137" s="41"/>
      <c r="BL137" s="41"/>
      <c r="BM137" s="41"/>
      <c r="BN137" s="41"/>
    </row>
    <row r="138" spans="1:66" s="5" customFormat="1" hidden="1" x14ac:dyDescent="0.25">
      <c r="A138" s="7"/>
      <c r="B138" s="5" t="str">
        <f t="array" ref="B138">IFERROR(INDEX(DemandSupply,MATCH(INDEX($R$1:R138,SMALL(ROW($R$1:R138)+(10000*($R$1:R138="")),COUNTA($R$1:R138))),Sectors,0)),"")</f>
        <v>Demand</v>
      </c>
      <c r="M138" s="7"/>
      <c r="N138" s="76"/>
      <c r="O138" s="77"/>
      <c r="P138" s="77"/>
      <c r="Q138" s="82"/>
      <c r="R138" s="77"/>
      <c r="S138" s="76"/>
      <c r="T138" s="77"/>
      <c r="U138" s="82"/>
      <c r="V138" s="77"/>
      <c r="W138" s="82"/>
      <c r="X138" s="77"/>
      <c r="Y138" s="82"/>
      <c r="Z138" s="76"/>
      <c r="AA138" s="77"/>
      <c r="AB138" s="76"/>
      <c r="AC138" s="77"/>
      <c r="AD138" s="76"/>
      <c r="AE138" s="77"/>
      <c r="AF138" s="76"/>
      <c r="AG138" s="77"/>
      <c r="AH138" s="76"/>
      <c r="AI138" s="7"/>
      <c r="AJ138" s="27" t="str">
        <f t="shared" si="15"/>
        <v/>
      </c>
      <c r="AK138" s="3" t="s">
        <v>94</v>
      </c>
      <c r="AL138" s="3" t="s">
        <v>143</v>
      </c>
      <c r="AM138" s="3" t="s">
        <v>57</v>
      </c>
      <c r="AN138" s="18" t="s">
        <v>34</v>
      </c>
      <c r="AO138" s="22">
        <v>1</v>
      </c>
      <c r="AP138" s="161">
        <f t="shared" ref="AP138:AY138" si="16">AO138</f>
        <v>1</v>
      </c>
      <c r="AQ138" s="161">
        <f t="shared" si="16"/>
        <v>1</v>
      </c>
      <c r="AR138" s="161">
        <f t="shared" si="16"/>
        <v>1</v>
      </c>
      <c r="AS138" s="161">
        <f t="shared" si="16"/>
        <v>1</v>
      </c>
      <c r="AT138" s="161">
        <f t="shared" si="16"/>
        <v>1</v>
      </c>
      <c r="AU138" s="161">
        <f t="shared" si="16"/>
        <v>1</v>
      </c>
      <c r="AV138" s="161">
        <f t="shared" si="16"/>
        <v>1</v>
      </c>
      <c r="AW138" s="161">
        <f t="shared" si="16"/>
        <v>1</v>
      </c>
      <c r="AX138" s="161">
        <f t="shared" si="16"/>
        <v>1</v>
      </c>
      <c r="AY138" s="161">
        <f t="shared" si="16"/>
        <v>1</v>
      </c>
      <c r="AZ138" s="7"/>
      <c r="BA138" s="37"/>
      <c r="BB138" s="37"/>
      <c r="BC138" s="37"/>
      <c r="BD138" s="42"/>
      <c r="BE138" s="41"/>
      <c r="BF138" s="41"/>
      <c r="BG138" s="41"/>
      <c r="BH138" s="41"/>
      <c r="BI138" s="41"/>
      <c r="BJ138" s="41"/>
      <c r="BK138" s="41"/>
      <c r="BL138" s="41"/>
      <c r="BM138" s="41"/>
      <c r="BN138" s="41"/>
    </row>
    <row r="139" spans="1:66" s="5" customFormat="1" hidden="1" x14ac:dyDescent="0.25">
      <c r="A139" s="7"/>
      <c r="B139" s="5" t="str">
        <f t="array" ref="B139">IFERROR(INDEX(DemandSupply,MATCH(INDEX($R$1:R139,SMALL(ROW($R$1:R139)+(10000*($R$1:R139="")),COUNTA($R$1:R139))),Sectors,0)),"")</f>
        <v>Demand</v>
      </c>
      <c r="M139" s="7"/>
      <c r="N139" s="76"/>
      <c r="O139" s="77"/>
      <c r="P139" s="77"/>
      <c r="Q139" s="82"/>
      <c r="R139" s="77"/>
      <c r="S139" s="76"/>
      <c r="T139" s="77"/>
      <c r="U139" s="82"/>
      <c r="V139" s="77"/>
      <c r="W139" s="82"/>
      <c r="X139" s="77"/>
      <c r="Y139" s="82"/>
      <c r="Z139" s="76"/>
      <c r="AA139" s="77"/>
      <c r="AB139" s="76"/>
      <c r="AC139" s="77"/>
      <c r="AD139" s="76"/>
      <c r="AE139" s="77"/>
      <c r="AF139" s="76"/>
      <c r="AG139" s="77"/>
      <c r="AH139" s="76"/>
      <c r="AI139" s="7"/>
      <c r="AJ139" s="27" t="str">
        <f t="shared" si="15"/>
        <v/>
      </c>
      <c r="AK139" s="3" t="s">
        <v>91</v>
      </c>
      <c r="AL139" s="3"/>
      <c r="AM139" s="3" t="s">
        <v>118</v>
      </c>
      <c r="AN139" s="18" t="s">
        <v>34</v>
      </c>
      <c r="AO139" s="22">
        <v>6.0000000000000001E-3</v>
      </c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7"/>
      <c r="BA139" s="37"/>
      <c r="BB139" s="37"/>
      <c r="BC139" s="37"/>
      <c r="BD139" s="42"/>
      <c r="BE139" s="41"/>
      <c r="BF139" s="41"/>
      <c r="BG139" s="41"/>
      <c r="BH139" s="41"/>
      <c r="BI139" s="41"/>
      <c r="BJ139" s="41"/>
      <c r="BK139" s="41"/>
      <c r="BL139" s="41"/>
      <c r="BM139" s="41"/>
      <c r="BN139" s="41"/>
    </row>
    <row r="140" spans="1:66" s="5" customFormat="1" hidden="1" x14ac:dyDescent="0.25">
      <c r="A140" s="7"/>
      <c r="B140" s="5" t="str">
        <f t="array" ref="B140">IFERROR(INDEX(DemandSupply,MATCH(INDEX($R$1:R140,SMALL(ROW($R$1:R140)+(10000*($R$1:R140="")),COUNTA($R$1:R140))),Sectors,0)),"")</f>
        <v>Demand</v>
      </c>
      <c r="M140" s="7"/>
      <c r="N140" s="76"/>
      <c r="O140" s="77"/>
      <c r="P140" s="77"/>
      <c r="Q140" s="82"/>
      <c r="R140" s="77"/>
      <c r="S140" s="76"/>
      <c r="T140" s="77"/>
      <c r="U140" s="82"/>
      <c r="V140" s="77"/>
      <c r="W140" s="82"/>
      <c r="X140" s="77"/>
      <c r="Y140" s="82"/>
      <c r="Z140" s="76"/>
      <c r="AA140" s="77"/>
      <c r="AB140" s="76"/>
      <c r="AC140" s="77"/>
      <c r="AD140" s="76"/>
      <c r="AE140" s="77"/>
      <c r="AF140" s="76"/>
      <c r="AG140" s="77"/>
      <c r="AH140" s="76"/>
      <c r="AI140" s="7"/>
      <c r="AJ140" s="27" t="str">
        <f t="shared" si="15"/>
        <v/>
      </c>
      <c r="AK140" s="3" t="s">
        <v>63</v>
      </c>
      <c r="AL140" s="3"/>
      <c r="AM140" s="3"/>
      <c r="AN140" s="18" t="s">
        <v>35</v>
      </c>
      <c r="AO140" s="3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7"/>
      <c r="BA140" s="37"/>
      <c r="BB140" s="37"/>
      <c r="BC140" s="37"/>
      <c r="BD140" s="42"/>
      <c r="BE140" s="41"/>
      <c r="BF140" s="41"/>
      <c r="BG140" s="41"/>
      <c r="BH140" s="41"/>
      <c r="BI140" s="41"/>
      <c r="BJ140" s="41"/>
      <c r="BK140" s="41"/>
      <c r="BL140" s="41"/>
      <c r="BM140" s="41"/>
      <c r="BN140" s="41"/>
    </row>
    <row r="141" spans="1:66" s="5" customFormat="1" hidden="1" x14ac:dyDescent="0.25">
      <c r="A141" s="7"/>
      <c r="B141" s="5" t="str">
        <f t="array" ref="B141">IFERROR(INDEX(DemandSupply,MATCH(INDEX($R$1:R141,SMALL(ROW($R$1:R141)+(10000*($R$1:R141="")),COUNTA($R$1:R141))),Sectors,0)),"")</f>
        <v>Demand</v>
      </c>
      <c r="M141" s="7"/>
      <c r="N141" s="76"/>
      <c r="O141" s="77"/>
      <c r="P141" s="77"/>
      <c r="Q141" s="82"/>
      <c r="R141" s="77"/>
      <c r="S141" s="76"/>
      <c r="T141" s="77"/>
      <c r="U141" s="82"/>
      <c r="V141" s="77"/>
      <c r="W141" s="82"/>
      <c r="X141" s="77"/>
      <c r="Y141" s="82"/>
      <c r="Z141" s="76"/>
      <c r="AA141" s="77"/>
      <c r="AB141" s="76"/>
      <c r="AC141" s="77"/>
      <c r="AD141" s="76"/>
      <c r="AE141" s="77"/>
      <c r="AF141" s="76"/>
      <c r="AG141" s="77"/>
      <c r="AH141" s="76"/>
      <c r="AI141" s="7"/>
      <c r="AJ141" s="27" t="str">
        <f t="shared" si="15"/>
        <v/>
      </c>
      <c r="AK141" s="3" t="s">
        <v>41</v>
      </c>
      <c r="AL141" s="3"/>
      <c r="AM141" s="3" t="s">
        <v>43</v>
      </c>
      <c r="AN141" s="18" t="s">
        <v>35</v>
      </c>
      <c r="AO141" s="3">
        <v>2000</v>
      </c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7"/>
      <c r="BA141" s="37"/>
      <c r="BB141" s="37"/>
      <c r="BC141" s="37"/>
      <c r="BD141" s="42"/>
      <c r="BE141" s="41"/>
      <c r="BF141" s="41"/>
      <c r="BG141" s="41"/>
      <c r="BH141" s="41"/>
      <c r="BI141" s="41"/>
      <c r="BJ141" s="41"/>
      <c r="BK141" s="41"/>
      <c r="BL141" s="41"/>
      <c r="BM141" s="41"/>
      <c r="BN141" s="41"/>
    </row>
    <row r="142" spans="1:66" s="5" customFormat="1" hidden="1" x14ac:dyDescent="0.25">
      <c r="A142" s="7"/>
      <c r="B142" s="5" t="str">
        <f t="array" ref="B142">IFERROR(INDEX(DemandSupply,MATCH(INDEX($R$1:R142,SMALL(ROW($R$1:R142)+(10000*($R$1:R142="")),COUNTA($R$1:R142))),Sectors,0)),"")</f>
        <v>Demand</v>
      </c>
      <c r="M142" s="7"/>
      <c r="N142" s="76"/>
      <c r="O142" s="77"/>
      <c r="P142" s="77"/>
      <c r="Q142" s="82"/>
      <c r="R142" s="77"/>
      <c r="S142" s="76"/>
      <c r="T142" s="77"/>
      <c r="U142" s="82"/>
      <c r="V142" s="77"/>
      <c r="W142" s="82"/>
      <c r="X142" s="77"/>
      <c r="Y142" s="82"/>
      <c r="Z142" s="76"/>
      <c r="AA142" s="77"/>
      <c r="AB142" s="76"/>
      <c r="AC142" s="77"/>
      <c r="AD142" s="76"/>
      <c r="AE142" s="77"/>
      <c r="AF142" s="76"/>
      <c r="AG142" s="77"/>
      <c r="AH142" s="76"/>
      <c r="AI142" s="7"/>
      <c r="AJ142" s="27" t="str">
        <f t="shared" si="15"/>
        <v/>
      </c>
      <c r="AK142" s="3" t="s">
        <v>40</v>
      </c>
      <c r="AL142" s="3"/>
      <c r="AM142" s="3" t="s">
        <v>43</v>
      </c>
      <c r="AN142" s="18" t="s">
        <v>35</v>
      </c>
      <c r="AO142" s="3">
        <v>2100</v>
      </c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7"/>
      <c r="BA142" s="37"/>
      <c r="BB142" s="37"/>
      <c r="BC142" s="37"/>
      <c r="BD142" s="42"/>
      <c r="BE142" s="41"/>
      <c r="BF142" s="41"/>
      <c r="BG142" s="41"/>
      <c r="BH142" s="41"/>
      <c r="BI142" s="41"/>
      <c r="BJ142" s="41"/>
      <c r="BK142" s="41"/>
      <c r="BL142" s="41"/>
      <c r="BM142" s="41"/>
      <c r="BN142" s="41"/>
    </row>
    <row r="143" spans="1:66" s="5" customFormat="1" hidden="1" x14ac:dyDescent="0.25">
      <c r="A143" s="7"/>
      <c r="B143" s="5" t="str">
        <f t="array" ref="B143">IFERROR(INDEX(DemandSupply,MATCH(INDEX($R$1:R143,SMALL(ROW($R$1:R143)+(10000*($R$1:R143="")),COUNTA($R$1:R143))),Sectors,0)),"")</f>
        <v>Demand</v>
      </c>
      <c r="M143" s="7"/>
      <c r="N143" s="76"/>
      <c r="O143" s="77"/>
      <c r="P143" s="77"/>
      <c r="Q143" s="82"/>
      <c r="R143" s="77"/>
      <c r="S143" s="76"/>
      <c r="T143" s="77"/>
      <c r="U143" s="82"/>
      <c r="V143" s="77"/>
      <c r="W143" s="82"/>
      <c r="X143" s="77"/>
      <c r="Y143" s="82"/>
      <c r="Z143" s="76"/>
      <c r="AA143" s="77"/>
      <c r="AB143" s="76"/>
      <c r="AC143" s="77"/>
      <c r="AD143" s="76"/>
      <c r="AE143" s="77"/>
      <c r="AF143" s="76"/>
      <c r="AG143" s="77"/>
      <c r="AH143" s="76"/>
      <c r="AI143" s="7"/>
      <c r="AJ143" s="27" t="str">
        <f t="shared" si="15"/>
        <v/>
      </c>
      <c r="AK143" s="3" t="s">
        <v>95</v>
      </c>
      <c r="AL143" s="3" t="s">
        <v>152</v>
      </c>
      <c r="AM143" s="3" t="s">
        <v>17</v>
      </c>
      <c r="AN143" s="18" t="s">
        <v>35</v>
      </c>
      <c r="AO143" s="23">
        <f>AO148*((AO161*AO160/(1-(1+AO160)^(-AO159))+SUM(AO162:AO164))*AO166+(AO172*AO171/(1-(1+AO171)^(-AO170))+SUM(AO173:AO175))*AO180+(AO186*AO185/(1-(1+AO185)^(-AO184))+SUM(AO187:AO189))*AO193+(AO199*AO198/(1-(1+AO198)^(-AO197))+SUM(AO200:AO202))*AO206)</f>
        <v>503.29078916038679</v>
      </c>
      <c r="AP143" s="162"/>
      <c r="AQ143" s="162"/>
      <c r="AR143" s="162"/>
      <c r="AS143" s="162"/>
      <c r="AT143" s="162"/>
      <c r="AU143" s="162"/>
      <c r="AV143" s="162"/>
      <c r="AW143" s="162"/>
      <c r="AX143" s="162"/>
      <c r="AY143" s="162"/>
      <c r="AZ143" s="7"/>
      <c r="BA143" s="37"/>
      <c r="BB143" s="37"/>
      <c r="BC143" s="37"/>
      <c r="BD143" s="42"/>
      <c r="BE143" s="41"/>
      <c r="BF143" s="41"/>
      <c r="BG143" s="41"/>
      <c r="BH143" s="41"/>
      <c r="BI143" s="41"/>
      <c r="BJ143" s="41"/>
      <c r="BK143" s="41"/>
      <c r="BL143" s="41"/>
      <c r="BM143" s="41"/>
      <c r="BN143" s="41"/>
    </row>
    <row r="144" spans="1:66" s="5" customFormat="1" hidden="1" x14ac:dyDescent="0.25">
      <c r="A144" s="7"/>
      <c r="B144" s="5" t="str">
        <f t="array" ref="B144">IFERROR(INDEX(DemandSupply,MATCH(INDEX($R$1:R144,SMALL(ROW($R$1:R144)+(10000*($R$1:R144="")),COUNTA($R$1:R144))),Sectors,0)),"")</f>
        <v>Demand</v>
      </c>
      <c r="M144" s="7"/>
      <c r="N144" s="76"/>
      <c r="O144" s="77"/>
      <c r="P144" s="77"/>
      <c r="Q144" s="82"/>
      <c r="R144" s="77"/>
      <c r="S144" s="76"/>
      <c r="T144" s="77"/>
      <c r="U144" s="82"/>
      <c r="V144" s="77"/>
      <c r="W144" s="82"/>
      <c r="X144" s="77"/>
      <c r="Y144" s="82"/>
      <c r="Z144" s="76"/>
      <c r="AA144" s="77"/>
      <c r="AB144" s="76"/>
      <c r="AC144" s="77"/>
      <c r="AD144" s="76"/>
      <c r="AE144" s="77"/>
      <c r="AF144" s="76"/>
      <c r="AG144" s="77"/>
      <c r="AH144" s="76"/>
      <c r="AI144" s="7"/>
      <c r="AJ144" s="27" t="str">
        <f t="shared" si="15"/>
        <v/>
      </c>
      <c r="AK144" s="3" t="s">
        <v>191</v>
      </c>
      <c r="AL144" s="3"/>
      <c r="AM144" s="3" t="s">
        <v>118</v>
      </c>
      <c r="AN144" s="18" t="s">
        <v>35</v>
      </c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7"/>
      <c r="BA144" s="37"/>
      <c r="BB144" s="37"/>
      <c r="BC144" s="37"/>
      <c r="BD144" s="42"/>
      <c r="BE144" s="41"/>
      <c r="BF144" s="41"/>
      <c r="BG144" s="41"/>
      <c r="BH144" s="41"/>
      <c r="BI144" s="41"/>
      <c r="BJ144" s="41"/>
      <c r="BK144" s="41"/>
      <c r="BL144" s="41"/>
      <c r="BM144" s="41"/>
      <c r="BN144" s="41"/>
    </row>
    <row r="145" spans="1:66" s="5" customFormat="1" hidden="1" x14ac:dyDescent="0.25">
      <c r="A145" s="7"/>
      <c r="B145" s="5" t="str">
        <f t="array" ref="B145">IFERROR(INDEX(DemandSupply,MATCH(INDEX($R$1:R145,SMALL(ROW($R$1:R145)+(10000*($R$1:R145="")),COUNTA($R$1:R145))),Sectors,0)),"")</f>
        <v>Demand</v>
      </c>
      <c r="M145" s="7"/>
      <c r="N145" s="76"/>
      <c r="O145" s="77"/>
      <c r="P145" s="77"/>
      <c r="Q145" s="82"/>
      <c r="R145" s="77"/>
      <c r="S145" s="76"/>
      <c r="T145" s="77"/>
      <c r="U145" s="82"/>
      <c r="V145" s="77"/>
      <c r="W145" s="82"/>
      <c r="X145" s="77"/>
      <c r="Y145" s="82"/>
      <c r="Z145" s="76"/>
      <c r="AA145" s="77"/>
      <c r="AB145" s="76"/>
      <c r="AC145" s="77"/>
      <c r="AD145" s="76"/>
      <c r="AE145" s="77"/>
      <c r="AF145" s="76"/>
      <c r="AG145" s="77"/>
      <c r="AH145" s="76"/>
      <c r="AI145" s="7"/>
      <c r="AJ145" s="27" t="str">
        <f t="shared" si="15"/>
        <v/>
      </c>
      <c r="AK145" s="3" t="s">
        <v>192</v>
      </c>
      <c r="AL145" s="3"/>
      <c r="AM145" s="3" t="s">
        <v>118</v>
      </c>
      <c r="AN145" s="18" t="s">
        <v>35</v>
      </c>
      <c r="AO145" s="3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7"/>
      <c r="BA145" s="37"/>
      <c r="BB145" s="37"/>
      <c r="BC145" s="37"/>
      <c r="BD145" s="42"/>
      <c r="BE145" s="41"/>
      <c r="BF145" s="41"/>
      <c r="BG145" s="41"/>
      <c r="BH145" s="41"/>
      <c r="BI145" s="41"/>
      <c r="BJ145" s="41"/>
      <c r="BK145" s="41"/>
      <c r="BL145" s="41"/>
      <c r="BM145" s="41"/>
      <c r="BN145" s="41"/>
    </row>
    <row r="146" spans="1:66" s="5" customFormat="1" hidden="1" x14ac:dyDescent="0.25">
      <c r="A146" s="7"/>
      <c r="B146" s="5" t="str">
        <f t="array" ref="B146">IFERROR(INDEX(DemandSupply,MATCH(INDEX($R$1:R146,SMALL(ROW($R$1:R146)+(10000*($R$1:R146="")),COUNTA($R$1:R146))),Sectors,0)),"")</f>
        <v>Demand</v>
      </c>
      <c r="M146" s="7"/>
      <c r="N146" s="76"/>
      <c r="O146" s="77"/>
      <c r="P146" s="77"/>
      <c r="Q146" s="82"/>
      <c r="R146" s="77"/>
      <c r="S146" s="76"/>
      <c r="T146" s="77"/>
      <c r="U146" s="82"/>
      <c r="V146" s="77"/>
      <c r="W146" s="82"/>
      <c r="X146" s="77"/>
      <c r="Y146" s="82"/>
      <c r="Z146" s="76"/>
      <c r="AA146" s="77"/>
      <c r="AB146" s="76"/>
      <c r="AC146" s="77"/>
      <c r="AD146" s="76"/>
      <c r="AE146" s="77"/>
      <c r="AF146" s="76"/>
      <c r="AG146" s="77"/>
      <c r="AH146" s="76"/>
      <c r="AI146" s="7"/>
      <c r="AJ146" s="27" t="str">
        <f t="shared" si="15"/>
        <v/>
      </c>
      <c r="AK146" s="3" t="s">
        <v>193</v>
      </c>
      <c r="AL146" s="3"/>
      <c r="AM146" s="3" t="s">
        <v>118</v>
      </c>
      <c r="AN146" s="18" t="s">
        <v>35</v>
      </c>
      <c r="AO146" s="3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7"/>
      <c r="BA146" s="37"/>
      <c r="BB146" s="37"/>
      <c r="BC146" s="37"/>
      <c r="BD146" s="42"/>
      <c r="BE146" s="41"/>
      <c r="BF146" s="41"/>
      <c r="BG146" s="41"/>
      <c r="BH146" s="41"/>
      <c r="BI146" s="41"/>
      <c r="BJ146" s="41"/>
      <c r="BK146" s="41"/>
      <c r="BL146" s="41"/>
      <c r="BM146" s="41"/>
      <c r="BN146" s="41"/>
    </row>
    <row r="147" spans="1:66" s="5" customFormat="1" hidden="1" x14ac:dyDescent="0.25">
      <c r="A147" s="7"/>
      <c r="B147" s="5" t="str">
        <f t="array" ref="B147">IFERROR(INDEX(DemandSupply,MATCH(INDEX($R$1:R147,SMALL(ROW($R$1:R147)+(10000*($R$1:R147="")),COUNTA($R$1:R147))),Sectors,0)),"")</f>
        <v>Demand</v>
      </c>
      <c r="M147" s="7"/>
      <c r="N147" s="76"/>
      <c r="O147" s="77"/>
      <c r="P147" s="77"/>
      <c r="Q147" s="82"/>
      <c r="R147" s="77"/>
      <c r="S147" s="76"/>
      <c r="T147" s="77"/>
      <c r="U147" s="82"/>
      <c r="V147" s="77"/>
      <c r="W147" s="82"/>
      <c r="X147" s="77"/>
      <c r="Y147" s="82"/>
      <c r="Z147" s="76"/>
      <c r="AA147" s="77"/>
      <c r="AB147" s="76"/>
      <c r="AC147" s="77"/>
      <c r="AD147" s="76"/>
      <c r="AE147" s="77"/>
      <c r="AF147" s="76"/>
      <c r="AG147" s="77"/>
      <c r="AH147" s="76"/>
      <c r="AI147" s="7"/>
      <c r="AJ147" s="27" t="str">
        <f t="shared" si="15"/>
        <v/>
      </c>
      <c r="AK147" s="3" t="s">
        <v>194</v>
      </c>
      <c r="AL147" s="3"/>
      <c r="AM147" s="3" t="s">
        <v>118</v>
      </c>
      <c r="AN147" s="18" t="s">
        <v>35</v>
      </c>
      <c r="AO147" s="3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7"/>
      <c r="BA147" s="37"/>
      <c r="BB147" s="37"/>
      <c r="BC147" s="37"/>
      <c r="BD147" s="42"/>
      <c r="BE147" s="41"/>
      <c r="BF147" s="41"/>
      <c r="BG147" s="41"/>
      <c r="BH147" s="41"/>
      <c r="BI147" s="41"/>
      <c r="BJ147" s="41"/>
      <c r="BK147" s="41"/>
      <c r="BL147" s="41"/>
      <c r="BM147" s="41"/>
      <c r="BN147" s="41"/>
    </row>
    <row r="148" spans="1:66" s="5" customFormat="1" hidden="1" x14ac:dyDescent="0.25">
      <c r="A148" s="7"/>
      <c r="B148" s="5" t="str">
        <f t="array" ref="B148">IFERROR(INDEX(DemandSupply,MATCH(INDEX($R$1:R148,SMALL(ROW($R$1:R148)+(10000*($R$1:R148="")),COUNTA($R$1:R148))),Sectors,0)),"")</f>
        <v>Demand</v>
      </c>
      <c r="M148" s="7"/>
      <c r="N148" s="76"/>
      <c r="O148" s="77"/>
      <c r="P148" s="77"/>
      <c r="Q148" s="82"/>
      <c r="R148" s="77"/>
      <c r="S148" s="76"/>
      <c r="T148" s="77"/>
      <c r="U148" s="82"/>
      <c r="V148" s="77"/>
      <c r="W148" s="82"/>
      <c r="X148" s="77"/>
      <c r="Y148" s="82"/>
      <c r="Z148" s="76"/>
      <c r="AA148" s="77"/>
      <c r="AB148" s="76"/>
      <c r="AC148" s="77"/>
      <c r="AD148" s="76"/>
      <c r="AE148" s="77"/>
      <c r="AF148" s="76"/>
      <c r="AG148" s="77"/>
      <c r="AH148" s="76"/>
      <c r="AI148" s="7"/>
      <c r="AJ148" s="27" t="str">
        <f t="shared" si="15"/>
        <v/>
      </c>
      <c r="AK148" s="3" t="s">
        <v>94</v>
      </c>
      <c r="AL148" s="3" t="s">
        <v>152</v>
      </c>
      <c r="AM148" s="3" t="s">
        <v>57</v>
      </c>
      <c r="AN148" s="18" t="s">
        <v>35</v>
      </c>
      <c r="AO148" s="22">
        <v>1</v>
      </c>
      <c r="AP148" s="161">
        <f t="shared" ref="AP148:AY148" si="17">AO148</f>
        <v>1</v>
      </c>
      <c r="AQ148" s="161">
        <f t="shared" si="17"/>
        <v>1</v>
      </c>
      <c r="AR148" s="161">
        <f t="shared" si="17"/>
        <v>1</v>
      </c>
      <c r="AS148" s="161">
        <f t="shared" si="17"/>
        <v>1</v>
      </c>
      <c r="AT148" s="161">
        <f t="shared" si="17"/>
        <v>1</v>
      </c>
      <c r="AU148" s="161">
        <f t="shared" si="17"/>
        <v>1</v>
      </c>
      <c r="AV148" s="161">
        <f t="shared" si="17"/>
        <v>1</v>
      </c>
      <c r="AW148" s="161">
        <f t="shared" si="17"/>
        <v>1</v>
      </c>
      <c r="AX148" s="161">
        <f t="shared" si="17"/>
        <v>1</v>
      </c>
      <c r="AY148" s="161">
        <f t="shared" si="17"/>
        <v>1</v>
      </c>
      <c r="AZ148" s="7"/>
      <c r="BA148" s="37"/>
      <c r="BB148" s="37"/>
      <c r="BC148" s="37"/>
      <c r="BD148" s="42"/>
      <c r="BE148" s="41"/>
      <c r="BF148" s="41"/>
      <c r="BG148" s="41"/>
      <c r="BH148" s="41"/>
      <c r="BI148" s="41"/>
      <c r="BJ148" s="41"/>
      <c r="BK148" s="41"/>
      <c r="BL148" s="41"/>
      <c r="BM148" s="41"/>
      <c r="BN148" s="41"/>
    </row>
    <row r="149" spans="1:66" s="5" customFormat="1" hidden="1" x14ac:dyDescent="0.25">
      <c r="A149" s="7"/>
      <c r="B149" s="5" t="str">
        <f t="array" ref="B149">IFERROR(INDEX(DemandSupply,MATCH(INDEX($R$1:R149,SMALL(ROW($R$1:R149)+(10000*($R$1:R149="")),COUNTA($R$1:R149))),Sectors,0)),"")</f>
        <v>Demand</v>
      </c>
      <c r="M149" s="7"/>
      <c r="N149" s="76"/>
      <c r="O149" s="77"/>
      <c r="P149" s="77"/>
      <c r="Q149" s="82"/>
      <c r="R149" s="77"/>
      <c r="S149" s="76"/>
      <c r="T149" s="77"/>
      <c r="U149" s="82"/>
      <c r="V149" s="77"/>
      <c r="W149" s="82"/>
      <c r="X149" s="77"/>
      <c r="Y149" s="82"/>
      <c r="Z149" s="76"/>
      <c r="AA149" s="77"/>
      <c r="AB149" s="76"/>
      <c r="AC149" s="77"/>
      <c r="AD149" s="76"/>
      <c r="AE149" s="77"/>
      <c r="AF149" s="76"/>
      <c r="AG149" s="77"/>
      <c r="AH149" s="76"/>
      <c r="AI149" s="7"/>
      <c r="AJ149" s="27" t="str">
        <f t="shared" si="15"/>
        <v/>
      </c>
      <c r="AK149" s="3" t="s">
        <v>91</v>
      </c>
      <c r="AL149" s="3"/>
      <c r="AM149" s="3" t="s">
        <v>118</v>
      </c>
      <c r="AN149" s="18" t="s">
        <v>35</v>
      </c>
      <c r="AO149" s="22">
        <v>0.99399999999999999</v>
      </c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7"/>
      <c r="BA149" s="37"/>
      <c r="BB149" s="37"/>
      <c r="BC149" s="37"/>
      <c r="BD149" s="42"/>
      <c r="BE149" s="41"/>
      <c r="BF149" s="41"/>
      <c r="BG149" s="41"/>
      <c r="BH149" s="41"/>
      <c r="BI149" s="41"/>
      <c r="BJ149" s="41"/>
      <c r="BK149" s="41"/>
      <c r="BL149" s="41"/>
      <c r="BM149" s="41"/>
      <c r="BN149" s="41"/>
    </row>
    <row r="150" spans="1:66" s="5" customFormat="1" x14ac:dyDescent="0.25">
      <c r="A150" s="7"/>
      <c r="B150" s="5" t="str">
        <f t="array" ref="B150">IFERROR(INDEX(DemandSupply,MATCH(INDEX($R$1:R150,SMALL(ROW($R$1:R150)+(10000*($R$1:R150="")),COUNTA($R$1:R150))),Sectors,0)),"")</f>
        <v>Demand</v>
      </c>
      <c r="M150" s="7"/>
      <c r="N150" s="76"/>
      <c r="O150" s="77"/>
      <c r="P150" s="77"/>
      <c r="Q150" s="82"/>
      <c r="R150" s="77"/>
      <c r="S150" s="76"/>
      <c r="T150" s="79"/>
      <c r="U150" s="82"/>
      <c r="V150" s="77"/>
      <c r="W150" s="82"/>
      <c r="X150" s="76"/>
      <c r="Y150" s="83"/>
      <c r="Z150" s="77"/>
      <c r="AA150" s="77"/>
      <c r="AB150" s="76"/>
      <c r="AC150" s="77"/>
      <c r="AD150" s="76"/>
      <c r="AE150" s="77"/>
      <c r="AF150" s="76"/>
      <c r="AG150" s="77"/>
      <c r="AH150" s="76"/>
      <c r="AI150" s="7"/>
      <c r="AJ150" s="27" t="str">
        <f t="shared" si="15"/>
        <v/>
      </c>
      <c r="AK150" s="6"/>
      <c r="AL150" s="6"/>
      <c r="AM150" s="6"/>
      <c r="AN150" s="11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7"/>
      <c r="BA150" s="15"/>
      <c r="BB150" s="15"/>
      <c r="BC150" s="15"/>
      <c r="BD150" s="41"/>
      <c r="BE150" s="41"/>
      <c r="BF150" s="41"/>
      <c r="BG150" s="41"/>
      <c r="BH150" s="41"/>
      <c r="BI150" s="41"/>
      <c r="BJ150" s="41"/>
      <c r="BK150" s="41"/>
      <c r="BL150" s="41"/>
      <c r="BM150" s="41"/>
      <c r="BN150" s="41"/>
    </row>
    <row r="151" spans="1:66" s="5" customFormat="1" x14ac:dyDescent="0.25">
      <c r="A151" s="7"/>
      <c r="B151" s="5" t="str">
        <f t="array" ref="B151">IFERROR(INDEX(DemandSupply,MATCH(INDEX($R$1:R151,SMALL(ROW($R$1:R151)+(10000*($R$1:R151="")),COUNTA($R$1:R151))),Sectors,0)),"")</f>
        <v>Demand</v>
      </c>
      <c r="M151" s="7"/>
      <c r="N151" s="76"/>
      <c r="O151" s="77"/>
      <c r="P151" s="77"/>
      <c r="Q151" s="82"/>
      <c r="R151" s="77"/>
      <c r="S151" s="76"/>
      <c r="T151" s="79"/>
      <c r="U151" s="82"/>
      <c r="V151" s="77"/>
      <c r="W151" s="82"/>
      <c r="X151" s="76"/>
      <c r="Y151" s="80"/>
      <c r="Z151" s="31" t="s">
        <v>35</v>
      </c>
      <c r="AA151" s="77"/>
      <c r="AB151" s="76"/>
      <c r="AC151" s="77"/>
      <c r="AD151" s="76"/>
      <c r="AE151" s="77"/>
      <c r="AF151" s="76"/>
      <c r="AG151" s="77"/>
      <c r="AH151" s="76"/>
      <c r="AI151" s="7"/>
      <c r="AJ151" s="28" t="str">
        <f t="shared" si="15"/>
        <v>Furnace</v>
      </c>
      <c r="AK151" s="6"/>
      <c r="AL151" s="6"/>
      <c r="AM151" s="6"/>
      <c r="AN151" s="11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7"/>
      <c r="BA151" s="15"/>
      <c r="BB151" s="15"/>
      <c r="BC151" s="15"/>
      <c r="BD151" s="41"/>
      <c r="BE151" s="41"/>
      <c r="BF151" s="41"/>
      <c r="BG151" s="41"/>
      <c r="BH151" s="41"/>
      <c r="BI151" s="41"/>
      <c r="BJ151" s="41"/>
      <c r="BK151" s="41"/>
      <c r="BL151" s="41"/>
      <c r="BM151" s="41"/>
      <c r="BN151" s="41"/>
    </row>
    <row r="152" spans="1:66" s="5" customFormat="1" x14ac:dyDescent="0.25">
      <c r="A152" s="7"/>
      <c r="B152" s="5" t="str">
        <f t="array" ref="B152">IFERROR(INDEX(DemandSupply,MATCH(INDEX($R$1:R152,SMALL(ROW($R$1:R152)+(10000*($R$1:R152="")),COUNTA($R$1:R152))),Sectors,0)),"")</f>
        <v>Demand</v>
      </c>
      <c r="M152" s="7"/>
      <c r="N152" s="76"/>
      <c r="O152" s="77"/>
      <c r="P152" s="77"/>
      <c r="Q152" s="82"/>
      <c r="R152" s="77"/>
      <c r="S152" s="76"/>
      <c r="T152" s="79"/>
      <c r="U152" s="82"/>
      <c r="V152" s="77"/>
      <c r="W152" s="82"/>
      <c r="X152" s="76"/>
      <c r="Y152" s="77"/>
      <c r="Z152" s="77"/>
      <c r="AA152" s="77"/>
      <c r="AB152" s="76"/>
      <c r="AC152" s="77"/>
      <c r="AD152" s="76"/>
      <c r="AE152" s="77"/>
      <c r="AF152" s="76"/>
      <c r="AG152" s="77"/>
      <c r="AH152" s="76"/>
      <c r="AI152" s="7"/>
      <c r="AJ152" s="27" t="str">
        <f t="shared" si="15"/>
        <v/>
      </c>
      <c r="AK152" s="3" t="s">
        <v>93</v>
      </c>
      <c r="AL152" s="3" t="s">
        <v>147</v>
      </c>
      <c r="AM152" s="3"/>
      <c r="AN152" s="18" t="s">
        <v>36</v>
      </c>
      <c r="AO152" s="3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7"/>
      <c r="BA152" s="37"/>
      <c r="BB152" s="37"/>
      <c r="BC152" s="37"/>
      <c r="BD152" s="42"/>
      <c r="BE152" s="41"/>
      <c r="BF152" s="41"/>
      <c r="BG152" s="41"/>
      <c r="BH152" s="41"/>
      <c r="BI152" s="41"/>
      <c r="BJ152" s="41"/>
      <c r="BK152" s="41"/>
      <c r="BL152" s="41"/>
      <c r="BM152" s="41"/>
      <c r="BN152" s="41"/>
    </row>
    <row r="153" spans="1:66" s="5" customFormat="1" x14ac:dyDescent="0.25">
      <c r="A153" s="7"/>
      <c r="B153" s="5" t="str">
        <f t="array" ref="B153">IFERROR(INDEX(DemandSupply,MATCH(INDEX($R$1:R153,SMALL(ROW($R$1:R153)+(10000*($R$1:R153="")),COUNTA($R$1:R153))),Sectors,0)),"")</f>
        <v>Demand</v>
      </c>
      <c r="M153" s="7"/>
      <c r="N153" s="76"/>
      <c r="O153" s="77"/>
      <c r="P153" s="77"/>
      <c r="Q153" s="82"/>
      <c r="R153" s="77"/>
      <c r="S153" s="76"/>
      <c r="T153" s="79"/>
      <c r="U153" s="82"/>
      <c r="V153" s="77"/>
      <c r="W153" s="82"/>
      <c r="X153" s="76"/>
      <c r="Y153" s="77"/>
      <c r="Z153" s="77"/>
      <c r="AA153" s="77"/>
      <c r="AB153" s="76"/>
      <c r="AC153" s="77"/>
      <c r="AD153" s="76"/>
      <c r="AE153" s="77"/>
      <c r="AF153" s="76"/>
      <c r="AG153" s="77"/>
      <c r="AH153" s="76"/>
      <c r="AI153" s="7"/>
      <c r="AJ153" s="27" t="str">
        <f t="shared" si="15"/>
        <v/>
      </c>
      <c r="AK153" s="3" t="s">
        <v>58</v>
      </c>
      <c r="AL153" s="3"/>
      <c r="AM153" s="3"/>
      <c r="AN153" s="18" t="s">
        <v>23</v>
      </c>
      <c r="AO153" s="3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7"/>
      <c r="BA153" s="37"/>
      <c r="BB153" s="37"/>
      <c r="BC153" s="37"/>
      <c r="BD153" s="42"/>
      <c r="BE153" s="41"/>
      <c r="BF153" s="41"/>
      <c r="BG153" s="41"/>
      <c r="BH153" s="41"/>
      <c r="BI153" s="41"/>
      <c r="BJ153" s="41"/>
      <c r="BK153" s="41"/>
      <c r="BL153" s="41"/>
      <c r="BM153" s="41"/>
      <c r="BN153" s="41"/>
    </row>
    <row r="154" spans="1:66" s="5" customFormat="1" x14ac:dyDescent="0.25">
      <c r="A154" s="7"/>
      <c r="B154" s="5" t="str">
        <f t="array" ref="B154">IFERROR(INDEX(DemandSupply,MATCH(INDEX($R$1:R154,SMALL(ROW($R$1:R154)+(10000*($R$1:R154="")),COUNTA($R$1:R154))),Sectors,0)),"")</f>
        <v>Demand</v>
      </c>
      <c r="M154" s="7"/>
      <c r="N154" s="76"/>
      <c r="O154" s="77"/>
      <c r="P154" s="77"/>
      <c r="Q154" s="82"/>
      <c r="R154" s="77"/>
      <c r="S154" s="76"/>
      <c r="T154" s="79"/>
      <c r="U154" s="82"/>
      <c r="V154" s="77"/>
      <c r="W154" s="82"/>
      <c r="X154" s="76"/>
      <c r="Y154" s="77"/>
      <c r="Z154" s="77"/>
      <c r="AA154" s="77"/>
      <c r="AB154" s="76"/>
      <c r="AC154" s="77"/>
      <c r="AD154" s="76"/>
      <c r="AE154" s="77"/>
      <c r="AF154" s="76"/>
      <c r="AG154" s="77"/>
      <c r="AH154" s="76"/>
      <c r="AI154" s="7"/>
      <c r="AJ154" s="27" t="str">
        <f t="shared" si="15"/>
        <v/>
      </c>
      <c r="AK154" s="3" t="s">
        <v>80</v>
      </c>
      <c r="AL154" s="3"/>
      <c r="AM154" s="3"/>
      <c r="AN154" s="18" t="s">
        <v>37</v>
      </c>
      <c r="AO154" s="3">
        <v>10</v>
      </c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7"/>
      <c r="BA154" s="37"/>
      <c r="BB154" s="37"/>
      <c r="BC154" s="37"/>
      <c r="BD154" s="42"/>
      <c r="BE154" s="41"/>
      <c r="BF154" s="41"/>
      <c r="BG154" s="41"/>
      <c r="BH154" s="41"/>
      <c r="BI154" s="41"/>
      <c r="BJ154" s="41"/>
      <c r="BK154" s="41"/>
      <c r="BL154" s="41"/>
      <c r="BM154" s="41"/>
      <c r="BN154" s="41"/>
    </row>
    <row r="155" spans="1:66" s="5" customFormat="1" x14ac:dyDescent="0.25">
      <c r="A155" s="7"/>
      <c r="B155" s="5" t="str">
        <f t="array" ref="B155">IFERROR(INDEX(DemandSupply,MATCH(INDEX($R$1:R155,SMALL(ROW($R$1:R155)+(10000*($R$1:R155="")),COUNTA($R$1:R155))),Sectors,0)),"")</f>
        <v>Demand</v>
      </c>
      <c r="M155" s="7"/>
      <c r="N155" s="76"/>
      <c r="O155" s="77"/>
      <c r="P155" s="77"/>
      <c r="Q155" s="82"/>
      <c r="R155" s="77"/>
      <c r="S155" s="76"/>
      <c r="T155" s="79"/>
      <c r="U155" s="82"/>
      <c r="V155" s="77"/>
      <c r="W155" s="82"/>
      <c r="X155" s="76"/>
      <c r="Y155" s="77"/>
      <c r="Z155" s="77"/>
      <c r="AA155" s="77"/>
      <c r="AB155" s="76"/>
      <c r="AC155" s="77"/>
      <c r="AD155" s="76"/>
      <c r="AE155" s="77"/>
      <c r="AF155" s="76"/>
      <c r="AG155" s="77"/>
      <c r="AH155" s="76"/>
      <c r="AI155" s="7"/>
      <c r="AJ155" s="27" t="str">
        <f t="shared" si="15"/>
        <v/>
      </c>
      <c r="AK155" s="3" t="s">
        <v>61</v>
      </c>
      <c r="AL155" s="3"/>
      <c r="AM155" s="3" t="s">
        <v>118</v>
      </c>
      <c r="AN155" s="18" t="s">
        <v>45</v>
      </c>
      <c r="AO155" s="3">
        <v>0.25</v>
      </c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7"/>
      <c r="BA155" s="37"/>
      <c r="BB155" s="37"/>
      <c r="BC155" s="37"/>
      <c r="BD155" s="42"/>
      <c r="BE155" s="41"/>
      <c r="BF155" s="41"/>
      <c r="BG155" s="41"/>
      <c r="BH155" s="41"/>
      <c r="BI155" s="41"/>
      <c r="BJ155" s="41"/>
      <c r="BK155" s="41"/>
      <c r="BL155" s="41"/>
      <c r="BM155" s="41"/>
      <c r="BN155" s="41"/>
    </row>
    <row r="156" spans="1:66" s="5" customFormat="1" x14ac:dyDescent="0.25">
      <c r="A156" s="7"/>
      <c r="B156" s="5" t="str">
        <f t="array" ref="B156">IFERROR(INDEX(DemandSupply,MATCH(INDEX($R$1:R156,SMALL(ROW($R$1:R156)+(10000*($R$1:R156="")),COUNTA($R$1:R156))),Sectors,0)),"")</f>
        <v>Demand</v>
      </c>
      <c r="M156" s="7"/>
      <c r="N156" s="76"/>
      <c r="O156" s="77"/>
      <c r="P156" s="77"/>
      <c r="Q156" s="82"/>
      <c r="R156" s="77"/>
      <c r="S156" s="76"/>
      <c r="T156" s="79"/>
      <c r="U156" s="82"/>
      <c r="V156" s="77"/>
      <c r="W156" s="82"/>
      <c r="X156" s="76"/>
      <c r="Y156" s="77"/>
      <c r="Z156" s="77"/>
      <c r="AA156" s="77"/>
      <c r="AB156" s="76"/>
      <c r="AC156" s="77"/>
      <c r="AD156" s="76"/>
      <c r="AE156" s="77"/>
      <c r="AF156" s="76"/>
      <c r="AG156" s="77"/>
      <c r="AH156" s="76"/>
      <c r="AI156" s="7"/>
      <c r="AJ156" s="27" t="str">
        <f t="shared" si="15"/>
        <v/>
      </c>
      <c r="AK156" s="3" t="s">
        <v>63</v>
      </c>
      <c r="AL156" s="3"/>
      <c r="AM156" s="3"/>
      <c r="AN156" s="18" t="s">
        <v>64</v>
      </c>
      <c r="AO156" s="3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7"/>
      <c r="BA156" s="37"/>
      <c r="BB156" s="37"/>
      <c r="BC156" s="37"/>
      <c r="BD156" s="42"/>
      <c r="BE156" s="41"/>
      <c r="BF156" s="41"/>
      <c r="BG156" s="41"/>
      <c r="BH156" s="41"/>
      <c r="BI156" s="41"/>
      <c r="BJ156" s="41"/>
      <c r="BK156" s="41"/>
      <c r="BL156" s="41"/>
      <c r="BM156" s="41"/>
      <c r="BN156" s="41"/>
    </row>
    <row r="157" spans="1:66" s="5" customFormat="1" x14ac:dyDescent="0.25">
      <c r="A157" s="7"/>
      <c r="B157" s="5" t="str">
        <f t="array" ref="B157">IFERROR(INDEX(DemandSupply,MATCH(INDEX($R$1:R157,SMALL(ROW($R$1:R157)+(10000*($R$1:R157="")),COUNTA($R$1:R157))),Sectors,0)),"")</f>
        <v>Demand</v>
      </c>
      <c r="M157" s="7"/>
      <c r="N157" s="76"/>
      <c r="O157" s="77"/>
      <c r="P157" s="77"/>
      <c r="Q157" s="82"/>
      <c r="R157" s="77"/>
      <c r="S157" s="76"/>
      <c r="T157" s="79"/>
      <c r="U157" s="82"/>
      <c r="V157" s="77"/>
      <c r="W157" s="82"/>
      <c r="X157" s="76"/>
      <c r="Y157" s="77"/>
      <c r="Z157" s="77"/>
      <c r="AA157" s="77"/>
      <c r="AB157" s="76"/>
      <c r="AC157" s="77"/>
      <c r="AD157" s="76"/>
      <c r="AE157" s="77"/>
      <c r="AF157" s="76"/>
      <c r="AG157" s="77"/>
      <c r="AH157" s="76"/>
      <c r="AI157" s="7"/>
      <c r="AJ157" s="27" t="str">
        <f t="shared" si="15"/>
        <v/>
      </c>
      <c r="AK157" s="3" t="s">
        <v>41</v>
      </c>
      <c r="AL157" s="3"/>
      <c r="AM157" s="3" t="s">
        <v>43</v>
      </c>
      <c r="AN157" s="18" t="s">
        <v>64</v>
      </c>
      <c r="AO157" s="3">
        <v>2000</v>
      </c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7"/>
      <c r="BA157" s="37"/>
      <c r="BB157" s="37"/>
      <c r="BC157" s="37"/>
      <c r="BD157" s="42"/>
      <c r="BE157" s="41"/>
      <c r="BF157" s="41"/>
      <c r="BG157" s="41"/>
      <c r="BH157" s="41"/>
      <c r="BI157" s="41"/>
      <c r="BJ157" s="41"/>
      <c r="BK157" s="41"/>
      <c r="BL157" s="41"/>
      <c r="BM157" s="41"/>
      <c r="BN157" s="41"/>
    </row>
    <row r="158" spans="1:66" s="5" customFormat="1" x14ac:dyDescent="0.25">
      <c r="A158" s="7"/>
      <c r="B158" s="5" t="str">
        <f t="array" ref="B158">IFERROR(INDEX(DemandSupply,MATCH(INDEX($R$1:R158,SMALL(ROW($R$1:R158)+(10000*($R$1:R158="")),COUNTA($R$1:R158))),Sectors,0)),"")</f>
        <v>Demand</v>
      </c>
      <c r="M158" s="7"/>
      <c r="N158" s="76"/>
      <c r="O158" s="77"/>
      <c r="P158" s="77"/>
      <c r="Q158" s="82"/>
      <c r="R158" s="77"/>
      <c r="S158" s="76"/>
      <c r="T158" s="79"/>
      <c r="U158" s="82"/>
      <c r="V158" s="77"/>
      <c r="W158" s="82"/>
      <c r="X158" s="76"/>
      <c r="Y158" s="77"/>
      <c r="Z158" s="77"/>
      <c r="AA158" s="77"/>
      <c r="AB158" s="76"/>
      <c r="AC158" s="77"/>
      <c r="AD158" s="76"/>
      <c r="AE158" s="77"/>
      <c r="AF158" s="76"/>
      <c r="AG158" s="77"/>
      <c r="AH158" s="76"/>
      <c r="AI158" s="7"/>
      <c r="AJ158" s="27" t="str">
        <f t="shared" si="15"/>
        <v/>
      </c>
      <c r="AK158" s="3" t="s">
        <v>40</v>
      </c>
      <c r="AL158" s="3"/>
      <c r="AM158" s="3" t="s">
        <v>43</v>
      </c>
      <c r="AN158" s="18" t="s">
        <v>64</v>
      </c>
      <c r="AO158" s="3">
        <v>2000</v>
      </c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7"/>
      <c r="BA158" s="37"/>
      <c r="BB158" s="37"/>
      <c r="BC158" s="37"/>
      <c r="BD158" s="42"/>
      <c r="BE158" s="41"/>
      <c r="BF158" s="41"/>
      <c r="BG158" s="41"/>
      <c r="BH158" s="41"/>
      <c r="BI158" s="41"/>
      <c r="BJ158" s="41"/>
      <c r="BK158" s="41"/>
      <c r="BL158" s="41"/>
      <c r="BM158" s="41"/>
      <c r="BN158" s="41"/>
    </row>
    <row r="159" spans="1:66" s="5" customFormat="1" x14ac:dyDescent="0.25">
      <c r="A159" s="7"/>
      <c r="B159" s="5" t="str">
        <f t="array" ref="B159">IFERROR(INDEX(DemandSupply,MATCH(INDEX($R$1:R159,SMALL(ROW($R$1:R159)+(10000*($R$1:R159="")),COUNTA($R$1:R159))),Sectors,0)),"")</f>
        <v>Demand</v>
      </c>
      <c r="M159" s="7"/>
      <c r="N159" s="76"/>
      <c r="O159" s="77"/>
      <c r="P159" s="77"/>
      <c r="Q159" s="82"/>
      <c r="R159" s="77"/>
      <c r="S159" s="76"/>
      <c r="T159" s="79"/>
      <c r="U159" s="82"/>
      <c r="V159" s="77"/>
      <c r="W159" s="82"/>
      <c r="X159" s="76"/>
      <c r="Y159" s="77"/>
      <c r="Z159" s="77"/>
      <c r="AA159" s="77"/>
      <c r="AB159" s="76"/>
      <c r="AC159" s="77"/>
      <c r="AD159" s="76"/>
      <c r="AE159" s="77"/>
      <c r="AF159" s="76"/>
      <c r="AG159" s="77"/>
      <c r="AH159" s="76"/>
      <c r="AI159" s="7"/>
      <c r="AJ159" s="27" t="str">
        <f t="shared" si="15"/>
        <v/>
      </c>
      <c r="AK159" s="3" t="s">
        <v>42</v>
      </c>
      <c r="AL159" s="3"/>
      <c r="AM159" s="3" t="s">
        <v>10</v>
      </c>
      <c r="AN159" s="18" t="s">
        <v>64</v>
      </c>
      <c r="AO159" s="3">
        <v>18</v>
      </c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7"/>
      <c r="BA159" s="37"/>
      <c r="BB159" s="37"/>
      <c r="BC159" s="37"/>
      <c r="BD159" s="42"/>
      <c r="BE159" s="41"/>
      <c r="BF159" s="41"/>
      <c r="BG159" s="41"/>
      <c r="BH159" s="41"/>
      <c r="BI159" s="41"/>
      <c r="BJ159" s="41"/>
      <c r="BK159" s="41"/>
      <c r="BL159" s="41"/>
      <c r="BM159" s="41"/>
      <c r="BN159" s="41"/>
    </row>
    <row r="160" spans="1:66" s="5" customFormat="1" x14ac:dyDescent="0.25">
      <c r="A160" s="7"/>
      <c r="B160" s="5" t="str">
        <f t="array" ref="B160">IFERROR(INDEX(DemandSupply,MATCH(INDEX($R$1:R160,SMALL(ROW($R$1:R160)+(10000*($R$1:R160="")),COUNTA($R$1:R160))),Sectors,0)),"")</f>
        <v>Demand</v>
      </c>
      <c r="M160" s="7"/>
      <c r="N160" s="76"/>
      <c r="O160" s="77"/>
      <c r="P160" s="77"/>
      <c r="Q160" s="82"/>
      <c r="R160" s="77"/>
      <c r="S160" s="76"/>
      <c r="T160" s="79"/>
      <c r="U160" s="82"/>
      <c r="V160" s="77"/>
      <c r="W160" s="82"/>
      <c r="X160" s="76"/>
      <c r="Y160" s="77"/>
      <c r="Z160" s="77"/>
      <c r="AA160" s="77"/>
      <c r="AB160" s="76"/>
      <c r="AC160" s="77"/>
      <c r="AD160" s="76"/>
      <c r="AE160" s="77"/>
      <c r="AF160" s="76"/>
      <c r="AG160" s="77"/>
      <c r="AH160" s="76"/>
      <c r="AI160" s="7"/>
      <c r="AJ160" s="27" t="str">
        <f t="shared" si="15"/>
        <v/>
      </c>
      <c r="AK160" s="3" t="s">
        <v>67</v>
      </c>
      <c r="AL160" s="3"/>
      <c r="AM160" s="3" t="s">
        <v>118</v>
      </c>
      <c r="AN160" s="18" t="s">
        <v>64</v>
      </c>
      <c r="AO160" s="3">
        <v>0.25</v>
      </c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7"/>
      <c r="BA160" s="37"/>
      <c r="BB160" s="37"/>
      <c r="BC160" s="37"/>
      <c r="BD160" s="42"/>
      <c r="BE160" s="41"/>
      <c r="BF160" s="41"/>
      <c r="BG160" s="41"/>
      <c r="BH160" s="41"/>
      <c r="BI160" s="41"/>
      <c r="BJ160" s="41"/>
      <c r="BK160" s="41"/>
      <c r="BL160" s="41"/>
      <c r="BM160" s="41"/>
      <c r="BN160" s="41"/>
    </row>
    <row r="161" spans="1:66" s="5" customFormat="1" x14ac:dyDescent="0.25">
      <c r="A161" s="7"/>
      <c r="B161" s="5" t="str">
        <f t="array" ref="B161">IFERROR(INDEX(DemandSupply,MATCH(INDEX($R$1:R161,SMALL(ROW($R$1:R161)+(10000*($R$1:R161="")),COUNTA($R$1:R161))),Sectors,0)),"")</f>
        <v>Demand</v>
      </c>
      <c r="M161" s="7"/>
      <c r="N161" s="76"/>
      <c r="O161" s="77"/>
      <c r="P161" s="77"/>
      <c r="Q161" s="82"/>
      <c r="R161" s="77"/>
      <c r="S161" s="76"/>
      <c r="T161" s="79"/>
      <c r="U161" s="82"/>
      <c r="V161" s="77"/>
      <c r="W161" s="82"/>
      <c r="X161" s="76"/>
      <c r="Y161" s="77"/>
      <c r="Z161" s="77"/>
      <c r="AA161" s="77"/>
      <c r="AB161" s="76"/>
      <c r="AC161" s="77"/>
      <c r="AD161" s="76"/>
      <c r="AE161" s="77"/>
      <c r="AF161" s="76"/>
      <c r="AG161" s="77"/>
      <c r="AH161" s="76"/>
      <c r="AI161" s="7"/>
      <c r="AJ161" s="27" t="str">
        <f t="shared" si="15"/>
        <v/>
      </c>
      <c r="AK161" s="3" t="s">
        <v>38</v>
      </c>
      <c r="AL161" s="3"/>
      <c r="AM161" s="3" t="s">
        <v>17</v>
      </c>
      <c r="AN161" s="18" t="s">
        <v>64</v>
      </c>
      <c r="AO161" s="23">
        <f>AO199/2</f>
        <v>1782.5</v>
      </c>
      <c r="AP161" s="23">
        <f>AO161</f>
        <v>1782.5</v>
      </c>
      <c r="AQ161" s="23">
        <f t="shared" ref="AQ161:AY161" si="18">AP161</f>
        <v>1782.5</v>
      </c>
      <c r="AR161" s="23">
        <f t="shared" si="18"/>
        <v>1782.5</v>
      </c>
      <c r="AS161" s="23">
        <f t="shared" si="18"/>
        <v>1782.5</v>
      </c>
      <c r="AT161" s="23">
        <f t="shared" si="18"/>
        <v>1782.5</v>
      </c>
      <c r="AU161" s="23">
        <f t="shared" si="18"/>
        <v>1782.5</v>
      </c>
      <c r="AV161" s="23">
        <f t="shared" si="18"/>
        <v>1782.5</v>
      </c>
      <c r="AW161" s="23">
        <f t="shared" si="18"/>
        <v>1782.5</v>
      </c>
      <c r="AX161" s="23">
        <f t="shared" si="18"/>
        <v>1782.5</v>
      </c>
      <c r="AY161" s="23">
        <f t="shared" si="18"/>
        <v>1782.5</v>
      </c>
      <c r="AZ161" s="7"/>
      <c r="BA161" s="37"/>
      <c r="BB161" s="37"/>
      <c r="BC161" s="37"/>
      <c r="BD161" s="42"/>
      <c r="BE161" s="41"/>
      <c r="BF161" s="41"/>
      <c r="BG161" s="41"/>
      <c r="BH161" s="41"/>
      <c r="BI161" s="41"/>
      <c r="BJ161" s="41"/>
      <c r="BK161" s="41"/>
      <c r="BL161" s="41"/>
      <c r="BM161" s="41"/>
      <c r="BN161" s="41"/>
    </row>
    <row r="162" spans="1:66" s="5" customFormat="1" x14ac:dyDescent="0.25">
      <c r="A162" s="7"/>
      <c r="B162" s="5" t="str">
        <f t="array" ref="B162">IFERROR(INDEX(DemandSupply,MATCH(INDEX($R$1:R162,SMALL(ROW($R$1:R162)+(10000*($R$1:R162="")),COUNTA($R$1:R162))),Sectors,0)),"")</f>
        <v>Demand</v>
      </c>
      <c r="M162" s="7"/>
      <c r="N162" s="76"/>
      <c r="O162" s="77"/>
      <c r="P162" s="77"/>
      <c r="Q162" s="82"/>
      <c r="R162" s="77"/>
      <c r="S162" s="76"/>
      <c r="T162" s="79"/>
      <c r="U162" s="82"/>
      <c r="V162" s="77"/>
      <c r="W162" s="82"/>
      <c r="X162" s="76"/>
      <c r="Y162" s="77"/>
      <c r="Z162" s="77"/>
      <c r="AA162" s="77"/>
      <c r="AB162" s="76"/>
      <c r="AC162" s="77"/>
      <c r="AD162" s="76"/>
      <c r="AE162" s="77"/>
      <c r="AF162" s="76"/>
      <c r="AG162" s="77"/>
      <c r="AH162" s="76"/>
      <c r="AI162" s="7"/>
      <c r="AJ162" s="27" t="str">
        <f t="shared" si="15"/>
        <v/>
      </c>
      <c r="AK162" s="3" t="s">
        <v>44</v>
      </c>
      <c r="AL162" s="3"/>
      <c r="AM162" s="3" t="s">
        <v>17</v>
      </c>
      <c r="AN162" s="18" t="s">
        <v>64</v>
      </c>
      <c r="AO162" s="3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7"/>
      <c r="BA162" s="37"/>
      <c r="BB162" s="37"/>
      <c r="BC162" s="37"/>
      <c r="BD162" s="42"/>
      <c r="BE162" s="41"/>
      <c r="BF162" s="41"/>
      <c r="BG162" s="41"/>
      <c r="BH162" s="41"/>
      <c r="BI162" s="41"/>
      <c r="BJ162" s="41"/>
      <c r="BK162" s="41"/>
      <c r="BL162" s="41"/>
      <c r="BM162" s="41"/>
      <c r="BN162" s="41"/>
    </row>
    <row r="163" spans="1:66" s="5" customFormat="1" x14ac:dyDescent="0.25">
      <c r="A163" s="7"/>
      <c r="B163" s="5" t="str">
        <f t="array" ref="B163">IFERROR(INDEX(DemandSupply,MATCH(INDEX($R$1:R163,SMALL(ROW($R$1:R163)+(10000*($R$1:R163="")),COUNTA($R$1:R163))),Sectors,0)),"")</f>
        <v>Demand</v>
      </c>
      <c r="M163" s="7"/>
      <c r="N163" s="76"/>
      <c r="O163" s="77"/>
      <c r="P163" s="77"/>
      <c r="Q163" s="82"/>
      <c r="R163" s="77"/>
      <c r="S163" s="76"/>
      <c r="T163" s="79"/>
      <c r="U163" s="82"/>
      <c r="V163" s="77"/>
      <c r="W163" s="82"/>
      <c r="X163" s="76"/>
      <c r="Y163" s="77"/>
      <c r="Z163" s="77"/>
      <c r="AA163" s="77"/>
      <c r="AB163" s="76"/>
      <c r="AC163" s="77"/>
      <c r="AD163" s="76"/>
      <c r="AE163" s="77"/>
      <c r="AF163" s="76"/>
      <c r="AG163" s="77"/>
      <c r="AH163" s="76"/>
      <c r="AI163" s="7"/>
      <c r="AJ163" s="27" t="str">
        <f t="shared" si="15"/>
        <v/>
      </c>
      <c r="AK163" s="3" t="s">
        <v>51</v>
      </c>
      <c r="AL163" s="3"/>
      <c r="AM163" s="3" t="s">
        <v>17</v>
      </c>
      <c r="AN163" s="18" t="s">
        <v>64</v>
      </c>
      <c r="AO163" s="3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7"/>
      <c r="BA163" s="37"/>
      <c r="BB163" s="37"/>
      <c r="BC163" s="37"/>
      <c r="BD163" s="42"/>
      <c r="BE163" s="41"/>
      <c r="BF163" s="41"/>
      <c r="BG163" s="41"/>
      <c r="BH163" s="41"/>
      <c r="BI163" s="41"/>
      <c r="BJ163" s="41"/>
      <c r="BK163" s="41"/>
      <c r="BL163" s="41"/>
      <c r="BM163" s="41"/>
      <c r="BN163" s="41"/>
    </row>
    <row r="164" spans="1:66" s="5" customFormat="1" x14ac:dyDescent="0.25">
      <c r="A164" s="7"/>
      <c r="B164" s="5" t="str">
        <f t="array" ref="B164">IFERROR(INDEX(DemandSupply,MATCH(INDEX($R$1:R164,SMALL(ROW($R$1:R164)+(10000*($R$1:R164="")),COUNTA($R$1:R164))),Sectors,0)),"")</f>
        <v>Demand</v>
      </c>
      <c r="M164" s="7"/>
      <c r="N164" s="76"/>
      <c r="O164" s="77"/>
      <c r="P164" s="77"/>
      <c r="Q164" s="82"/>
      <c r="R164" s="77"/>
      <c r="S164" s="76"/>
      <c r="T164" s="79"/>
      <c r="U164" s="82"/>
      <c r="V164" s="77"/>
      <c r="W164" s="82"/>
      <c r="X164" s="76"/>
      <c r="Y164" s="77"/>
      <c r="Z164" s="77"/>
      <c r="AA164" s="77"/>
      <c r="AB164" s="76"/>
      <c r="AC164" s="77"/>
      <c r="AD164" s="76"/>
      <c r="AE164" s="77"/>
      <c r="AF164" s="76"/>
      <c r="AG164" s="77"/>
      <c r="AH164" s="76"/>
      <c r="AI164" s="7"/>
      <c r="AJ164" s="27" t="str">
        <f t="shared" si="15"/>
        <v/>
      </c>
      <c r="AK164" s="3" t="s">
        <v>95</v>
      </c>
      <c r="AL164" s="95" t="s">
        <v>212</v>
      </c>
      <c r="AM164" s="3" t="s">
        <v>17</v>
      </c>
      <c r="AN164" s="18" t="s">
        <v>64</v>
      </c>
      <c r="AO164" s="23">
        <f>AO165*$AO$23</f>
        <v>18.581759999999999</v>
      </c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7"/>
      <c r="BA164" s="37"/>
      <c r="BB164" s="37"/>
      <c r="BC164" s="37"/>
      <c r="BD164" s="42"/>
      <c r="BE164" s="41"/>
      <c r="BF164" s="41"/>
      <c r="BG164" s="41"/>
      <c r="BH164" s="41"/>
      <c r="BI164" s="41"/>
      <c r="BJ164" s="41"/>
      <c r="BK164" s="41"/>
      <c r="BL164" s="41"/>
      <c r="BM164" s="41"/>
      <c r="BN164" s="41"/>
    </row>
    <row r="165" spans="1:66" s="5" customFormat="1" x14ac:dyDescent="0.25">
      <c r="A165" s="7"/>
      <c r="B165" s="5" t="str">
        <f t="array" ref="B165">IFERROR(INDEX(DemandSupply,MATCH(INDEX($R$1:R165,SMALL(ROW($R$1:R165)+(10000*($R$1:R165="")),COUNTA($R$1:R165))),Sectors,0)),"")</f>
        <v>Demand</v>
      </c>
      <c r="M165" s="7"/>
      <c r="N165" s="76"/>
      <c r="O165" s="77"/>
      <c r="P165" s="77"/>
      <c r="Q165" s="82"/>
      <c r="R165" s="77"/>
      <c r="S165" s="76"/>
      <c r="T165" s="79"/>
      <c r="U165" s="82"/>
      <c r="V165" s="77"/>
      <c r="W165" s="82"/>
      <c r="X165" s="76"/>
      <c r="Y165" s="77"/>
      <c r="Z165" s="77"/>
      <c r="AA165" s="77"/>
      <c r="AB165" s="76"/>
      <c r="AC165" s="77"/>
      <c r="AD165" s="76"/>
      <c r="AE165" s="77"/>
      <c r="AF165" s="76"/>
      <c r="AG165" s="77"/>
      <c r="AH165" s="76"/>
      <c r="AI165" s="7"/>
      <c r="AJ165" s="27" t="str">
        <f t="shared" si="15"/>
        <v/>
      </c>
      <c r="AK165" s="95" t="s">
        <v>94</v>
      </c>
      <c r="AL165" s="95" t="s">
        <v>212</v>
      </c>
      <c r="AM165" s="3" t="s">
        <v>57</v>
      </c>
      <c r="AN165" s="18" t="s">
        <v>64</v>
      </c>
      <c r="AO165" s="3">
        <v>1.613</v>
      </c>
      <c r="AP165" s="22">
        <f>AO165</f>
        <v>1.613</v>
      </c>
      <c r="AQ165" s="22">
        <f t="shared" ref="AQ165:AY165" si="19">AP165</f>
        <v>1.613</v>
      </c>
      <c r="AR165" s="22">
        <f t="shared" si="19"/>
        <v>1.613</v>
      </c>
      <c r="AS165" s="22">
        <f t="shared" si="19"/>
        <v>1.613</v>
      </c>
      <c r="AT165" s="22">
        <f t="shared" si="19"/>
        <v>1.613</v>
      </c>
      <c r="AU165" s="22">
        <f t="shared" si="19"/>
        <v>1.613</v>
      </c>
      <c r="AV165" s="22">
        <f t="shared" si="19"/>
        <v>1.613</v>
      </c>
      <c r="AW165" s="22">
        <f t="shared" si="19"/>
        <v>1.613</v>
      </c>
      <c r="AX165" s="22">
        <f t="shared" si="19"/>
        <v>1.613</v>
      </c>
      <c r="AY165" s="22">
        <f t="shared" si="19"/>
        <v>1.613</v>
      </c>
      <c r="AZ165" s="7"/>
      <c r="BA165" s="37"/>
      <c r="BB165" s="37"/>
      <c r="BC165" s="37"/>
      <c r="BD165" s="42"/>
      <c r="BE165" s="41"/>
      <c r="BF165" s="41"/>
      <c r="BG165" s="41"/>
      <c r="BH165" s="41"/>
      <c r="BI165" s="41"/>
      <c r="BJ165" s="41"/>
      <c r="BK165" s="41"/>
      <c r="BL165" s="41"/>
      <c r="BM165" s="41"/>
      <c r="BN165" s="41"/>
    </row>
    <row r="166" spans="1:66" s="5" customFormat="1" x14ac:dyDescent="0.25">
      <c r="A166" s="7"/>
      <c r="B166" s="5" t="str">
        <f t="array" ref="B166">IFERROR(INDEX(DemandSupply,MATCH(INDEX($R$1:R166,SMALL(ROW($R$1:R166)+(10000*($R$1:R166="")),COUNTA($R$1:R166))),Sectors,0)),"")</f>
        <v>Demand</v>
      </c>
      <c r="M166" s="7"/>
      <c r="N166" s="76"/>
      <c r="O166" s="77"/>
      <c r="P166" s="77"/>
      <c r="Q166" s="82"/>
      <c r="R166" s="77"/>
      <c r="S166" s="76"/>
      <c r="T166" s="79"/>
      <c r="U166" s="82"/>
      <c r="V166" s="77"/>
      <c r="W166" s="82"/>
      <c r="X166" s="76"/>
      <c r="Y166" s="77"/>
      <c r="Z166" s="77"/>
      <c r="AA166" s="77"/>
      <c r="AB166" s="76"/>
      <c r="AC166" s="77"/>
      <c r="AD166" s="76"/>
      <c r="AE166" s="77"/>
      <c r="AF166" s="76"/>
      <c r="AG166" s="77"/>
      <c r="AH166" s="76"/>
      <c r="AI166" s="7"/>
      <c r="AJ166" s="27" t="str">
        <f t="shared" si="15"/>
        <v/>
      </c>
      <c r="AK166" s="3" t="s">
        <v>91</v>
      </c>
      <c r="AL166" s="3"/>
      <c r="AM166" s="3" t="s">
        <v>118</v>
      </c>
      <c r="AN166" s="18" t="s">
        <v>64</v>
      </c>
      <c r="AO166" s="22">
        <v>0.94</v>
      </c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7"/>
      <c r="BA166" s="37"/>
      <c r="BB166" s="37"/>
      <c r="BC166" s="37"/>
      <c r="BD166" s="42"/>
      <c r="BE166" s="41"/>
      <c r="BF166" s="41"/>
      <c r="BG166" s="41"/>
      <c r="BH166" s="41"/>
      <c r="BI166" s="41"/>
      <c r="BJ166" s="41"/>
      <c r="BK166" s="41"/>
      <c r="BL166" s="41"/>
      <c r="BM166" s="41"/>
      <c r="BN166" s="41"/>
    </row>
    <row r="167" spans="1:66" s="5" customFormat="1" x14ac:dyDescent="0.25">
      <c r="A167" s="7"/>
      <c r="B167" s="5" t="str">
        <f t="array" ref="B167">IFERROR(INDEX(DemandSupply,MATCH(INDEX($R$1:R167,SMALL(ROW($R$1:R167)+(10000*($R$1:R167="")),COUNTA($R$1:R167))),Sectors,0)),"")</f>
        <v>Demand</v>
      </c>
      <c r="M167" s="7"/>
      <c r="N167" s="76"/>
      <c r="O167" s="77"/>
      <c r="P167" s="77"/>
      <c r="Q167" s="82"/>
      <c r="R167" s="77"/>
      <c r="S167" s="76"/>
      <c r="T167" s="79"/>
      <c r="U167" s="82"/>
      <c r="V167" s="77"/>
      <c r="W167" s="82"/>
      <c r="X167" s="76"/>
      <c r="Y167" s="77"/>
      <c r="Z167" s="77"/>
      <c r="AA167" s="77"/>
      <c r="AB167" s="76"/>
      <c r="AC167" s="77"/>
      <c r="AD167" s="76"/>
      <c r="AE167" s="77"/>
      <c r="AF167" s="76"/>
      <c r="AG167" s="77"/>
      <c r="AH167" s="76"/>
      <c r="AI167" s="7"/>
      <c r="AJ167" s="27" t="str">
        <f t="shared" si="15"/>
        <v/>
      </c>
      <c r="AK167" s="3" t="s">
        <v>63</v>
      </c>
      <c r="AL167" s="3"/>
      <c r="AM167" s="3"/>
      <c r="AN167" s="18" t="s">
        <v>66</v>
      </c>
      <c r="AO167" s="3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7"/>
      <c r="BA167" s="37"/>
      <c r="BB167" s="37"/>
      <c r="BC167" s="37"/>
      <c r="BD167" s="42"/>
      <c r="BE167" s="41"/>
      <c r="BF167" s="41"/>
      <c r="BG167" s="41"/>
      <c r="BH167" s="41"/>
      <c r="BI167" s="41"/>
      <c r="BJ167" s="41"/>
      <c r="BK167" s="41"/>
      <c r="BL167" s="41"/>
      <c r="BM167" s="41"/>
      <c r="BN167" s="41"/>
    </row>
    <row r="168" spans="1:66" s="5" customFormat="1" x14ac:dyDescent="0.25">
      <c r="A168" s="7"/>
      <c r="B168" s="5" t="str">
        <f t="array" ref="B168">IFERROR(INDEX(DemandSupply,MATCH(INDEX($R$1:R168,SMALL(ROW($R$1:R168)+(10000*($R$1:R168="")),COUNTA($R$1:R168))),Sectors,0)),"")</f>
        <v>Demand</v>
      </c>
      <c r="M168" s="7"/>
      <c r="N168" s="76"/>
      <c r="O168" s="77"/>
      <c r="P168" s="77"/>
      <c r="Q168" s="82"/>
      <c r="R168" s="77"/>
      <c r="S168" s="76"/>
      <c r="T168" s="79"/>
      <c r="U168" s="82"/>
      <c r="V168" s="77"/>
      <c r="W168" s="82"/>
      <c r="X168" s="76"/>
      <c r="Y168" s="77"/>
      <c r="Z168" s="77"/>
      <c r="AA168" s="77"/>
      <c r="AB168" s="76"/>
      <c r="AC168" s="77"/>
      <c r="AD168" s="76"/>
      <c r="AE168" s="77"/>
      <c r="AF168" s="76"/>
      <c r="AG168" s="77"/>
      <c r="AH168" s="76"/>
      <c r="AI168" s="7"/>
      <c r="AJ168" s="27" t="str">
        <f t="shared" si="15"/>
        <v/>
      </c>
      <c r="AK168" s="3" t="s">
        <v>41</v>
      </c>
      <c r="AL168" s="3"/>
      <c r="AM168" s="3" t="s">
        <v>43</v>
      </c>
      <c r="AN168" s="18" t="s">
        <v>66</v>
      </c>
      <c r="AO168" s="3">
        <v>2000</v>
      </c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7"/>
      <c r="BA168" s="37"/>
      <c r="BB168" s="37"/>
      <c r="BC168" s="37"/>
      <c r="BD168" s="42"/>
      <c r="BE168" s="41"/>
      <c r="BF168" s="41"/>
      <c r="BG168" s="41"/>
      <c r="BH168" s="41"/>
      <c r="BI168" s="41"/>
      <c r="BJ168" s="41"/>
      <c r="BK168" s="41"/>
      <c r="BL168" s="41"/>
      <c r="BM168" s="41"/>
      <c r="BN168" s="41"/>
    </row>
    <row r="169" spans="1:66" s="5" customFormat="1" x14ac:dyDescent="0.25">
      <c r="A169" s="7"/>
      <c r="B169" s="5" t="str">
        <f t="array" ref="B169">IFERROR(INDEX(DemandSupply,MATCH(INDEX($R$1:R169,SMALL(ROW($R$1:R169)+(10000*($R$1:R169="")),COUNTA($R$1:R169))),Sectors,0)),"")</f>
        <v>Demand</v>
      </c>
      <c r="M169" s="7"/>
      <c r="N169" s="76"/>
      <c r="O169" s="77"/>
      <c r="P169" s="77"/>
      <c r="Q169" s="82"/>
      <c r="R169" s="77"/>
      <c r="S169" s="76"/>
      <c r="T169" s="79"/>
      <c r="U169" s="82"/>
      <c r="V169" s="77"/>
      <c r="W169" s="82"/>
      <c r="X169" s="76"/>
      <c r="Y169" s="77"/>
      <c r="Z169" s="77"/>
      <c r="AA169" s="77"/>
      <c r="AB169" s="76"/>
      <c r="AC169" s="77"/>
      <c r="AD169" s="76"/>
      <c r="AE169" s="77"/>
      <c r="AF169" s="76"/>
      <c r="AG169" s="77"/>
      <c r="AH169" s="76"/>
      <c r="AI169" s="7"/>
      <c r="AJ169" s="27" t="str">
        <f t="shared" si="15"/>
        <v/>
      </c>
      <c r="AK169" s="3" t="s">
        <v>40</v>
      </c>
      <c r="AL169" s="3"/>
      <c r="AM169" s="3" t="s">
        <v>43</v>
      </c>
      <c r="AN169" s="18" t="s">
        <v>66</v>
      </c>
      <c r="AO169" s="3">
        <v>2100</v>
      </c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7"/>
      <c r="BA169" s="37"/>
      <c r="BB169" s="37"/>
      <c r="BC169" s="37"/>
      <c r="BD169" s="42"/>
      <c r="BE169" s="41"/>
      <c r="BF169" s="41"/>
      <c r="BG169" s="41"/>
      <c r="BH169" s="41"/>
      <c r="BI169" s="41"/>
      <c r="BJ169" s="41"/>
      <c r="BK169" s="41"/>
      <c r="BL169" s="41"/>
      <c r="BM169" s="41"/>
      <c r="BN169" s="41"/>
    </row>
    <row r="170" spans="1:66" s="5" customFormat="1" x14ac:dyDescent="0.25">
      <c r="A170" s="7"/>
      <c r="B170" s="5" t="str">
        <f t="array" ref="B170">IFERROR(INDEX(DemandSupply,MATCH(INDEX($R$1:R170,SMALL(ROW($R$1:R170)+(10000*($R$1:R170="")),COUNTA($R$1:R170))),Sectors,0)),"")</f>
        <v>Demand</v>
      </c>
      <c r="M170" s="7"/>
      <c r="N170" s="76"/>
      <c r="O170" s="77"/>
      <c r="P170" s="77"/>
      <c r="Q170" s="82"/>
      <c r="R170" s="77"/>
      <c r="S170" s="76"/>
      <c r="T170" s="79"/>
      <c r="U170" s="82"/>
      <c r="V170" s="77"/>
      <c r="W170" s="82"/>
      <c r="X170" s="76"/>
      <c r="Y170" s="77"/>
      <c r="Z170" s="77"/>
      <c r="AA170" s="77"/>
      <c r="AB170" s="76"/>
      <c r="AC170" s="77"/>
      <c r="AD170" s="76"/>
      <c r="AE170" s="77"/>
      <c r="AF170" s="76"/>
      <c r="AG170" s="77"/>
      <c r="AH170" s="76"/>
      <c r="AI170" s="7"/>
      <c r="AJ170" s="27" t="str">
        <f t="shared" si="15"/>
        <v/>
      </c>
      <c r="AK170" s="3" t="s">
        <v>42</v>
      </c>
      <c r="AL170" s="3"/>
      <c r="AM170" s="3" t="s">
        <v>10</v>
      </c>
      <c r="AN170" s="18" t="s">
        <v>66</v>
      </c>
      <c r="AO170" s="3">
        <v>12</v>
      </c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7"/>
      <c r="BA170" s="37"/>
      <c r="BB170" s="37"/>
      <c r="BC170" s="37"/>
      <c r="BD170" s="42"/>
      <c r="BE170" s="41"/>
      <c r="BF170" s="41"/>
      <c r="BG170" s="41"/>
      <c r="BH170" s="41"/>
      <c r="BI170" s="41"/>
      <c r="BJ170" s="41"/>
      <c r="BK170" s="41"/>
      <c r="BL170" s="41"/>
      <c r="BM170" s="41"/>
      <c r="BN170" s="41"/>
    </row>
    <row r="171" spans="1:66" s="5" customFormat="1" x14ac:dyDescent="0.25">
      <c r="A171" s="7"/>
      <c r="B171" s="5" t="str">
        <f t="array" ref="B171">IFERROR(INDEX(DemandSupply,MATCH(INDEX($R$1:R171,SMALL(ROW($R$1:R171)+(10000*($R$1:R171="")),COUNTA($R$1:R171))),Sectors,0)),"")</f>
        <v>Demand</v>
      </c>
      <c r="M171" s="7"/>
      <c r="N171" s="76"/>
      <c r="O171" s="77"/>
      <c r="P171" s="77"/>
      <c r="Q171" s="82"/>
      <c r="R171" s="77"/>
      <c r="S171" s="76"/>
      <c r="T171" s="79"/>
      <c r="U171" s="82"/>
      <c r="V171" s="77"/>
      <c r="W171" s="82"/>
      <c r="X171" s="76"/>
      <c r="Y171" s="77"/>
      <c r="Z171" s="77"/>
      <c r="AA171" s="77"/>
      <c r="AB171" s="76"/>
      <c r="AC171" s="77"/>
      <c r="AD171" s="76"/>
      <c r="AE171" s="77"/>
      <c r="AF171" s="76"/>
      <c r="AG171" s="77"/>
      <c r="AH171" s="76"/>
      <c r="AI171" s="7"/>
      <c r="AJ171" s="27" t="str">
        <f t="shared" si="15"/>
        <v/>
      </c>
      <c r="AK171" s="3" t="s">
        <v>67</v>
      </c>
      <c r="AL171" s="3"/>
      <c r="AM171" s="3" t="s">
        <v>118</v>
      </c>
      <c r="AN171" s="18" t="s">
        <v>66</v>
      </c>
      <c r="AO171" s="3">
        <v>0.25</v>
      </c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7"/>
      <c r="BA171" s="37"/>
      <c r="BB171" s="37"/>
      <c r="BC171" s="37"/>
      <c r="BD171" s="42"/>
      <c r="BE171" s="41"/>
      <c r="BF171" s="41"/>
      <c r="BG171" s="41"/>
      <c r="BH171" s="41"/>
      <c r="BI171" s="41"/>
      <c r="BJ171" s="41"/>
      <c r="BK171" s="41"/>
      <c r="BL171" s="41"/>
      <c r="BM171" s="41"/>
      <c r="BN171" s="41"/>
    </row>
    <row r="172" spans="1:66" s="5" customFormat="1" x14ac:dyDescent="0.25">
      <c r="A172" s="7"/>
      <c r="B172" s="5" t="str">
        <f t="array" ref="B172">IFERROR(INDEX(DemandSupply,MATCH(INDEX($R$1:R172,SMALL(ROW($R$1:R172)+(10000*($R$1:R172="")),COUNTA($R$1:R172))),Sectors,0)),"")</f>
        <v>Demand</v>
      </c>
      <c r="M172" s="7"/>
      <c r="N172" s="76"/>
      <c r="O172" s="77"/>
      <c r="P172" s="77"/>
      <c r="Q172" s="82"/>
      <c r="R172" s="77"/>
      <c r="S172" s="76"/>
      <c r="T172" s="79"/>
      <c r="U172" s="82"/>
      <c r="V172" s="77"/>
      <c r="W172" s="82"/>
      <c r="X172" s="76"/>
      <c r="Y172" s="77"/>
      <c r="Z172" s="77"/>
      <c r="AA172" s="77"/>
      <c r="AB172" s="76"/>
      <c r="AC172" s="77"/>
      <c r="AD172" s="76"/>
      <c r="AE172" s="77"/>
      <c r="AF172" s="76"/>
      <c r="AG172" s="77"/>
      <c r="AH172" s="76"/>
      <c r="AI172" s="7"/>
      <c r="AJ172" s="27" t="str">
        <f t="shared" si="15"/>
        <v/>
      </c>
      <c r="AK172" s="3" t="s">
        <v>38</v>
      </c>
      <c r="AL172" s="3"/>
      <c r="AM172" s="3" t="s">
        <v>17</v>
      </c>
      <c r="AN172" s="18" t="s">
        <v>66</v>
      </c>
      <c r="AO172" s="23">
        <v>4886</v>
      </c>
      <c r="AP172" s="23">
        <f>AO172*0.95</f>
        <v>4641.7</v>
      </c>
      <c r="AQ172" s="23">
        <f t="shared" ref="AQ172:AY172" si="20">AP172*0.95</f>
        <v>4409.6149999999998</v>
      </c>
      <c r="AR172" s="23">
        <f t="shared" si="20"/>
        <v>4189.1342499999992</v>
      </c>
      <c r="AS172" s="23">
        <f t="shared" si="20"/>
        <v>3979.6775374999988</v>
      </c>
      <c r="AT172" s="23">
        <f t="shared" si="20"/>
        <v>3780.6936606249988</v>
      </c>
      <c r="AU172" s="23">
        <f t="shared" si="20"/>
        <v>3591.6589775937487</v>
      </c>
      <c r="AV172" s="23">
        <f t="shared" si="20"/>
        <v>3412.0760287140611</v>
      </c>
      <c r="AW172" s="23">
        <f t="shared" si="20"/>
        <v>3241.4722272783579</v>
      </c>
      <c r="AX172" s="23">
        <f t="shared" si="20"/>
        <v>3079.3986159144397</v>
      </c>
      <c r="AY172" s="23">
        <f t="shared" si="20"/>
        <v>2925.4286851187176</v>
      </c>
      <c r="AZ172" s="7"/>
      <c r="BA172" s="37"/>
      <c r="BB172" s="37"/>
      <c r="BC172" s="37"/>
      <c r="BD172" s="42"/>
      <c r="BE172" s="41"/>
      <c r="BF172" s="41"/>
      <c r="BG172" s="41"/>
      <c r="BH172" s="41"/>
      <c r="BI172" s="41"/>
      <c r="BJ172" s="41"/>
      <c r="BK172" s="41"/>
      <c r="BL172" s="41"/>
      <c r="BM172" s="41"/>
      <c r="BN172" s="41"/>
    </row>
    <row r="173" spans="1:66" s="5" customFormat="1" x14ac:dyDescent="0.25">
      <c r="A173" s="7"/>
      <c r="B173" s="5" t="str">
        <f t="array" ref="B173">IFERROR(INDEX(DemandSupply,MATCH(INDEX($R$1:R173,SMALL(ROW($R$1:R173)+(10000*($R$1:R173="")),COUNTA($R$1:R173))),Sectors,0)),"")</f>
        <v>Demand</v>
      </c>
      <c r="M173" s="7"/>
      <c r="N173" s="76"/>
      <c r="O173" s="77"/>
      <c r="P173" s="77"/>
      <c r="Q173" s="82"/>
      <c r="R173" s="77"/>
      <c r="S173" s="76"/>
      <c r="T173" s="79"/>
      <c r="U173" s="82"/>
      <c r="V173" s="77"/>
      <c r="W173" s="82"/>
      <c r="X173" s="76"/>
      <c r="Y173" s="77"/>
      <c r="Z173" s="77"/>
      <c r="AA173" s="77"/>
      <c r="AB173" s="76"/>
      <c r="AC173" s="77"/>
      <c r="AD173" s="76"/>
      <c r="AE173" s="77"/>
      <c r="AF173" s="76"/>
      <c r="AG173" s="77"/>
      <c r="AH173" s="76"/>
      <c r="AI173" s="7"/>
      <c r="AJ173" s="27" t="str">
        <f t="shared" si="15"/>
        <v/>
      </c>
      <c r="AK173" s="3" t="s">
        <v>44</v>
      </c>
      <c r="AL173" s="3"/>
      <c r="AM173" s="3" t="s">
        <v>17</v>
      </c>
      <c r="AN173" s="18" t="s">
        <v>66</v>
      </c>
      <c r="AO173" s="23"/>
      <c r="AP173" s="162"/>
      <c r="AQ173" s="162"/>
      <c r="AR173" s="162"/>
      <c r="AS173" s="162"/>
      <c r="AT173" s="162"/>
      <c r="AU173" s="162"/>
      <c r="AV173" s="162"/>
      <c r="AW173" s="162"/>
      <c r="AX173" s="162"/>
      <c r="AY173" s="162"/>
      <c r="AZ173" s="7"/>
      <c r="BA173" s="37"/>
      <c r="BB173" s="37"/>
      <c r="BC173" s="37"/>
      <c r="BD173" s="42"/>
      <c r="BE173" s="41"/>
      <c r="BF173" s="41"/>
      <c r="BG173" s="41"/>
      <c r="BH173" s="41"/>
      <c r="BI173" s="41"/>
      <c r="BJ173" s="41"/>
      <c r="BK173" s="41"/>
      <c r="BL173" s="41"/>
      <c r="BM173" s="41"/>
      <c r="BN173" s="41"/>
    </row>
    <row r="174" spans="1:66" s="5" customFormat="1" x14ac:dyDescent="0.25">
      <c r="A174" s="7"/>
      <c r="B174" s="5" t="str">
        <f t="array" ref="B174">IFERROR(INDEX(DemandSupply,MATCH(INDEX($R$1:R174,SMALL(ROW($R$1:R174)+(10000*($R$1:R174="")),COUNTA($R$1:R174))),Sectors,0)),"")</f>
        <v>Demand</v>
      </c>
      <c r="M174" s="7"/>
      <c r="N174" s="76"/>
      <c r="O174" s="77"/>
      <c r="P174" s="77"/>
      <c r="Q174" s="82"/>
      <c r="R174" s="77"/>
      <c r="S174" s="76"/>
      <c r="T174" s="79"/>
      <c r="U174" s="82"/>
      <c r="V174" s="77"/>
      <c r="W174" s="82"/>
      <c r="X174" s="76"/>
      <c r="Y174" s="77"/>
      <c r="Z174" s="77"/>
      <c r="AA174" s="77"/>
      <c r="AB174" s="76"/>
      <c r="AC174" s="77"/>
      <c r="AD174" s="76"/>
      <c r="AE174" s="77"/>
      <c r="AF174" s="76"/>
      <c r="AG174" s="77"/>
      <c r="AH174" s="76"/>
      <c r="AI174" s="7"/>
      <c r="AJ174" s="27" t="str">
        <f t="shared" si="15"/>
        <v/>
      </c>
      <c r="AK174" s="3" t="s">
        <v>51</v>
      </c>
      <c r="AL174" s="3"/>
      <c r="AM174" s="3" t="s">
        <v>17</v>
      </c>
      <c r="AN174" s="18" t="s">
        <v>66</v>
      </c>
      <c r="AO174" s="23"/>
      <c r="AP174" s="162"/>
      <c r="AQ174" s="162"/>
      <c r="AR174" s="162"/>
      <c r="AS174" s="162"/>
      <c r="AT174" s="162"/>
      <c r="AU174" s="162"/>
      <c r="AV174" s="162"/>
      <c r="AW174" s="162"/>
      <c r="AX174" s="162"/>
      <c r="AY174" s="162"/>
      <c r="AZ174" s="7"/>
      <c r="BA174" s="37"/>
      <c r="BB174" s="37"/>
      <c r="BC174" s="37"/>
      <c r="BD174" s="42"/>
      <c r="BE174" s="41"/>
      <c r="BF174" s="41"/>
      <c r="BG174" s="41"/>
      <c r="BH174" s="41"/>
      <c r="BI174" s="41"/>
      <c r="BJ174" s="41"/>
      <c r="BK174" s="41"/>
      <c r="BL174" s="41"/>
      <c r="BM174" s="41"/>
      <c r="BN174" s="41"/>
    </row>
    <row r="175" spans="1:66" s="5" customFormat="1" x14ac:dyDescent="0.25">
      <c r="A175" s="7"/>
      <c r="B175" s="5" t="str">
        <f t="array" ref="B175">IFERROR(INDEX(DemandSupply,MATCH(INDEX($R$1:R175,SMALL(ROW($R$1:R175)+(10000*($R$1:R175="")),COUNTA($R$1:R175))),Sectors,0)),"")</f>
        <v>Demand</v>
      </c>
      <c r="M175" s="7"/>
      <c r="N175" s="76"/>
      <c r="O175" s="77"/>
      <c r="P175" s="77"/>
      <c r="Q175" s="82"/>
      <c r="R175" s="77"/>
      <c r="S175" s="76"/>
      <c r="T175" s="79"/>
      <c r="U175" s="82"/>
      <c r="V175" s="77"/>
      <c r="W175" s="82"/>
      <c r="X175" s="76"/>
      <c r="Y175" s="77"/>
      <c r="Z175" s="77"/>
      <c r="AA175" s="77"/>
      <c r="AB175" s="76"/>
      <c r="AC175" s="77"/>
      <c r="AD175" s="76"/>
      <c r="AE175" s="77"/>
      <c r="AF175" s="76"/>
      <c r="AG175" s="77"/>
      <c r="AH175" s="76"/>
      <c r="AI175" s="7"/>
      <c r="AJ175" s="27" t="str">
        <f t="shared" si="15"/>
        <v/>
      </c>
      <c r="AK175" s="3" t="s">
        <v>95</v>
      </c>
      <c r="AL175" s="3" t="s">
        <v>143</v>
      </c>
      <c r="AM175" s="3" t="s">
        <v>17</v>
      </c>
      <c r="AN175" s="18" t="s">
        <v>66</v>
      </c>
      <c r="AO175" s="23">
        <f>AO179*$AO$24</f>
        <v>11.572000000000001</v>
      </c>
      <c r="AP175" s="162"/>
      <c r="AQ175" s="162"/>
      <c r="AR175" s="162"/>
      <c r="AS175" s="162"/>
      <c r="AT175" s="162"/>
      <c r="AU175" s="162"/>
      <c r="AV175" s="162"/>
      <c r="AW175" s="162"/>
      <c r="AX175" s="162"/>
      <c r="AY175" s="162"/>
      <c r="AZ175" s="7"/>
      <c r="BA175" s="37"/>
      <c r="BB175" s="37"/>
      <c r="BC175" s="37"/>
      <c r="BD175" s="42"/>
      <c r="BE175" s="41"/>
      <c r="BF175" s="41"/>
      <c r="BG175" s="41"/>
      <c r="BH175" s="41"/>
      <c r="BI175" s="41"/>
      <c r="BJ175" s="41"/>
      <c r="BK175" s="41"/>
      <c r="BL175" s="41"/>
      <c r="BM175" s="41"/>
      <c r="BN175" s="41"/>
    </row>
    <row r="176" spans="1:66" s="5" customFormat="1" x14ac:dyDescent="0.25">
      <c r="A176" s="7"/>
      <c r="B176" s="5" t="str">
        <f t="array" ref="B176">IFERROR(INDEX(DemandSupply,MATCH(INDEX($R$1:R176,SMALL(ROW($R$1:R176)+(10000*($R$1:R176="")),COUNTA($R$1:R176))),Sectors,0)),"")</f>
        <v>Demand</v>
      </c>
      <c r="M176" s="7"/>
      <c r="N176" s="76"/>
      <c r="O176" s="77"/>
      <c r="P176" s="77"/>
      <c r="Q176" s="82"/>
      <c r="R176" s="77"/>
      <c r="S176" s="76"/>
      <c r="T176" s="79"/>
      <c r="U176" s="82"/>
      <c r="V176" s="77"/>
      <c r="W176" s="82"/>
      <c r="X176" s="76"/>
      <c r="Y176" s="77"/>
      <c r="Z176" s="77"/>
      <c r="AA176" s="77"/>
      <c r="AB176" s="76"/>
      <c r="AC176" s="77"/>
      <c r="AD176" s="76"/>
      <c r="AE176" s="77"/>
      <c r="AF176" s="76"/>
      <c r="AG176" s="77"/>
      <c r="AH176" s="76"/>
      <c r="AI176" s="7"/>
      <c r="AJ176" s="27" t="str">
        <f t="shared" si="15"/>
        <v/>
      </c>
      <c r="AK176" s="3" t="s">
        <v>146</v>
      </c>
      <c r="AL176" s="3" t="s">
        <v>162</v>
      </c>
      <c r="AM176" s="3"/>
      <c r="AN176" s="18" t="s">
        <v>66</v>
      </c>
      <c r="AO176" s="23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7"/>
      <c r="BA176" s="37"/>
      <c r="BB176" s="37"/>
      <c r="BC176" s="37"/>
      <c r="BD176" s="42"/>
      <c r="BE176" s="41"/>
      <c r="BF176" s="41"/>
      <c r="BG176" s="41"/>
      <c r="BH176" s="41"/>
      <c r="BI176" s="41"/>
      <c r="BJ176" s="41"/>
      <c r="BK176" s="41"/>
      <c r="BL176" s="41"/>
      <c r="BM176" s="41"/>
      <c r="BN176" s="41"/>
    </row>
    <row r="177" spans="1:66" s="5" customFormat="1" x14ac:dyDescent="0.25">
      <c r="A177" s="7"/>
      <c r="B177" s="5" t="str">
        <f t="array" ref="B177">IFERROR(INDEX(DemandSupply,MATCH(INDEX($R$1:R177,SMALL(ROW($R$1:R177)+(10000*($R$1:R177="")),COUNTA($R$1:R177))),Sectors,0)),"")</f>
        <v>Demand</v>
      </c>
      <c r="M177" s="7"/>
      <c r="N177" s="76"/>
      <c r="O177" s="77"/>
      <c r="P177" s="77"/>
      <c r="Q177" s="82"/>
      <c r="R177" s="77"/>
      <c r="S177" s="76"/>
      <c r="T177" s="79"/>
      <c r="U177" s="82"/>
      <c r="V177" s="77"/>
      <c r="W177" s="82"/>
      <c r="X177" s="76"/>
      <c r="Y177" s="77"/>
      <c r="Z177" s="77"/>
      <c r="AA177" s="77"/>
      <c r="AB177" s="76"/>
      <c r="AC177" s="77"/>
      <c r="AD177" s="76"/>
      <c r="AE177" s="77"/>
      <c r="AF177" s="76"/>
      <c r="AG177" s="77"/>
      <c r="AH177" s="76"/>
      <c r="AI177" s="7"/>
      <c r="AJ177" s="27" t="str">
        <f t="shared" si="15"/>
        <v/>
      </c>
      <c r="AK177" s="3" t="s">
        <v>191</v>
      </c>
      <c r="AL177" s="3"/>
      <c r="AM177" s="3" t="s">
        <v>118</v>
      </c>
      <c r="AN177" s="18" t="s">
        <v>66</v>
      </c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7"/>
      <c r="BA177" s="37"/>
      <c r="BB177" s="37"/>
      <c r="BC177" s="37"/>
      <c r="BD177" s="42"/>
      <c r="BE177" s="41"/>
      <c r="BF177" s="41"/>
      <c r="BG177" s="41"/>
      <c r="BH177" s="41"/>
      <c r="BI177" s="41"/>
      <c r="BJ177" s="41"/>
      <c r="BK177" s="41"/>
      <c r="BL177" s="41"/>
      <c r="BM177" s="41"/>
      <c r="BN177" s="41"/>
    </row>
    <row r="178" spans="1:66" s="5" customFormat="1" x14ac:dyDescent="0.25">
      <c r="A178" s="7"/>
      <c r="B178" s="5" t="str">
        <f t="array" ref="B178">IFERROR(INDEX(DemandSupply,MATCH(INDEX($R$1:R178,SMALL(ROW($R$1:R178)+(10000*($R$1:R178="")),COUNTA($R$1:R178))),Sectors,0)),"")</f>
        <v>Demand</v>
      </c>
      <c r="M178" s="7"/>
      <c r="N178" s="76"/>
      <c r="O178" s="77"/>
      <c r="P178" s="77"/>
      <c r="Q178" s="82"/>
      <c r="R178" s="77"/>
      <c r="S178" s="76"/>
      <c r="T178" s="79"/>
      <c r="U178" s="82"/>
      <c r="V178" s="77"/>
      <c r="W178" s="82"/>
      <c r="X178" s="76"/>
      <c r="Y178" s="77"/>
      <c r="Z178" s="77"/>
      <c r="AA178" s="77"/>
      <c r="AB178" s="76"/>
      <c r="AC178" s="77"/>
      <c r="AD178" s="76"/>
      <c r="AE178" s="77"/>
      <c r="AF178" s="76"/>
      <c r="AG178" s="77"/>
      <c r="AH178" s="76"/>
      <c r="AI178" s="7"/>
      <c r="AJ178" s="27" t="str">
        <f t="shared" si="15"/>
        <v/>
      </c>
      <c r="AK178" s="3" t="s">
        <v>192</v>
      </c>
      <c r="AL178" s="3"/>
      <c r="AM178" s="3" t="s">
        <v>118</v>
      </c>
      <c r="AN178" s="18" t="s">
        <v>66</v>
      </c>
      <c r="AO178" s="3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7"/>
      <c r="BA178" s="37"/>
      <c r="BB178" s="37"/>
      <c r="BC178" s="37"/>
      <c r="BD178" s="42"/>
      <c r="BE178" s="41"/>
      <c r="BF178" s="41"/>
      <c r="BG178" s="41"/>
      <c r="BH178" s="41"/>
      <c r="BI178" s="41"/>
      <c r="BJ178" s="41"/>
      <c r="BK178" s="41"/>
      <c r="BL178" s="41"/>
      <c r="BM178" s="41"/>
      <c r="BN178" s="41"/>
    </row>
    <row r="179" spans="1:66" s="5" customFormat="1" x14ac:dyDescent="0.25">
      <c r="A179" s="7"/>
      <c r="B179" s="5" t="str">
        <f t="array" ref="B179">IFERROR(INDEX(DemandSupply,MATCH(INDEX($R$1:R179,SMALL(ROW($R$1:R179)+(10000*($R$1:R179="")),COUNTA($R$1:R179))),Sectors,0)),"")</f>
        <v>Demand</v>
      </c>
      <c r="M179" s="7"/>
      <c r="N179" s="76"/>
      <c r="O179" s="77"/>
      <c r="P179" s="77"/>
      <c r="Q179" s="82"/>
      <c r="R179" s="77"/>
      <c r="S179" s="76"/>
      <c r="T179" s="79"/>
      <c r="U179" s="82"/>
      <c r="V179" s="77"/>
      <c r="W179" s="82"/>
      <c r="X179" s="76"/>
      <c r="Y179" s="77"/>
      <c r="Z179" s="77"/>
      <c r="AA179" s="77"/>
      <c r="AB179" s="76"/>
      <c r="AC179" s="77"/>
      <c r="AD179" s="76"/>
      <c r="AE179" s="77"/>
      <c r="AF179" s="76"/>
      <c r="AG179" s="77"/>
      <c r="AH179" s="76"/>
      <c r="AI179" s="7"/>
      <c r="AJ179" s="27" t="str">
        <f t="shared" si="15"/>
        <v/>
      </c>
      <c r="AK179" s="3" t="s">
        <v>94</v>
      </c>
      <c r="AL179" s="3" t="s">
        <v>143</v>
      </c>
      <c r="AM179" s="3" t="s">
        <v>57</v>
      </c>
      <c r="AN179" s="18" t="s">
        <v>66</v>
      </c>
      <c r="AO179" s="3">
        <v>0.52600000000000002</v>
      </c>
      <c r="AP179" s="22">
        <f>AO179</f>
        <v>0.52600000000000002</v>
      </c>
      <c r="AQ179" s="22">
        <f t="shared" ref="AQ179:AY179" si="21">AP179</f>
        <v>0.52600000000000002</v>
      </c>
      <c r="AR179" s="22">
        <f t="shared" si="21"/>
        <v>0.52600000000000002</v>
      </c>
      <c r="AS179" s="22">
        <f t="shared" si="21"/>
        <v>0.52600000000000002</v>
      </c>
      <c r="AT179" s="22">
        <f t="shared" si="21"/>
        <v>0.52600000000000002</v>
      </c>
      <c r="AU179" s="22">
        <f t="shared" si="21"/>
        <v>0.52600000000000002</v>
      </c>
      <c r="AV179" s="22">
        <f t="shared" si="21"/>
        <v>0.52600000000000002</v>
      </c>
      <c r="AW179" s="22">
        <f t="shared" si="21"/>
        <v>0.52600000000000002</v>
      </c>
      <c r="AX179" s="22">
        <f t="shared" si="21"/>
        <v>0.52600000000000002</v>
      </c>
      <c r="AY179" s="22">
        <f t="shared" si="21"/>
        <v>0.52600000000000002</v>
      </c>
      <c r="AZ179" s="7"/>
      <c r="BA179" s="37"/>
      <c r="BB179" s="37"/>
      <c r="BC179" s="37"/>
      <c r="BD179" s="42"/>
      <c r="BE179" s="41"/>
      <c r="BF179" s="41"/>
      <c r="BG179" s="41"/>
      <c r="BH179" s="41"/>
      <c r="BI179" s="41"/>
      <c r="BJ179" s="41"/>
      <c r="BK179" s="41"/>
      <c r="BL179" s="41"/>
      <c r="BM179" s="41"/>
      <c r="BN179" s="41"/>
    </row>
    <row r="180" spans="1:66" s="5" customFormat="1" x14ac:dyDescent="0.25">
      <c r="A180" s="7"/>
      <c r="B180" s="5" t="str">
        <f t="array" ref="B180">IFERROR(INDEX(DemandSupply,MATCH(INDEX($R$1:R180,SMALL(ROW($R$1:R180)+(10000*($R$1:R180="")),COUNTA($R$1:R180))),Sectors,0)),"")</f>
        <v>Demand</v>
      </c>
      <c r="M180" s="7"/>
      <c r="N180" s="76"/>
      <c r="O180" s="77"/>
      <c r="P180" s="77"/>
      <c r="Q180" s="82"/>
      <c r="R180" s="77"/>
      <c r="S180" s="76"/>
      <c r="T180" s="79"/>
      <c r="U180" s="82"/>
      <c r="V180" s="77"/>
      <c r="W180" s="82"/>
      <c r="X180" s="76"/>
      <c r="Y180" s="77"/>
      <c r="Z180" s="77"/>
      <c r="AA180" s="77"/>
      <c r="AB180" s="76"/>
      <c r="AC180" s="77"/>
      <c r="AD180" s="76"/>
      <c r="AE180" s="77"/>
      <c r="AF180" s="76"/>
      <c r="AG180" s="77"/>
      <c r="AH180" s="76"/>
      <c r="AI180" s="7"/>
      <c r="AJ180" s="27" t="str">
        <f t="shared" si="15"/>
        <v/>
      </c>
      <c r="AK180" s="3" t="s">
        <v>91</v>
      </c>
      <c r="AL180" s="3"/>
      <c r="AM180" s="3" t="s">
        <v>118</v>
      </c>
      <c r="AN180" s="18" t="s">
        <v>66</v>
      </c>
      <c r="AO180" s="22">
        <v>0.01</v>
      </c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7"/>
      <c r="BA180" s="37"/>
      <c r="BB180" s="37"/>
      <c r="BC180" s="37"/>
      <c r="BD180" s="42"/>
      <c r="BE180" s="41"/>
      <c r="BF180" s="41"/>
      <c r="BG180" s="41"/>
      <c r="BH180" s="41"/>
      <c r="BI180" s="41"/>
      <c r="BJ180" s="41"/>
      <c r="BK180" s="41"/>
      <c r="BL180" s="41"/>
      <c r="BM180" s="41"/>
      <c r="BN180" s="41"/>
    </row>
    <row r="181" spans="1:66" s="5" customFormat="1" x14ac:dyDescent="0.25">
      <c r="A181" s="7"/>
      <c r="B181" s="5" t="str">
        <f t="array" ref="B181">IFERROR(INDEX(DemandSupply,MATCH(INDEX($R$1:R181,SMALL(ROW($R$1:R181)+(10000*($R$1:R181="")),COUNTA($R$1:R181))),Sectors,0)),"")</f>
        <v>Demand</v>
      </c>
      <c r="M181" s="7"/>
      <c r="N181" s="76"/>
      <c r="O181" s="77"/>
      <c r="P181" s="77"/>
      <c r="Q181" s="82"/>
      <c r="R181" s="77"/>
      <c r="S181" s="76"/>
      <c r="T181" s="79"/>
      <c r="U181" s="82"/>
      <c r="V181" s="77"/>
      <c r="W181" s="82"/>
      <c r="X181" s="76"/>
      <c r="Y181" s="77"/>
      <c r="Z181" s="77"/>
      <c r="AA181" s="77"/>
      <c r="AB181" s="76"/>
      <c r="AC181" s="77"/>
      <c r="AD181" s="76"/>
      <c r="AE181" s="77"/>
      <c r="AF181" s="76"/>
      <c r="AG181" s="77"/>
      <c r="AH181" s="76"/>
      <c r="AI181" s="7"/>
      <c r="AJ181" s="27" t="str">
        <f t="shared" si="15"/>
        <v/>
      </c>
      <c r="AK181" s="3" t="s">
        <v>63</v>
      </c>
      <c r="AL181" s="3"/>
      <c r="AM181" s="3"/>
      <c r="AN181" s="18" t="s">
        <v>139</v>
      </c>
      <c r="AO181" s="3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7"/>
      <c r="BA181" s="37"/>
      <c r="BB181" s="37"/>
      <c r="BC181" s="37"/>
      <c r="BD181" s="42"/>
      <c r="BE181" s="41"/>
      <c r="BF181" s="41"/>
      <c r="BG181" s="41"/>
      <c r="BH181" s="41"/>
      <c r="BI181" s="41"/>
      <c r="BJ181" s="41"/>
      <c r="BK181" s="41"/>
      <c r="BL181" s="41"/>
      <c r="BM181" s="41"/>
      <c r="BN181" s="41"/>
    </row>
    <row r="182" spans="1:66" s="5" customFormat="1" x14ac:dyDescent="0.25">
      <c r="A182" s="7"/>
      <c r="B182" s="5" t="str">
        <f t="array" ref="B182">IFERROR(INDEX(DemandSupply,MATCH(INDEX($R$1:R182,SMALL(ROW($R$1:R182)+(10000*($R$1:R182="")),COUNTA($R$1:R182))),Sectors,0)),"")</f>
        <v>Demand</v>
      </c>
      <c r="M182" s="7"/>
      <c r="N182" s="76"/>
      <c r="O182" s="77"/>
      <c r="P182" s="77"/>
      <c r="Q182" s="82"/>
      <c r="R182" s="77"/>
      <c r="S182" s="76"/>
      <c r="T182" s="79"/>
      <c r="U182" s="82"/>
      <c r="V182" s="77"/>
      <c r="W182" s="82"/>
      <c r="X182" s="76"/>
      <c r="Y182" s="77"/>
      <c r="Z182" s="77"/>
      <c r="AA182" s="77"/>
      <c r="AB182" s="76"/>
      <c r="AC182" s="77"/>
      <c r="AD182" s="76"/>
      <c r="AE182" s="77"/>
      <c r="AF182" s="76"/>
      <c r="AG182" s="77"/>
      <c r="AH182" s="76"/>
      <c r="AI182" s="7"/>
      <c r="AJ182" s="27" t="str">
        <f t="shared" si="15"/>
        <v/>
      </c>
      <c r="AK182" s="3" t="s">
        <v>41</v>
      </c>
      <c r="AL182" s="3"/>
      <c r="AM182" s="3" t="s">
        <v>43</v>
      </c>
      <c r="AN182" s="18" t="s">
        <v>139</v>
      </c>
      <c r="AO182" s="3">
        <v>2010</v>
      </c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7"/>
      <c r="BA182" s="37"/>
      <c r="BB182" s="37"/>
      <c r="BC182" s="37"/>
      <c r="BD182" s="42"/>
      <c r="BE182" s="41"/>
      <c r="BF182" s="41"/>
      <c r="BG182" s="41"/>
      <c r="BH182" s="41"/>
      <c r="BI182" s="41"/>
      <c r="BJ182" s="41"/>
      <c r="BK182" s="41"/>
      <c r="BL182" s="41"/>
      <c r="BM182" s="41"/>
      <c r="BN182" s="41"/>
    </row>
    <row r="183" spans="1:66" s="5" customFormat="1" x14ac:dyDescent="0.25">
      <c r="A183" s="7"/>
      <c r="B183" s="5" t="str">
        <f t="array" ref="B183">IFERROR(INDEX(DemandSupply,MATCH(INDEX($R$1:R183,SMALL(ROW($R$1:R183)+(10000*($R$1:R183="")),COUNTA($R$1:R183))),Sectors,0)),"")</f>
        <v>Demand</v>
      </c>
      <c r="M183" s="7"/>
      <c r="N183" s="76"/>
      <c r="O183" s="77"/>
      <c r="P183" s="77"/>
      <c r="Q183" s="82"/>
      <c r="R183" s="77"/>
      <c r="S183" s="76"/>
      <c r="T183" s="79"/>
      <c r="U183" s="82"/>
      <c r="V183" s="77"/>
      <c r="W183" s="82"/>
      <c r="X183" s="76"/>
      <c r="Y183" s="77"/>
      <c r="Z183" s="77"/>
      <c r="AA183" s="77"/>
      <c r="AB183" s="76"/>
      <c r="AC183" s="77"/>
      <c r="AD183" s="76"/>
      <c r="AE183" s="77"/>
      <c r="AF183" s="76"/>
      <c r="AG183" s="77"/>
      <c r="AH183" s="76"/>
      <c r="AI183" s="7"/>
      <c r="AJ183" s="27" t="str">
        <f t="shared" si="15"/>
        <v/>
      </c>
      <c r="AK183" s="3" t="s">
        <v>40</v>
      </c>
      <c r="AL183" s="3"/>
      <c r="AM183" s="3" t="s">
        <v>43</v>
      </c>
      <c r="AN183" s="18" t="s">
        <v>139</v>
      </c>
      <c r="AO183" s="3">
        <v>2100</v>
      </c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7"/>
      <c r="BA183" s="37"/>
      <c r="BB183" s="37"/>
      <c r="BC183" s="37"/>
      <c r="BD183" s="42"/>
      <c r="BE183" s="41"/>
      <c r="BF183" s="41"/>
      <c r="BG183" s="41"/>
      <c r="BH183" s="41"/>
      <c r="BI183" s="41"/>
      <c r="BJ183" s="41"/>
      <c r="BK183" s="41"/>
      <c r="BL183" s="41"/>
      <c r="BM183" s="41"/>
      <c r="BN183" s="41"/>
    </row>
    <row r="184" spans="1:66" s="5" customFormat="1" x14ac:dyDescent="0.25">
      <c r="A184" s="7"/>
      <c r="B184" s="5" t="str">
        <f t="array" ref="B184">IFERROR(INDEX(DemandSupply,MATCH(INDEX($R$1:R184,SMALL(ROW($R$1:R184)+(10000*($R$1:R184="")),COUNTA($R$1:R184))),Sectors,0)),"")</f>
        <v>Demand</v>
      </c>
      <c r="M184" s="7"/>
      <c r="N184" s="76"/>
      <c r="O184" s="77"/>
      <c r="P184" s="77"/>
      <c r="Q184" s="82"/>
      <c r="R184" s="77"/>
      <c r="S184" s="76"/>
      <c r="T184" s="79"/>
      <c r="U184" s="82"/>
      <c r="V184" s="77"/>
      <c r="W184" s="82"/>
      <c r="X184" s="76"/>
      <c r="Y184" s="77"/>
      <c r="Z184" s="77"/>
      <c r="AA184" s="77"/>
      <c r="AB184" s="76"/>
      <c r="AC184" s="77"/>
      <c r="AD184" s="76"/>
      <c r="AE184" s="77"/>
      <c r="AF184" s="76"/>
      <c r="AG184" s="77"/>
      <c r="AH184" s="76"/>
      <c r="AI184" s="7"/>
      <c r="AJ184" s="27" t="str">
        <f t="shared" si="15"/>
        <v/>
      </c>
      <c r="AK184" s="3" t="s">
        <v>42</v>
      </c>
      <c r="AL184" s="3"/>
      <c r="AM184" s="3" t="s">
        <v>10</v>
      </c>
      <c r="AN184" s="18" t="s">
        <v>139</v>
      </c>
      <c r="AO184" s="3">
        <v>50</v>
      </c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7"/>
      <c r="BA184" s="37"/>
      <c r="BB184" s="37"/>
      <c r="BC184" s="37"/>
      <c r="BD184" s="42"/>
      <c r="BE184" s="41"/>
      <c r="BF184" s="41"/>
      <c r="BG184" s="41"/>
      <c r="BH184" s="41"/>
      <c r="BI184" s="41"/>
      <c r="BJ184" s="41"/>
      <c r="BK184" s="41"/>
      <c r="BL184" s="41"/>
      <c r="BM184" s="41"/>
      <c r="BN184" s="41"/>
    </row>
    <row r="185" spans="1:66" s="5" customFormat="1" x14ac:dyDescent="0.25">
      <c r="A185" s="7"/>
      <c r="B185" s="5" t="str">
        <f t="array" ref="B185">IFERROR(INDEX(DemandSupply,MATCH(INDEX($R$1:R185,SMALL(ROW($R$1:R185)+(10000*($R$1:R185="")),COUNTA($R$1:R185))),Sectors,0)),"")</f>
        <v>Demand</v>
      </c>
      <c r="M185" s="7"/>
      <c r="N185" s="76"/>
      <c r="O185" s="77"/>
      <c r="P185" s="77"/>
      <c r="Q185" s="82"/>
      <c r="R185" s="77"/>
      <c r="S185" s="76"/>
      <c r="T185" s="79"/>
      <c r="U185" s="82"/>
      <c r="V185" s="77"/>
      <c r="W185" s="82"/>
      <c r="X185" s="76"/>
      <c r="Y185" s="77"/>
      <c r="Z185" s="77"/>
      <c r="AA185" s="77"/>
      <c r="AB185" s="76"/>
      <c r="AC185" s="77"/>
      <c r="AD185" s="76"/>
      <c r="AE185" s="77"/>
      <c r="AF185" s="76"/>
      <c r="AG185" s="77"/>
      <c r="AH185" s="76"/>
      <c r="AI185" s="7"/>
      <c r="AJ185" s="27" t="str">
        <f t="shared" si="15"/>
        <v/>
      </c>
      <c r="AK185" s="3" t="s">
        <v>67</v>
      </c>
      <c r="AL185" s="3"/>
      <c r="AM185" s="3" t="s">
        <v>118</v>
      </c>
      <c r="AN185" s="18" t="s">
        <v>139</v>
      </c>
      <c r="AO185" s="3">
        <v>0.25</v>
      </c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7"/>
      <c r="BA185" s="37"/>
      <c r="BB185" s="37"/>
      <c r="BC185" s="37"/>
      <c r="BD185" s="42"/>
      <c r="BE185" s="41"/>
      <c r="BF185" s="41"/>
      <c r="BG185" s="41"/>
      <c r="BH185" s="41"/>
      <c r="BI185" s="41"/>
      <c r="BJ185" s="41"/>
      <c r="BK185" s="41"/>
      <c r="BL185" s="41"/>
      <c r="BM185" s="41"/>
      <c r="BN185" s="41"/>
    </row>
    <row r="186" spans="1:66" s="5" customFormat="1" x14ac:dyDescent="0.25">
      <c r="A186" s="7"/>
      <c r="B186" s="5" t="str">
        <f t="array" ref="B186">IFERROR(INDEX(DemandSupply,MATCH(INDEX($R$1:R186,SMALL(ROW($R$1:R186)+(10000*($R$1:R186="")),COUNTA($R$1:R186))),Sectors,0)),"")</f>
        <v>Demand</v>
      </c>
      <c r="M186" s="7"/>
      <c r="N186" s="76"/>
      <c r="O186" s="77"/>
      <c r="P186" s="77"/>
      <c r="Q186" s="82"/>
      <c r="R186" s="77"/>
      <c r="S186" s="76"/>
      <c r="T186" s="79"/>
      <c r="U186" s="82"/>
      <c r="V186" s="77"/>
      <c r="W186" s="82"/>
      <c r="X186" s="76"/>
      <c r="Y186" s="77"/>
      <c r="Z186" s="77"/>
      <c r="AA186" s="77"/>
      <c r="AB186" s="76"/>
      <c r="AC186" s="77"/>
      <c r="AD186" s="76"/>
      <c r="AE186" s="77"/>
      <c r="AF186" s="76"/>
      <c r="AG186" s="77"/>
      <c r="AH186" s="76"/>
      <c r="AI186" s="7"/>
      <c r="AJ186" s="27" t="str">
        <f t="shared" si="15"/>
        <v/>
      </c>
      <c r="AK186" s="3" t="s">
        <v>38</v>
      </c>
      <c r="AL186" s="3"/>
      <c r="AM186" s="3" t="s">
        <v>17</v>
      </c>
      <c r="AN186" s="18" t="s">
        <v>139</v>
      </c>
      <c r="AO186" s="23">
        <v>15521</v>
      </c>
      <c r="AP186" s="23">
        <f>AO186</f>
        <v>15521</v>
      </c>
      <c r="AQ186" s="23">
        <f t="shared" ref="AQ186:AY186" si="22">AP186</f>
        <v>15521</v>
      </c>
      <c r="AR186" s="23">
        <f t="shared" si="22"/>
        <v>15521</v>
      </c>
      <c r="AS186" s="23">
        <f t="shared" si="22"/>
        <v>15521</v>
      </c>
      <c r="AT186" s="23">
        <f t="shared" si="22"/>
        <v>15521</v>
      </c>
      <c r="AU186" s="23">
        <f t="shared" si="22"/>
        <v>15521</v>
      </c>
      <c r="AV186" s="23">
        <f t="shared" si="22"/>
        <v>15521</v>
      </c>
      <c r="AW186" s="23">
        <f t="shared" si="22"/>
        <v>15521</v>
      </c>
      <c r="AX186" s="23">
        <f t="shared" si="22"/>
        <v>15521</v>
      </c>
      <c r="AY186" s="23">
        <f t="shared" si="22"/>
        <v>15521</v>
      </c>
      <c r="AZ186" s="7"/>
      <c r="BA186" s="37"/>
      <c r="BB186" s="37"/>
      <c r="BC186" s="37"/>
      <c r="BD186" s="42"/>
      <c r="BE186" s="41"/>
      <c r="BF186" s="41"/>
      <c r="BG186" s="41"/>
      <c r="BH186" s="41"/>
      <c r="BI186" s="41"/>
      <c r="BJ186" s="41"/>
      <c r="BK186" s="41"/>
      <c r="BL186" s="41"/>
      <c r="BM186" s="41"/>
      <c r="BN186" s="41"/>
    </row>
    <row r="187" spans="1:66" s="5" customFormat="1" x14ac:dyDescent="0.25">
      <c r="A187" s="7"/>
      <c r="B187" s="5" t="str">
        <f t="array" ref="B187">IFERROR(INDEX(DemandSupply,MATCH(INDEX($R$1:R187,SMALL(ROW($R$1:R187)+(10000*($R$1:R187="")),COUNTA($R$1:R187))),Sectors,0)),"")</f>
        <v>Demand</v>
      </c>
      <c r="M187" s="7"/>
      <c r="N187" s="76"/>
      <c r="O187" s="77"/>
      <c r="P187" s="77"/>
      <c r="Q187" s="82"/>
      <c r="R187" s="77"/>
      <c r="S187" s="76"/>
      <c r="T187" s="79"/>
      <c r="U187" s="82"/>
      <c r="V187" s="77"/>
      <c r="W187" s="82"/>
      <c r="X187" s="76"/>
      <c r="Y187" s="77"/>
      <c r="Z187" s="77"/>
      <c r="AA187" s="77"/>
      <c r="AB187" s="76"/>
      <c r="AC187" s="77"/>
      <c r="AD187" s="76"/>
      <c r="AE187" s="77"/>
      <c r="AF187" s="76"/>
      <c r="AG187" s="77"/>
      <c r="AH187" s="76"/>
      <c r="AI187" s="7"/>
      <c r="AJ187" s="27" t="str">
        <f t="shared" si="15"/>
        <v/>
      </c>
      <c r="AK187" s="3" t="s">
        <v>44</v>
      </c>
      <c r="AL187" s="3"/>
      <c r="AM187" s="3" t="s">
        <v>17</v>
      </c>
      <c r="AN187" s="18" t="s">
        <v>139</v>
      </c>
      <c r="AO187" s="23"/>
      <c r="AP187" s="162"/>
      <c r="AQ187" s="162"/>
      <c r="AR187" s="162"/>
      <c r="AS187" s="162"/>
      <c r="AT187" s="162"/>
      <c r="AU187" s="162"/>
      <c r="AV187" s="162"/>
      <c r="AW187" s="162"/>
      <c r="AX187" s="162"/>
      <c r="AY187" s="162"/>
      <c r="AZ187" s="7"/>
      <c r="BA187" s="37"/>
      <c r="BB187" s="37"/>
      <c r="BC187" s="37"/>
      <c r="BD187" s="42"/>
      <c r="BE187" s="41"/>
      <c r="BF187" s="41"/>
      <c r="BG187" s="41"/>
      <c r="BH187" s="41"/>
      <c r="BI187" s="41"/>
      <c r="BJ187" s="41"/>
      <c r="BK187" s="41"/>
      <c r="BL187" s="41"/>
      <c r="BM187" s="41"/>
      <c r="BN187" s="41"/>
    </row>
    <row r="188" spans="1:66" s="5" customFormat="1" x14ac:dyDescent="0.25">
      <c r="A188" s="7"/>
      <c r="B188" s="5" t="str">
        <f t="array" ref="B188">IFERROR(INDEX(DemandSupply,MATCH(INDEX($R$1:R188,SMALL(ROW($R$1:R188)+(10000*($R$1:R188="")),COUNTA($R$1:R188))),Sectors,0)),"")</f>
        <v>Demand</v>
      </c>
      <c r="M188" s="7"/>
      <c r="N188" s="76"/>
      <c r="O188" s="77"/>
      <c r="P188" s="77"/>
      <c r="Q188" s="82"/>
      <c r="R188" s="77"/>
      <c r="S188" s="76"/>
      <c r="T188" s="79"/>
      <c r="U188" s="82"/>
      <c r="V188" s="77"/>
      <c r="W188" s="82"/>
      <c r="X188" s="76"/>
      <c r="Y188" s="77"/>
      <c r="Z188" s="77"/>
      <c r="AA188" s="77"/>
      <c r="AB188" s="76"/>
      <c r="AC188" s="77"/>
      <c r="AD188" s="76"/>
      <c r="AE188" s="77"/>
      <c r="AF188" s="76"/>
      <c r="AG188" s="77"/>
      <c r="AH188" s="76"/>
      <c r="AI188" s="7"/>
      <c r="AJ188" s="27" t="str">
        <f t="shared" si="15"/>
        <v/>
      </c>
      <c r="AK188" s="3" t="s">
        <v>51</v>
      </c>
      <c r="AL188" s="3"/>
      <c r="AM188" s="3" t="s">
        <v>17</v>
      </c>
      <c r="AN188" s="18" t="s">
        <v>139</v>
      </c>
      <c r="AO188" s="23"/>
      <c r="AP188" s="162"/>
      <c r="AQ188" s="162"/>
      <c r="AR188" s="162"/>
      <c r="AS188" s="162"/>
      <c r="AT188" s="162"/>
      <c r="AU188" s="162"/>
      <c r="AV188" s="162"/>
      <c r="AW188" s="162"/>
      <c r="AX188" s="162"/>
      <c r="AY188" s="162"/>
      <c r="AZ188" s="7"/>
      <c r="BA188" s="37"/>
      <c r="BB188" s="37"/>
      <c r="BC188" s="37"/>
      <c r="BD188" s="42"/>
      <c r="BE188" s="41"/>
      <c r="BF188" s="41"/>
      <c r="BG188" s="41"/>
      <c r="BH188" s="41"/>
      <c r="BI188" s="41"/>
      <c r="BJ188" s="41"/>
      <c r="BK188" s="41"/>
      <c r="BL188" s="41"/>
      <c r="BM188" s="41"/>
      <c r="BN188" s="41"/>
    </row>
    <row r="189" spans="1:66" s="5" customFormat="1" x14ac:dyDescent="0.25">
      <c r="A189" s="7"/>
      <c r="B189" s="5" t="str">
        <f t="array" ref="B189">IFERROR(INDEX(DemandSupply,MATCH(INDEX($R$1:R189,SMALL(ROW($R$1:R189)+(10000*($R$1:R189="")),COUNTA($R$1:R189))),Sectors,0)),"")</f>
        <v>Demand</v>
      </c>
      <c r="M189" s="7"/>
      <c r="N189" s="76"/>
      <c r="O189" s="77"/>
      <c r="P189" s="77"/>
      <c r="Q189" s="82"/>
      <c r="R189" s="77"/>
      <c r="S189" s="76"/>
      <c r="T189" s="79"/>
      <c r="U189" s="82"/>
      <c r="V189" s="77"/>
      <c r="W189" s="82"/>
      <c r="X189" s="76"/>
      <c r="Y189" s="77"/>
      <c r="Z189" s="77"/>
      <c r="AA189" s="77"/>
      <c r="AB189" s="76"/>
      <c r="AC189" s="77"/>
      <c r="AD189" s="76"/>
      <c r="AE189" s="77"/>
      <c r="AF189" s="76"/>
      <c r="AG189" s="77"/>
      <c r="AH189" s="76"/>
      <c r="AI189" s="7"/>
      <c r="AJ189" s="27" t="str">
        <f t="shared" si="15"/>
        <v/>
      </c>
      <c r="AK189" s="3" t="s">
        <v>95</v>
      </c>
      <c r="AL189" s="3" t="s">
        <v>143</v>
      </c>
      <c r="AM189" s="3" t="s">
        <v>17</v>
      </c>
      <c r="AN189" s="18" t="s">
        <v>139</v>
      </c>
      <c r="AO189" s="23">
        <f>AO192*$AO$24</f>
        <v>8.8000000000000007</v>
      </c>
      <c r="AP189" s="162"/>
      <c r="AQ189" s="162"/>
      <c r="AR189" s="162"/>
      <c r="AS189" s="162"/>
      <c r="AT189" s="162"/>
      <c r="AU189" s="162"/>
      <c r="AV189" s="162"/>
      <c r="AW189" s="162"/>
      <c r="AX189" s="162"/>
      <c r="AY189" s="162"/>
      <c r="AZ189" s="7"/>
      <c r="BA189" s="37"/>
      <c r="BB189" s="37"/>
      <c r="BC189" s="37"/>
      <c r="BD189" s="42"/>
      <c r="BE189" s="41"/>
      <c r="BF189" s="41"/>
      <c r="BG189" s="41"/>
      <c r="BH189" s="41"/>
      <c r="BI189" s="41"/>
      <c r="BJ189" s="41"/>
      <c r="BK189" s="41"/>
      <c r="BL189" s="41"/>
      <c r="BM189" s="41"/>
      <c r="BN189" s="41"/>
    </row>
    <row r="190" spans="1:66" s="5" customFormat="1" x14ac:dyDescent="0.25">
      <c r="A190" s="7"/>
      <c r="B190" s="5" t="str">
        <f t="array" ref="B190">IFERROR(INDEX(DemandSupply,MATCH(INDEX($R$1:R190,SMALL(ROW($R$1:R190)+(10000*($R$1:R190="")),COUNTA($R$1:R190))),Sectors,0)),"")</f>
        <v>Demand</v>
      </c>
      <c r="M190" s="7"/>
      <c r="N190" s="76"/>
      <c r="O190" s="77"/>
      <c r="P190" s="77"/>
      <c r="Q190" s="82"/>
      <c r="R190" s="77"/>
      <c r="S190" s="76"/>
      <c r="T190" s="79"/>
      <c r="U190" s="82"/>
      <c r="V190" s="77"/>
      <c r="W190" s="82"/>
      <c r="X190" s="76"/>
      <c r="Y190" s="77"/>
      <c r="Z190" s="77"/>
      <c r="AA190" s="77"/>
      <c r="AB190" s="76"/>
      <c r="AC190" s="77"/>
      <c r="AD190" s="76"/>
      <c r="AE190" s="77"/>
      <c r="AF190" s="76"/>
      <c r="AG190" s="77"/>
      <c r="AH190" s="76"/>
      <c r="AI190" s="7"/>
      <c r="AJ190" s="27" t="str">
        <f t="shared" si="15"/>
        <v/>
      </c>
      <c r="AK190" s="3" t="s">
        <v>191</v>
      </c>
      <c r="AL190" s="3"/>
      <c r="AM190" s="3" t="s">
        <v>118</v>
      </c>
      <c r="AN190" s="18" t="s">
        <v>139</v>
      </c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7"/>
      <c r="BA190" s="37"/>
      <c r="BB190" s="37"/>
      <c r="BC190" s="37"/>
      <c r="BD190" s="42"/>
      <c r="BE190" s="41"/>
      <c r="BF190" s="41"/>
      <c r="BG190" s="41"/>
      <c r="BH190" s="41"/>
      <c r="BI190" s="41"/>
      <c r="BJ190" s="41"/>
      <c r="BK190" s="41"/>
      <c r="BL190" s="41"/>
      <c r="BM190" s="41"/>
      <c r="BN190" s="41"/>
    </row>
    <row r="191" spans="1:66" s="5" customFormat="1" x14ac:dyDescent="0.25">
      <c r="A191" s="7"/>
      <c r="B191" s="5" t="str">
        <f t="array" ref="B191">IFERROR(INDEX(DemandSupply,MATCH(INDEX($R$1:R191,SMALL(ROW($R$1:R191)+(10000*($R$1:R191="")),COUNTA($R$1:R191))),Sectors,0)),"")</f>
        <v>Demand</v>
      </c>
      <c r="M191" s="7"/>
      <c r="N191" s="76"/>
      <c r="O191" s="77"/>
      <c r="P191" s="77"/>
      <c r="Q191" s="82"/>
      <c r="R191" s="77"/>
      <c r="S191" s="76"/>
      <c r="T191" s="79"/>
      <c r="U191" s="82"/>
      <c r="V191" s="77"/>
      <c r="W191" s="82"/>
      <c r="X191" s="76"/>
      <c r="Y191" s="77"/>
      <c r="Z191" s="77"/>
      <c r="AA191" s="77"/>
      <c r="AB191" s="76"/>
      <c r="AC191" s="77"/>
      <c r="AD191" s="76"/>
      <c r="AE191" s="77"/>
      <c r="AF191" s="76"/>
      <c r="AG191" s="77"/>
      <c r="AH191" s="76"/>
      <c r="AI191" s="7"/>
      <c r="AJ191" s="27" t="str">
        <f t="shared" si="15"/>
        <v/>
      </c>
      <c r="AK191" s="3" t="s">
        <v>192</v>
      </c>
      <c r="AL191" s="3"/>
      <c r="AM191" s="3" t="s">
        <v>118</v>
      </c>
      <c r="AN191" s="18" t="s">
        <v>139</v>
      </c>
      <c r="AO191" s="3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7"/>
      <c r="BA191" s="37"/>
      <c r="BB191" s="37"/>
      <c r="BC191" s="37"/>
      <c r="BD191" s="42"/>
      <c r="BE191" s="41"/>
      <c r="BF191" s="41"/>
      <c r="BG191" s="41"/>
      <c r="BH191" s="41"/>
      <c r="BI191" s="41"/>
      <c r="BJ191" s="41"/>
      <c r="BK191" s="41"/>
      <c r="BL191" s="41"/>
      <c r="BM191" s="41"/>
      <c r="BN191" s="41"/>
    </row>
    <row r="192" spans="1:66" s="5" customFormat="1" x14ac:dyDescent="0.25">
      <c r="A192" s="7"/>
      <c r="B192" s="5" t="str">
        <f t="array" ref="B192">IFERROR(INDEX(DemandSupply,MATCH(INDEX($R$1:R192,SMALL(ROW($R$1:R192)+(10000*($R$1:R192="")),COUNTA($R$1:R192))),Sectors,0)),"")</f>
        <v>Demand</v>
      </c>
      <c r="M192" s="7"/>
      <c r="N192" s="76"/>
      <c r="O192" s="77"/>
      <c r="P192" s="77"/>
      <c r="Q192" s="82"/>
      <c r="R192" s="77"/>
      <c r="S192" s="76"/>
      <c r="T192" s="79"/>
      <c r="U192" s="82"/>
      <c r="V192" s="77"/>
      <c r="W192" s="82"/>
      <c r="X192" s="76"/>
      <c r="Y192" s="77"/>
      <c r="Z192" s="77"/>
      <c r="AA192" s="77"/>
      <c r="AB192" s="76"/>
      <c r="AC192" s="77"/>
      <c r="AD192" s="76"/>
      <c r="AE192" s="77"/>
      <c r="AF192" s="76"/>
      <c r="AG192" s="77"/>
      <c r="AH192" s="76"/>
      <c r="AI192" s="7"/>
      <c r="AJ192" s="27" t="str">
        <f t="shared" si="15"/>
        <v/>
      </c>
      <c r="AK192" s="95" t="s">
        <v>94</v>
      </c>
      <c r="AL192" s="3" t="s">
        <v>143</v>
      </c>
      <c r="AM192" s="3" t="s">
        <v>57</v>
      </c>
      <c r="AN192" s="18" t="s">
        <v>139</v>
      </c>
      <c r="AO192" s="22">
        <v>0.4</v>
      </c>
      <c r="AP192" s="22">
        <f>AO192</f>
        <v>0.4</v>
      </c>
      <c r="AQ192" s="22">
        <f t="shared" ref="AQ192:AY192" si="23">AP192</f>
        <v>0.4</v>
      </c>
      <c r="AR192" s="22">
        <f t="shared" si="23"/>
        <v>0.4</v>
      </c>
      <c r="AS192" s="22">
        <f t="shared" si="23"/>
        <v>0.4</v>
      </c>
      <c r="AT192" s="22">
        <f t="shared" si="23"/>
        <v>0.4</v>
      </c>
      <c r="AU192" s="22">
        <f t="shared" si="23"/>
        <v>0.4</v>
      </c>
      <c r="AV192" s="22">
        <f t="shared" si="23"/>
        <v>0.4</v>
      </c>
      <c r="AW192" s="22">
        <f t="shared" si="23"/>
        <v>0.4</v>
      </c>
      <c r="AX192" s="22">
        <f t="shared" si="23"/>
        <v>0.4</v>
      </c>
      <c r="AY192" s="22">
        <f t="shared" si="23"/>
        <v>0.4</v>
      </c>
      <c r="AZ192" s="7"/>
      <c r="BA192" s="37"/>
      <c r="BB192" s="37"/>
      <c r="BC192" s="37"/>
      <c r="BD192" s="42"/>
      <c r="BE192" s="41"/>
      <c r="BF192" s="41"/>
      <c r="BG192" s="41"/>
      <c r="BH192" s="41"/>
      <c r="BI192" s="41"/>
      <c r="BJ192" s="41"/>
      <c r="BK192" s="41"/>
      <c r="BL192" s="41"/>
      <c r="BM192" s="41"/>
      <c r="BN192" s="41"/>
    </row>
    <row r="193" spans="1:66" s="5" customFormat="1" x14ac:dyDescent="0.25">
      <c r="A193" s="7"/>
      <c r="B193" s="5" t="str">
        <f t="array" ref="B193">IFERROR(INDEX(DemandSupply,MATCH(INDEX($R$1:R193,SMALL(ROW($R$1:R193)+(10000*($R$1:R193="")),COUNTA($R$1:R193))),Sectors,0)),"")</f>
        <v>Demand</v>
      </c>
      <c r="M193" s="7"/>
      <c r="N193" s="76"/>
      <c r="O193" s="77"/>
      <c r="P193" s="77"/>
      <c r="Q193" s="82"/>
      <c r="R193" s="77"/>
      <c r="S193" s="76"/>
      <c r="T193" s="79"/>
      <c r="U193" s="82"/>
      <c r="V193" s="77"/>
      <c r="W193" s="82"/>
      <c r="X193" s="76"/>
      <c r="Y193" s="77"/>
      <c r="Z193" s="77"/>
      <c r="AA193" s="77"/>
      <c r="AB193" s="76"/>
      <c r="AC193" s="77"/>
      <c r="AD193" s="76"/>
      <c r="AE193" s="77"/>
      <c r="AF193" s="76"/>
      <c r="AG193" s="77"/>
      <c r="AH193" s="76"/>
      <c r="AI193" s="7"/>
      <c r="AJ193" s="27" t="str">
        <f t="shared" si="15"/>
        <v/>
      </c>
      <c r="AK193" s="3" t="s">
        <v>91</v>
      </c>
      <c r="AL193" s="3"/>
      <c r="AM193" s="3" t="s">
        <v>118</v>
      </c>
      <c r="AN193" s="18" t="s">
        <v>139</v>
      </c>
      <c r="AO193" s="22">
        <v>0</v>
      </c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7"/>
      <c r="BA193" s="37"/>
      <c r="BB193" s="37"/>
      <c r="BC193" s="37"/>
      <c r="BD193" s="42"/>
      <c r="BE193" s="41"/>
      <c r="BF193" s="41"/>
      <c r="BG193" s="41"/>
      <c r="BH193" s="41"/>
      <c r="BI193" s="41"/>
      <c r="BJ193" s="41"/>
      <c r="BK193" s="41"/>
      <c r="BL193" s="41"/>
      <c r="BM193" s="41"/>
      <c r="BN193" s="41"/>
    </row>
    <row r="194" spans="1:66" s="5" customFormat="1" x14ac:dyDescent="0.25">
      <c r="A194" s="7"/>
      <c r="B194" s="5" t="str">
        <f t="array" ref="B194">IFERROR(INDEX(DemandSupply,MATCH(INDEX($R$1:R194,SMALL(ROW($R$1:R194)+(10000*($R$1:R194="")),COUNTA($R$1:R194))),Sectors,0)),"")</f>
        <v>Demand</v>
      </c>
      <c r="M194" s="7"/>
      <c r="N194" s="76"/>
      <c r="O194" s="77"/>
      <c r="P194" s="77"/>
      <c r="Q194" s="82"/>
      <c r="R194" s="77"/>
      <c r="S194" s="76"/>
      <c r="T194" s="79"/>
      <c r="U194" s="82"/>
      <c r="V194" s="77"/>
      <c r="W194" s="82"/>
      <c r="X194" s="76"/>
      <c r="Y194" s="77"/>
      <c r="Z194" s="77"/>
      <c r="AA194" s="77"/>
      <c r="AB194" s="76"/>
      <c r="AC194" s="77"/>
      <c r="AD194" s="76"/>
      <c r="AE194" s="77"/>
      <c r="AF194" s="76"/>
      <c r="AG194" s="77"/>
      <c r="AH194" s="76"/>
      <c r="AI194" s="7"/>
      <c r="AJ194" s="27" t="str">
        <f t="shared" si="15"/>
        <v/>
      </c>
      <c r="AK194" s="3" t="s">
        <v>63</v>
      </c>
      <c r="AL194" s="3"/>
      <c r="AM194" s="3"/>
      <c r="AN194" s="18" t="s">
        <v>65</v>
      </c>
      <c r="AO194" s="3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7"/>
      <c r="BA194" s="37"/>
      <c r="BB194" s="37"/>
      <c r="BC194" s="37"/>
      <c r="BD194" s="42"/>
      <c r="BE194" s="41"/>
      <c r="BF194" s="41"/>
      <c r="BG194" s="41"/>
      <c r="BH194" s="41"/>
      <c r="BI194" s="41"/>
      <c r="BJ194" s="41"/>
      <c r="BK194" s="41"/>
      <c r="BL194" s="41"/>
      <c r="BM194" s="41"/>
      <c r="BN194" s="41"/>
    </row>
    <row r="195" spans="1:66" s="5" customFormat="1" x14ac:dyDescent="0.25">
      <c r="A195" s="7"/>
      <c r="B195" s="5" t="str">
        <f t="array" ref="B195">IFERROR(INDEX(DemandSupply,MATCH(INDEX($R$1:R195,SMALL(ROW($R$1:R195)+(10000*($R$1:R195="")),COUNTA($R$1:R195))),Sectors,0)),"")</f>
        <v>Demand</v>
      </c>
      <c r="M195" s="7"/>
      <c r="N195" s="76"/>
      <c r="O195" s="77"/>
      <c r="P195" s="77"/>
      <c r="Q195" s="82"/>
      <c r="R195" s="77"/>
      <c r="S195" s="76"/>
      <c r="T195" s="79"/>
      <c r="U195" s="82"/>
      <c r="V195" s="77"/>
      <c r="W195" s="82"/>
      <c r="X195" s="76"/>
      <c r="Y195" s="77"/>
      <c r="Z195" s="77"/>
      <c r="AA195" s="77"/>
      <c r="AB195" s="76"/>
      <c r="AC195" s="77"/>
      <c r="AD195" s="76"/>
      <c r="AE195" s="77"/>
      <c r="AF195" s="76"/>
      <c r="AG195" s="77"/>
      <c r="AH195" s="76"/>
      <c r="AI195" s="7"/>
      <c r="AJ195" s="27" t="str">
        <f t="shared" ref="AJ195:AJ258" si="24">IFERROR(INDEX($N195:$AH195,MATCH(TRUE,INDEX(($N195:$AH195&lt;&gt;0),0),0)),"")</f>
        <v/>
      </c>
      <c r="AK195" s="3" t="s">
        <v>41</v>
      </c>
      <c r="AL195" s="3"/>
      <c r="AM195" s="3" t="s">
        <v>43</v>
      </c>
      <c r="AN195" s="18" t="s">
        <v>65</v>
      </c>
      <c r="AO195" s="3">
        <v>2000</v>
      </c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7"/>
      <c r="BA195" s="37"/>
      <c r="BB195" s="37"/>
      <c r="BC195" s="37"/>
      <c r="BD195" s="42"/>
      <c r="BE195" s="41"/>
      <c r="BF195" s="41"/>
      <c r="BG195" s="41"/>
      <c r="BH195" s="41"/>
      <c r="BI195" s="41"/>
      <c r="BJ195" s="41"/>
      <c r="BK195" s="41"/>
      <c r="BL195" s="41"/>
      <c r="BM195" s="41"/>
      <c r="BN195" s="41"/>
    </row>
    <row r="196" spans="1:66" s="5" customFormat="1" x14ac:dyDescent="0.25">
      <c r="A196" s="7"/>
      <c r="B196" s="5" t="str">
        <f t="array" ref="B196">IFERROR(INDEX(DemandSupply,MATCH(INDEX($R$1:R196,SMALL(ROW($R$1:R196)+(10000*($R$1:R196="")),COUNTA($R$1:R196))),Sectors,0)),"")</f>
        <v>Demand</v>
      </c>
      <c r="M196" s="7"/>
      <c r="N196" s="76"/>
      <c r="O196" s="77"/>
      <c r="P196" s="77"/>
      <c r="Q196" s="82"/>
      <c r="R196" s="77"/>
      <c r="S196" s="76"/>
      <c r="T196" s="79"/>
      <c r="U196" s="82"/>
      <c r="V196" s="77"/>
      <c r="W196" s="82"/>
      <c r="X196" s="76"/>
      <c r="Y196" s="77"/>
      <c r="Z196" s="77"/>
      <c r="AA196" s="77"/>
      <c r="AB196" s="76"/>
      <c r="AC196" s="77"/>
      <c r="AD196" s="76"/>
      <c r="AE196" s="77"/>
      <c r="AF196" s="76"/>
      <c r="AG196" s="77"/>
      <c r="AH196" s="76"/>
      <c r="AI196" s="7"/>
      <c r="AJ196" s="27" t="str">
        <f t="shared" si="24"/>
        <v/>
      </c>
      <c r="AK196" s="3" t="s">
        <v>40</v>
      </c>
      <c r="AL196" s="3"/>
      <c r="AM196" s="3" t="s">
        <v>43</v>
      </c>
      <c r="AN196" s="18" t="s">
        <v>65</v>
      </c>
      <c r="AO196" s="3">
        <v>2100</v>
      </c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7"/>
      <c r="BA196" s="37"/>
      <c r="BB196" s="37"/>
      <c r="BC196" s="37"/>
      <c r="BD196" s="42"/>
      <c r="BE196" s="41"/>
      <c r="BF196" s="41"/>
      <c r="BG196" s="41"/>
      <c r="BH196" s="41"/>
      <c r="BI196" s="41"/>
      <c r="BJ196" s="41"/>
      <c r="BK196" s="41"/>
      <c r="BL196" s="41"/>
      <c r="BM196" s="41"/>
      <c r="BN196" s="41"/>
    </row>
    <row r="197" spans="1:66" s="5" customFormat="1" x14ac:dyDescent="0.25">
      <c r="A197" s="7"/>
      <c r="B197" s="5" t="str">
        <f t="array" ref="B197">IFERROR(INDEX(DemandSupply,MATCH(INDEX($R$1:R197,SMALL(ROW($R$1:R197)+(10000*($R$1:R197="")),COUNTA($R$1:R197))),Sectors,0)),"")</f>
        <v>Demand</v>
      </c>
      <c r="M197" s="7"/>
      <c r="N197" s="76"/>
      <c r="O197" s="77"/>
      <c r="P197" s="77"/>
      <c r="Q197" s="82"/>
      <c r="R197" s="77"/>
      <c r="S197" s="76"/>
      <c r="T197" s="79"/>
      <c r="U197" s="82"/>
      <c r="V197" s="77"/>
      <c r="W197" s="82"/>
      <c r="X197" s="76"/>
      <c r="Y197" s="77"/>
      <c r="Z197" s="77"/>
      <c r="AA197" s="77"/>
      <c r="AB197" s="76"/>
      <c r="AC197" s="77"/>
      <c r="AD197" s="76"/>
      <c r="AE197" s="77"/>
      <c r="AF197" s="76"/>
      <c r="AG197" s="77"/>
      <c r="AH197" s="76"/>
      <c r="AI197" s="7"/>
      <c r="AJ197" s="27" t="str">
        <f t="shared" si="24"/>
        <v/>
      </c>
      <c r="AK197" s="3" t="s">
        <v>42</v>
      </c>
      <c r="AL197" s="3"/>
      <c r="AM197" s="3" t="s">
        <v>10</v>
      </c>
      <c r="AN197" s="18" t="s">
        <v>65</v>
      </c>
      <c r="AO197" s="3">
        <v>18</v>
      </c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7"/>
      <c r="BA197" s="37"/>
      <c r="BB197" s="37"/>
      <c r="BC197" s="37"/>
      <c r="BD197" s="42"/>
      <c r="BE197" s="41"/>
      <c r="BF197" s="41"/>
      <c r="BG197" s="41"/>
      <c r="BH197" s="41"/>
      <c r="BI197" s="41"/>
      <c r="BJ197" s="41"/>
      <c r="BK197" s="41"/>
      <c r="BL197" s="41"/>
      <c r="BM197" s="41"/>
      <c r="BN197" s="41"/>
    </row>
    <row r="198" spans="1:66" s="5" customFormat="1" x14ac:dyDescent="0.25">
      <c r="A198" s="7"/>
      <c r="B198" s="5" t="str">
        <f t="array" ref="B198">IFERROR(INDEX(DemandSupply,MATCH(INDEX($R$1:R198,SMALL(ROW($R$1:R198)+(10000*($R$1:R198="")),COUNTA($R$1:R198))),Sectors,0)),"")</f>
        <v>Demand</v>
      </c>
      <c r="M198" s="7"/>
      <c r="N198" s="76"/>
      <c r="O198" s="77"/>
      <c r="P198" s="77"/>
      <c r="Q198" s="82"/>
      <c r="R198" s="77"/>
      <c r="S198" s="76"/>
      <c r="T198" s="79"/>
      <c r="U198" s="82"/>
      <c r="V198" s="77"/>
      <c r="W198" s="82"/>
      <c r="X198" s="76"/>
      <c r="Y198" s="77"/>
      <c r="Z198" s="77"/>
      <c r="AA198" s="77"/>
      <c r="AB198" s="76"/>
      <c r="AC198" s="77"/>
      <c r="AD198" s="76"/>
      <c r="AE198" s="77"/>
      <c r="AF198" s="76"/>
      <c r="AG198" s="77"/>
      <c r="AH198" s="76"/>
      <c r="AI198" s="7"/>
      <c r="AJ198" s="27" t="str">
        <f t="shared" si="24"/>
        <v/>
      </c>
      <c r="AK198" s="3" t="s">
        <v>67</v>
      </c>
      <c r="AL198" s="3"/>
      <c r="AM198" s="3" t="s">
        <v>118</v>
      </c>
      <c r="AN198" s="18" t="s">
        <v>65</v>
      </c>
      <c r="AO198" s="3">
        <v>0.25</v>
      </c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7"/>
      <c r="BA198" s="37"/>
      <c r="BB198" s="37"/>
      <c r="BC198" s="37"/>
      <c r="BD198" s="42"/>
      <c r="BE198" s="41"/>
      <c r="BF198" s="41"/>
      <c r="BG198" s="41"/>
      <c r="BH198" s="41"/>
      <c r="BI198" s="41"/>
      <c r="BJ198" s="41"/>
      <c r="BK198" s="41"/>
      <c r="BL198" s="41"/>
      <c r="BM198" s="41"/>
      <c r="BN198" s="41"/>
    </row>
    <row r="199" spans="1:66" s="5" customFormat="1" x14ac:dyDescent="0.25">
      <c r="A199" s="7"/>
      <c r="B199" s="5" t="str">
        <f t="array" ref="B199">IFERROR(INDEX(DemandSupply,MATCH(INDEX($R$1:R199,SMALL(ROW($R$1:R199)+(10000*($R$1:R199="")),COUNTA($R$1:R199))),Sectors,0)),"")</f>
        <v>Demand</v>
      </c>
      <c r="M199" s="7"/>
      <c r="N199" s="76"/>
      <c r="O199" s="77"/>
      <c r="P199" s="77"/>
      <c r="Q199" s="82"/>
      <c r="R199" s="77"/>
      <c r="S199" s="76"/>
      <c r="T199" s="79"/>
      <c r="U199" s="82"/>
      <c r="V199" s="77"/>
      <c r="W199" s="82"/>
      <c r="X199" s="76"/>
      <c r="Y199" s="77"/>
      <c r="Z199" s="77"/>
      <c r="AA199" s="77"/>
      <c r="AB199" s="76"/>
      <c r="AC199" s="77"/>
      <c r="AD199" s="76"/>
      <c r="AE199" s="77"/>
      <c r="AF199" s="76"/>
      <c r="AG199" s="77"/>
      <c r="AH199" s="76"/>
      <c r="AI199" s="7"/>
      <c r="AJ199" s="27" t="str">
        <f t="shared" si="24"/>
        <v/>
      </c>
      <c r="AK199" s="3" t="s">
        <v>38</v>
      </c>
      <c r="AL199" s="3"/>
      <c r="AM199" s="3" t="s">
        <v>17</v>
      </c>
      <c r="AN199" s="18" t="s">
        <v>65</v>
      </c>
      <c r="AO199" s="23">
        <v>3565</v>
      </c>
      <c r="AP199" s="23">
        <f>AO199</f>
        <v>3565</v>
      </c>
      <c r="AQ199" s="23">
        <f t="shared" ref="AQ199:AY199" si="25">AP199</f>
        <v>3565</v>
      </c>
      <c r="AR199" s="23">
        <f t="shared" si="25"/>
        <v>3565</v>
      </c>
      <c r="AS199" s="23">
        <f t="shared" si="25"/>
        <v>3565</v>
      </c>
      <c r="AT199" s="23">
        <f t="shared" si="25"/>
        <v>3565</v>
      </c>
      <c r="AU199" s="23">
        <f t="shared" si="25"/>
        <v>3565</v>
      </c>
      <c r="AV199" s="23">
        <f t="shared" si="25"/>
        <v>3565</v>
      </c>
      <c r="AW199" s="23">
        <f t="shared" si="25"/>
        <v>3565</v>
      </c>
      <c r="AX199" s="23">
        <f t="shared" si="25"/>
        <v>3565</v>
      </c>
      <c r="AY199" s="23">
        <f t="shared" si="25"/>
        <v>3565</v>
      </c>
      <c r="AZ199" s="7"/>
      <c r="BA199" s="37"/>
      <c r="BB199" s="37"/>
      <c r="BC199" s="37"/>
      <c r="BD199" s="42"/>
      <c r="BE199" s="41"/>
      <c r="BF199" s="41"/>
      <c r="BG199" s="41"/>
      <c r="BH199" s="41"/>
      <c r="BI199" s="41"/>
      <c r="BJ199" s="41"/>
      <c r="BK199" s="41"/>
      <c r="BL199" s="41"/>
      <c r="BM199" s="41"/>
      <c r="BN199" s="41"/>
    </row>
    <row r="200" spans="1:66" s="5" customFormat="1" x14ac:dyDescent="0.25">
      <c r="A200" s="7"/>
      <c r="B200" s="5" t="str">
        <f t="array" ref="B200">IFERROR(INDEX(DemandSupply,MATCH(INDEX($R$1:R200,SMALL(ROW($R$1:R200)+(10000*($R$1:R200="")),COUNTA($R$1:R200))),Sectors,0)),"")</f>
        <v>Demand</v>
      </c>
      <c r="M200" s="7"/>
      <c r="N200" s="76"/>
      <c r="O200" s="77"/>
      <c r="P200" s="77"/>
      <c r="Q200" s="82"/>
      <c r="R200" s="77"/>
      <c r="S200" s="76"/>
      <c r="T200" s="79"/>
      <c r="U200" s="82"/>
      <c r="V200" s="77"/>
      <c r="W200" s="82"/>
      <c r="X200" s="76"/>
      <c r="Y200" s="77"/>
      <c r="Z200" s="77"/>
      <c r="AA200" s="77"/>
      <c r="AB200" s="76"/>
      <c r="AC200" s="77"/>
      <c r="AD200" s="76"/>
      <c r="AE200" s="77"/>
      <c r="AF200" s="76"/>
      <c r="AG200" s="77"/>
      <c r="AH200" s="76"/>
      <c r="AI200" s="7"/>
      <c r="AJ200" s="27" t="str">
        <f t="shared" si="24"/>
        <v/>
      </c>
      <c r="AK200" s="3" t="s">
        <v>44</v>
      </c>
      <c r="AL200" s="3"/>
      <c r="AM200" s="3" t="s">
        <v>17</v>
      </c>
      <c r="AN200" s="18" t="s">
        <v>65</v>
      </c>
      <c r="AO200" s="23"/>
      <c r="AP200" s="162"/>
      <c r="AQ200" s="162"/>
      <c r="AR200" s="162"/>
      <c r="AS200" s="162"/>
      <c r="AT200" s="162"/>
      <c r="AU200" s="162"/>
      <c r="AV200" s="162"/>
      <c r="AW200" s="162"/>
      <c r="AX200" s="162"/>
      <c r="AY200" s="162"/>
      <c r="AZ200" s="7"/>
      <c r="BA200" s="37"/>
      <c r="BB200" s="37"/>
      <c r="BC200" s="37"/>
      <c r="BD200" s="42"/>
      <c r="BE200" s="41"/>
      <c r="BF200" s="41"/>
      <c r="BG200" s="41"/>
      <c r="BH200" s="41"/>
      <c r="BI200" s="41"/>
      <c r="BJ200" s="41"/>
      <c r="BK200" s="41"/>
      <c r="BL200" s="41"/>
      <c r="BM200" s="41"/>
      <c r="BN200" s="41"/>
    </row>
    <row r="201" spans="1:66" s="5" customFormat="1" x14ac:dyDescent="0.25">
      <c r="A201" s="7"/>
      <c r="B201" s="5" t="str">
        <f t="array" ref="B201">IFERROR(INDEX(DemandSupply,MATCH(INDEX($R$1:R201,SMALL(ROW($R$1:R201)+(10000*($R$1:R201="")),COUNTA($R$1:R201))),Sectors,0)),"")</f>
        <v>Demand</v>
      </c>
      <c r="M201" s="7"/>
      <c r="N201" s="76"/>
      <c r="O201" s="77"/>
      <c r="P201" s="77"/>
      <c r="Q201" s="82"/>
      <c r="R201" s="77"/>
      <c r="S201" s="76"/>
      <c r="T201" s="79"/>
      <c r="U201" s="82"/>
      <c r="V201" s="77"/>
      <c r="W201" s="82"/>
      <c r="X201" s="76"/>
      <c r="Y201" s="77"/>
      <c r="Z201" s="77"/>
      <c r="AA201" s="77"/>
      <c r="AB201" s="76"/>
      <c r="AC201" s="77"/>
      <c r="AD201" s="76"/>
      <c r="AE201" s="77"/>
      <c r="AF201" s="76"/>
      <c r="AG201" s="77"/>
      <c r="AH201" s="76"/>
      <c r="AI201" s="7"/>
      <c r="AJ201" s="27" t="str">
        <f t="shared" si="24"/>
        <v/>
      </c>
      <c r="AK201" s="3" t="s">
        <v>51</v>
      </c>
      <c r="AL201" s="3"/>
      <c r="AM201" s="3" t="s">
        <v>17</v>
      </c>
      <c r="AN201" s="18" t="s">
        <v>65</v>
      </c>
      <c r="AO201" s="23"/>
      <c r="AP201" s="162"/>
      <c r="AQ201" s="162"/>
      <c r="AR201" s="162"/>
      <c r="AS201" s="162"/>
      <c r="AT201" s="162"/>
      <c r="AU201" s="162"/>
      <c r="AV201" s="162"/>
      <c r="AW201" s="162"/>
      <c r="AX201" s="162"/>
      <c r="AY201" s="162"/>
      <c r="AZ201" s="7"/>
      <c r="BA201" s="37"/>
      <c r="BB201" s="37"/>
      <c r="BC201" s="37"/>
      <c r="BD201" s="42"/>
      <c r="BE201" s="41"/>
      <c r="BF201" s="41"/>
      <c r="BG201" s="41"/>
      <c r="BH201" s="41"/>
      <c r="BI201" s="41"/>
      <c r="BJ201" s="41"/>
      <c r="BK201" s="41"/>
      <c r="BL201" s="41"/>
      <c r="BM201" s="41"/>
      <c r="BN201" s="41"/>
    </row>
    <row r="202" spans="1:66" s="5" customFormat="1" x14ac:dyDescent="0.25">
      <c r="A202" s="7"/>
      <c r="B202" s="5" t="str">
        <f t="array" ref="B202">IFERROR(INDEX(DemandSupply,MATCH(INDEX($R$1:R202,SMALL(ROW($R$1:R202)+(10000*($R$1:R202="")),COUNTA($R$1:R202))),Sectors,0)),"")</f>
        <v>Demand</v>
      </c>
      <c r="M202" s="7"/>
      <c r="N202" s="76"/>
      <c r="O202" s="77"/>
      <c r="P202" s="77"/>
      <c r="Q202" s="82"/>
      <c r="R202" s="77"/>
      <c r="S202" s="76"/>
      <c r="T202" s="79"/>
      <c r="U202" s="82"/>
      <c r="V202" s="77"/>
      <c r="W202" s="82"/>
      <c r="X202" s="76"/>
      <c r="Y202" s="77"/>
      <c r="Z202" s="77"/>
      <c r="AA202" s="77"/>
      <c r="AB202" s="76"/>
      <c r="AC202" s="77"/>
      <c r="AD202" s="76"/>
      <c r="AE202" s="77"/>
      <c r="AF202" s="76"/>
      <c r="AG202" s="77"/>
      <c r="AH202" s="76"/>
      <c r="AI202" s="7"/>
      <c r="AJ202" s="27" t="str">
        <f t="shared" si="24"/>
        <v/>
      </c>
      <c r="AK202" s="3" t="s">
        <v>95</v>
      </c>
      <c r="AL202" s="95" t="s">
        <v>212</v>
      </c>
      <c r="AM202" s="3" t="s">
        <v>17</v>
      </c>
      <c r="AN202" s="18" t="s">
        <v>65</v>
      </c>
      <c r="AO202" s="23">
        <f>AO205*$AO$23</f>
        <v>12.798719999999999</v>
      </c>
      <c r="AP202" s="162"/>
      <c r="AQ202" s="162"/>
      <c r="AR202" s="162"/>
      <c r="AS202" s="162"/>
      <c r="AT202" s="162"/>
      <c r="AU202" s="162"/>
      <c r="AV202" s="162"/>
      <c r="AW202" s="162"/>
      <c r="AX202" s="162"/>
      <c r="AY202" s="162"/>
      <c r="AZ202" s="7"/>
      <c r="BA202" s="37"/>
      <c r="BB202" s="37"/>
      <c r="BC202" s="37"/>
      <c r="BD202" s="42"/>
      <c r="BE202" s="41"/>
      <c r="BF202" s="41"/>
      <c r="BG202" s="41"/>
      <c r="BH202" s="41"/>
      <c r="BI202" s="41"/>
      <c r="BJ202" s="41"/>
      <c r="BK202" s="41"/>
      <c r="BL202" s="41"/>
      <c r="BM202" s="41"/>
      <c r="BN202" s="41"/>
    </row>
    <row r="203" spans="1:66" s="5" customFormat="1" x14ac:dyDescent="0.25">
      <c r="A203" s="7"/>
      <c r="B203" s="5" t="str">
        <f t="array" ref="B203">IFERROR(INDEX(DemandSupply,MATCH(INDEX($R$1:R203,SMALL(ROW($R$1:R203)+(10000*($R$1:R203="")),COUNTA($R$1:R203))),Sectors,0)),"")</f>
        <v>Demand</v>
      </c>
      <c r="M203" s="7"/>
      <c r="N203" s="76"/>
      <c r="O203" s="77"/>
      <c r="P203" s="77"/>
      <c r="Q203" s="82"/>
      <c r="R203" s="77"/>
      <c r="S203" s="76"/>
      <c r="T203" s="79"/>
      <c r="U203" s="82"/>
      <c r="V203" s="77"/>
      <c r="W203" s="82"/>
      <c r="X203" s="76"/>
      <c r="Y203" s="77"/>
      <c r="Z203" s="77"/>
      <c r="AA203" s="77"/>
      <c r="AB203" s="76"/>
      <c r="AC203" s="77"/>
      <c r="AD203" s="76"/>
      <c r="AE203" s="77"/>
      <c r="AF203" s="76"/>
      <c r="AG203" s="77"/>
      <c r="AH203" s="76"/>
      <c r="AI203" s="7"/>
      <c r="AJ203" s="27" t="str">
        <f t="shared" si="24"/>
        <v/>
      </c>
      <c r="AK203" s="3" t="s">
        <v>191</v>
      </c>
      <c r="AL203" s="3"/>
      <c r="AM203" s="3" t="s">
        <v>118</v>
      </c>
      <c r="AN203" s="18" t="s">
        <v>65</v>
      </c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7"/>
      <c r="BA203" s="37"/>
      <c r="BB203" s="37"/>
      <c r="BC203" s="37"/>
      <c r="BD203" s="42"/>
      <c r="BE203" s="41"/>
      <c r="BF203" s="41"/>
      <c r="BG203" s="41"/>
      <c r="BH203" s="41"/>
      <c r="BI203" s="41"/>
      <c r="BJ203" s="41"/>
      <c r="BK203" s="41"/>
      <c r="BL203" s="41"/>
      <c r="BM203" s="41"/>
      <c r="BN203" s="41"/>
    </row>
    <row r="204" spans="1:66" s="5" customFormat="1" x14ac:dyDescent="0.25">
      <c r="A204" s="7"/>
      <c r="B204" s="5" t="str">
        <f t="array" ref="B204">IFERROR(INDEX(DemandSupply,MATCH(INDEX($R$1:R204,SMALL(ROW($R$1:R204)+(10000*($R$1:R204="")),COUNTA($R$1:R204))),Sectors,0)),"")</f>
        <v>Demand</v>
      </c>
      <c r="M204" s="7"/>
      <c r="N204" s="76"/>
      <c r="O204" s="77"/>
      <c r="P204" s="77"/>
      <c r="Q204" s="82"/>
      <c r="R204" s="77"/>
      <c r="S204" s="76"/>
      <c r="T204" s="79"/>
      <c r="U204" s="82"/>
      <c r="V204" s="77"/>
      <c r="W204" s="82"/>
      <c r="X204" s="76"/>
      <c r="Y204" s="77"/>
      <c r="Z204" s="77"/>
      <c r="AA204" s="77"/>
      <c r="AB204" s="76"/>
      <c r="AC204" s="77"/>
      <c r="AD204" s="76"/>
      <c r="AE204" s="77"/>
      <c r="AF204" s="76"/>
      <c r="AG204" s="77"/>
      <c r="AH204" s="76"/>
      <c r="AI204" s="7"/>
      <c r="AJ204" s="27" t="str">
        <f t="shared" si="24"/>
        <v/>
      </c>
      <c r="AK204" s="3" t="s">
        <v>192</v>
      </c>
      <c r="AL204" s="3"/>
      <c r="AM204" s="3" t="s">
        <v>118</v>
      </c>
      <c r="AN204" s="18" t="s">
        <v>65</v>
      </c>
      <c r="AO204" s="3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7"/>
      <c r="BA204" s="37"/>
      <c r="BB204" s="37"/>
      <c r="BC204" s="37"/>
      <c r="BD204" s="42"/>
      <c r="BE204" s="41"/>
      <c r="BF204" s="41"/>
      <c r="BG204" s="41"/>
      <c r="BH204" s="41"/>
      <c r="BI204" s="41"/>
      <c r="BJ204" s="41"/>
      <c r="BK204" s="41"/>
      <c r="BL204" s="41"/>
      <c r="BM204" s="41"/>
      <c r="BN204" s="41"/>
    </row>
    <row r="205" spans="1:66" s="5" customFormat="1" x14ac:dyDescent="0.25">
      <c r="A205" s="7"/>
      <c r="B205" s="5" t="str">
        <f t="array" ref="B205">IFERROR(INDEX(DemandSupply,MATCH(INDEX($R$1:R205,SMALL(ROW($R$1:R205)+(10000*($R$1:R205="")),COUNTA($R$1:R205))),Sectors,0)),"")</f>
        <v>Demand</v>
      </c>
      <c r="M205" s="7"/>
      <c r="N205" s="76"/>
      <c r="O205" s="77"/>
      <c r="P205" s="77"/>
      <c r="Q205" s="82"/>
      <c r="R205" s="77"/>
      <c r="S205" s="76"/>
      <c r="T205" s="79"/>
      <c r="U205" s="82"/>
      <c r="V205" s="77"/>
      <c r="W205" s="82"/>
      <c r="X205" s="76"/>
      <c r="Y205" s="77"/>
      <c r="Z205" s="77"/>
      <c r="AA205" s="77"/>
      <c r="AB205" s="76"/>
      <c r="AC205" s="77"/>
      <c r="AD205" s="76"/>
      <c r="AE205" s="77"/>
      <c r="AF205" s="76"/>
      <c r="AG205" s="77"/>
      <c r="AH205" s="76"/>
      <c r="AI205" s="7"/>
      <c r="AJ205" s="27" t="str">
        <f t="shared" si="24"/>
        <v/>
      </c>
      <c r="AK205" s="3" t="s">
        <v>94</v>
      </c>
      <c r="AL205" s="95" t="s">
        <v>212</v>
      </c>
      <c r="AM205" s="3" t="s">
        <v>57</v>
      </c>
      <c r="AN205" s="18" t="s">
        <v>65</v>
      </c>
      <c r="AO205" s="3">
        <v>1.111</v>
      </c>
      <c r="AP205" s="22">
        <f>AO205</f>
        <v>1.111</v>
      </c>
      <c r="AQ205" s="22">
        <f t="shared" ref="AQ205:AY205" si="26">AP205</f>
        <v>1.111</v>
      </c>
      <c r="AR205" s="22">
        <f t="shared" si="26"/>
        <v>1.111</v>
      </c>
      <c r="AS205" s="22">
        <f t="shared" si="26"/>
        <v>1.111</v>
      </c>
      <c r="AT205" s="22">
        <f t="shared" si="26"/>
        <v>1.111</v>
      </c>
      <c r="AU205" s="22">
        <f t="shared" si="26"/>
        <v>1.111</v>
      </c>
      <c r="AV205" s="22">
        <f t="shared" si="26"/>
        <v>1.111</v>
      </c>
      <c r="AW205" s="22">
        <f t="shared" si="26"/>
        <v>1.111</v>
      </c>
      <c r="AX205" s="22">
        <f t="shared" si="26"/>
        <v>1.111</v>
      </c>
      <c r="AY205" s="22">
        <f t="shared" si="26"/>
        <v>1.111</v>
      </c>
      <c r="AZ205" s="7"/>
      <c r="BA205" s="37"/>
      <c r="BB205" s="37"/>
      <c r="BC205" s="37"/>
      <c r="BD205" s="42"/>
      <c r="BE205" s="41"/>
      <c r="BF205" s="41"/>
      <c r="BG205" s="41"/>
      <c r="BH205" s="41"/>
      <c r="BI205" s="41"/>
      <c r="BJ205" s="41"/>
      <c r="BK205" s="41"/>
      <c r="BL205" s="41"/>
      <c r="BM205" s="41"/>
      <c r="BN205" s="41"/>
    </row>
    <row r="206" spans="1:66" s="5" customFormat="1" x14ac:dyDescent="0.25">
      <c r="A206" s="7"/>
      <c r="B206" s="5" t="str">
        <f t="array" ref="B206">IFERROR(INDEX(DemandSupply,MATCH(INDEX($R$1:R206,SMALL(ROW($R$1:R206)+(10000*($R$1:R206="")),COUNTA($R$1:R206))),Sectors,0)),"")</f>
        <v>Demand</v>
      </c>
      <c r="M206" s="7"/>
      <c r="N206" s="76"/>
      <c r="O206" s="77"/>
      <c r="P206" s="77"/>
      <c r="Q206" s="82"/>
      <c r="R206" s="77"/>
      <c r="S206" s="76"/>
      <c r="T206" s="79"/>
      <c r="U206" s="82"/>
      <c r="V206" s="77"/>
      <c r="W206" s="82"/>
      <c r="X206" s="76"/>
      <c r="Y206" s="77"/>
      <c r="Z206" s="77"/>
      <c r="AA206" s="77"/>
      <c r="AB206" s="76"/>
      <c r="AC206" s="77"/>
      <c r="AD206" s="76"/>
      <c r="AE206" s="77"/>
      <c r="AF206" s="76"/>
      <c r="AG206" s="77"/>
      <c r="AH206" s="76"/>
      <c r="AI206" s="7"/>
      <c r="AJ206" s="27" t="str">
        <f t="shared" si="24"/>
        <v/>
      </c>
      <c r="AK206" s="3" t="s">
        <v>91</v>
      </c>
      <c r="AL206" s="3"/>
      <c r="AM206" s="3" t="s">
        <v>118</v>
      </c>
      <c r="AN206" s="18" t="s">
        <v>65</v>
      </c>
      <c r="AO206" s="22">
        <v>0.05</v>
      </c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7"/>
      <c r="BA206" s="37"/>
      <c r="BB206" s="37"/>
      <c r="BC206" s="37"/>
      <c r="BD206" s="42"/>
      <c r="BE206" s="41"/>
      <c r="BF206" s="41"/>
      <c r="BG206" s="41"/>
      <c r="BH206" s="41"/>
      <c r="BI206" s="41"/>
      <c r="BJ206" s="41"/>
      <c r="BK206" s="41"/>
      <c r="BL206" s="41"/>
      <c r="BM206" s="41"/>
      <c r="BN206" s="41"/>
    </row>
    <row r="207" spans="1:66" s="5" customFormat="1" x14ac:dyDescent="0.25">
      <c r="A207" s="7"/>
      <c r="B207" s="5" t="str">
        <f t="array" ref="B207">IFERROR(INDEX(DemandSupply,MATCH(INDEX($R$1:R207,SMALL(ROW($R$1:R207)+(10000*($R$1:R207="")),COUNTA($R$1:R207))),Sectors,0)),"")</f>
        <v>Demand</v>
      </c>
      <c r="M207" s="7"/>
      <c r="N207" s="76"/>
      <c r="O207" s="77"/>
      <c r="P207" s="77"/>
      <c r="Q207" s="82"/>
      <c r="R207" s="77"/>
      <c r="S207" s="76"/>
      <c r="T207" s="76"/>
      <c r="U207" s="82"/>
      <c r="V207" s="76"/>
      <c r="W207" s="82"/>
      <c r="X207" s="77"/>
      <c r="Y207" s="77"/>
      <c r="Z207" s="76"/>
      <c r="AA207" s="77"/>
      <c r="AB207" s="76"/>
      <c r="AC207" s="77"/>
      <c r="AD207" s="76"/>
      <c r="AE207" s="77"/>
      <c r="AF207" s="76"/>
      <c r="AG207" s="77"/>
      <c r="AH207" s="76"/>
      <c r="AI207" s="7"/>
      <c r="AJ207" s="27" t="str">
        <f t="shared" si="24"/>
        <v/>
      </c>
      <c r="AK207" s="6"/>
      <c r="AL207" s="6"/>
      <c r="AM207" s="6"/>
      <c r="AN207" s="11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7"/>
      <c r="BA207" s="15"/>
      <c r="BB207" s="15"/>
      <c r="BC207" s="15"/>
      <c r="BD207" s="41"/>
      <c r="BE207" s="41"/>
      <c r="BF207" s="41"/>
      <c r="BG207" s="41"/>
      <c r="BH207" s="41"/>
      <c r="BI207" s="41"/>
      <c r="BJ207" s="41"/>
      <c r="BK207" s="41"/>
      <c r="BL207" s="41"/>
      <c r="BM207" s="41"/>
      <c r="BN207" s="41"/>
    </row>
    <row r="208" spans="1:66" s="5" customFormat="1" x14ac:dyDescent="0.25">
      <c r="A208" s="7"/>
      <c r="B208" s="5" t="str">
        <f t="array" ref="B208">IFERROR(INDEX(DemandSupply,MATCH(INDEX($R$1:R208,SMALL(ROW($R$1:R208)+(10000*($R$1:R208="")),COUNTA($R$1:R208))),Sectors,0)),"")</f>
        <v>Demand</v>
      </c>
      <c r="M208" s="7"/>
      <c r="N208" s="76"/>
      <c r="O208" s="77"/>
      <c r="P208" s="77"/>
      <c r="Q208" s="82"/>
      <c r="R208" s="77"/>
      <c r="S208" s="76"/>
      <c r="T208" s="76"/>
      <c r="U208" s="82"/>
      <c r="V208" s="76"/>
      <c r="W208" s="80"/>
      <c r="X208" s="32" t="s">
        <v>85</v>
      </c>
      <c r="Y208" s="82"/>
      <c r="Z208" s="76"/>
      <c r="AA208" s="77"/>
      <c r="AB208" s="76"/>
      <c r="AC208" s="77"/>
      <c r="AD208" s="76"/>
      <c r="AE208" s="77"/>
      <c r="AF208" s="76"/>
      <c r="AG208" s="77"/>
      <c r="AH208" s="76"/>
      <c r="AI208" s="7"/>
      <c r="AJ208" s="28" t="str">
        <f t="shared" si="24"/>
        <v>Water heating</v>
      </c>
      <c r="AK208" s="6"/>
      <c r="AL208" s="6"/>
      <c r="AM208" s="6"/>
      <c r="AN208" s="11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7"/>
      <c r="BA208" s="15"/>
      <c r="BB208" s="15"/>
      <c r="BC208" s="15"/>
      <c r="BD208" s="41"/>
      <c r="BE208" s="41"/>
      <c r="BF208" s="41"/>
      <c r="BG208" s="41"/>
      <c r="BH208" s="41"/>
      <c r="BI208" s="41"/>
      <c r="BJ208" s="41"/>
      <c r="BK208" s="41"/>
      <c r="BL208" s="41"/>
      <c r="BM208" s="41"/>
      <c r="BN208" s="41"/>
    </row>
    <row r="209" spans="1:66" s="5" customFormat="1" hidden="1" x14ac:dyDescent="0.25">
      <c r="A209" s="7"/>
      <c r="B209" s="5" t="str">
        <f t="array" ref="B209">IFERROR(INDEX(DemandSupply,MATCH(INDEX($R$1:R209,SMALL(ROW($R$1:R209)+(10000*($R$1:R209="")),COUNTA($R$1:R209))),Sectors,0)),"")</f>
        <v>Demand</v>
      </c>
      <c r="M209" s="7"/>
      <c r="N209" s="76"/>
      <c r="O209" s="77"/>
      <c r="P209" s="77"/>
      <c r="Q209" s="82"/>
      <c r="R209" s="77"/>
      <c r="S209" s="76"/>
      <c r="T209" s="77"/>
      <c r="U209" s="82"/>
      <c r="V209" s="77"/>
      <c r="W209" s="77"/>
      <c r="X209" s="77"/>
      <c r="Y209" s="77"/>
      <c r="Z209" s="76"/>
      <c r="AA209" s="77"/>
      <c r="AB209" s="76"/>
      <c r="AC209" s="77"/>
      <c r="AD209" s="76"/>
      <c r="AE209" s="77"/>
      <c r="AF209" s="76"/>
      <c r="AG209" s="77"/>
      <c r="AH209" s="76"/>
      <c r="AI209" s="7"/>
      <c r="AJ209" s="27" t="str">
        <f t="shared" si="24"/>
        <v/>
      </c>
      <c r="AK209" s="3" t="s">
        <v>93</v>
      </c>
      <c r="AL209" s="3" t="s">
        <v>153</v>
      </c>
      <c r="AM209" s="3"/>
      <c r="AN209" s="18" t="s">
        <v>36</v>
      </c>
      <c r="AO209" s="3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7"/>
      <c r="BA209" s="37"/>
      <c r="BB209" s="37"/>
      <c r="BC209" s="37"/>
      <c r="BD209" s="42"/>
      <c r="BE209" s="41"/>
      <c r="BF209" s="41"/>
      <c r="BG209" s="41"/>
      <c r="BH209" s="41"/>
      <c r="BI209" s="41"/>
      <c r="BJ209" s="41"/>
      <c r="BK209" s="41"/>
      <c r="BL209" s="41"/>
      <c r="BM209" s="41"/>
      <c r="BN209" s="41"/>
    </row>
    <row r="210" spans="1:66" s="5" customFormat="1" hidden="1" x14ac:dyDescent="0.25">
      <c r="A210" s="7"/>
      <c r="B210" s="5" t="str">
        <f t="array" ref="B210">IFERROR(INDEX(DemandSupply,MATCH(INDEX($R$1:R210,SMALL(ROW($R$1:R210)+(10000*($R$1:R210="")),COUNTA($R$1:R210))),Sectors,0)),"")</f>
        <v>Demand</v>
      </c>
      <c r="M210" s="7"/>
      <c r="N210" s="76"/>
      <c r="O210" s="77"/>
      <c r="P210" s="77"/>
      <c r="Q210" s="82"/>
      <c r="R210" s="77"/>
      <c r="S210" s="76"/>
      <c r="T210" s="77"/>
      <c r="U210" s="82"/>
      <c r="V210" s="77"/>
      <c r="W210" s="77"/>
      <c r="X210" s="77"/>
      <c r="Y210" s="77"/>
      <c r="Z210" s="76"/>
      <c r="AA210" s="77"/>
      <c r="AB210" s="76"/>
      <c r="AC210" s="77"/>
      <c r="AD210" s="76"/>
      <c r="AE210" s="77"/>
      <c r="AF210" s="76"/>
      <c r="AG210" s="77"/>
      <c r="AH210" s="76"/>
      <c r="AI210" s="7"/>
      <c r="AJ210" s="27" t="str">
        <f t="shared" si="24"/>
        <v/>
      </c>
      <c r="AK210" s="3" t="s">
        <v>58</v>
      </c>
      <c r="AL210" s="3"/>
      <c r="AM210" s="3"/>
      <c r="AN210" s="18" t="s">
        <v>23</v>
      </c>
      <c r="AO210" s="3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7"/>
      <c r="BA210" s="37"/>
      <c r="BB210" s="37"/>
      <c r="BC210" s="37"/>
      <c r="BD210" s="42"/>
      <c r="BE210" s="41"/>
      <c r="BF210" s="41"/>
      <c r="BG210" s="41"/>
      <c r="BH210" s="41"/>
      <c r="BI210" s="41"/>
      <c r="BJ210" s="41"/>
      <c r="BK210" s="41"/>
      <c r="BL210" s="41"/>
      <c r="BM210" s="41"/>
      <c r="BN210" s="41"/>
    </row>
    <row r="211" spans="1:66" s="5" customFormat="1" hidden="1" x14ac:dyDescent="0.25">
      <c r="A211" s="7"/>
      <c r="B211" s="5" t="str">
        <f t="array" ref="B211">IFERROR(INDEX(DemandSupply,MATCH(INDEX($R$1:R211,SMALL(ROW($R$1:R211)+(10000*($R$1:R211="")),COUNTA($R$1:R211))),Sectors,0)),"")</f>
        <v>Demand</v>
      </c>
      <c r="M211" s="7"/>
      <c r="N211" s="76"/>
      <c r="O211" s="77"/>
      <c r="P211" s="77"/>
      <c r="Q211" s="82"/>
      <c r="R211" s="77"/>
      <c r="S211" s="76"/>
      <c r="T211" s="77"/>
      <c r="U211" s="82"/>
      <c r="V211" s="77"/>
      <c r="W211" s="77"/>
      <c r="X211" s="77"/>
      <c r="Y211" s="77"/>
      <c r="Z211" s="76"/>
      <c r="AA211" s="77"/>
      <c r="AB211" s="76"/>
      <c r="AC211" s="77"/>
      <c r="AD211" s="76"/>
      <c r="AE211" s="77"/>
      <c r="AF211" s="76"/>
      <c r="AG211" s="77"/>
      <c r="AH211" s="76"/>
      <c r="AI211" s="7"/>
      <c r="AJ211" s="27" t="str">
        <f t="shared" si="24"/>
        <v/>
      </c>
      <c r="AK211" s="3" t="s">
        <v>80</v>
      </c>
      <c r="AL211" s="3"/>
      <c r="AM211" s="3"/>
      <c r="AN211" s="18" t="s">
        <v>37</v>
      </c>
      <c r="AO211" s="3">
        <v>10</v>
      </c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7"/>
      <c r="BA211" s="37"/>
      <c r="BB211" s="37"/>
      <c r="BC211" s="37"/>
      <c r="BD211" s="42"/>
      <c r="BE211" s="41"/>
      <c r="BF211" s="41"/>
      <c r="BG211" s="41"/>
      <c r="BH211" s="41"/>
      <c r="BI211" s="41"/>
      <c r="BJ211" s="41"/>
      <c r="BK211" s="41"/>
      <c r="BL211" s="41"/>
      <c r="BM211" s="41"/>
      <c r="BN211" s="41"/>
    </row>
    <row r="212" spans="1:66" s="5" customFormat="1" hidden="1" x14ac:dyDescent="0.25">
      <c r="A212" s="7"/>
      <c r="B212" s="5" t="str">
        <f t="array" ref="B212">IFERROR(INDEX(DemandSupply,MATCH(INDEX($R$1:R212,SMALL(ROW($R$1:R212)+(10000*($R$1:R212="")),COUNTA($R$1:R212))),Sectors,0)),"")</f>
        <v>Demand</v>
      </c>
      <c r="M212" s="7"/>
      <c r="N212" s="76"/>
      <c r="O212" s="77"/>
      <c r="P212" s="77"/>
      <c r="Q212" s="82"/>
      <c r="R212" s="77"/>
      <c r="S212" s="76"/>
      <c r="T212" s="79"/>
      <c r="U212" s="82"/>
      <c r="V212" s="77"/>
      <c r="W212" s="77"/>
      <c r="X212" s="76"/>
      <c r="Y212" s="77"/>
      <c r="Z212" s="77"/>
      <c r="AA212" s="77"/>
      <c r="AB212" s="76"/>
      <c r="AC212" s="77"/>
      <c r="AD212" s="76"/>
      <c r="AE212" s="77"/>
      <c r="AF212" s="76"/>
      <c r="AG212" s="77"/>
      <c r="AH212" s="76"/>
      <c r="AI212" s="7"/>
      <c r="AJ212" s="27" t="str">
        <f t="shared" si="24"/>
        <v/>
      </c>
      <c r="AK212" s="3" t="s">
        <v>63</v>
      </c>
      <c r="AL212" s="3"/>
      <c r="AM212" s="3"/>
      <c r="AN212" s="89" t="s">
        <v>154</v>
      </c>
      <c r="AO212" s="90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7"/>
      <c r="BA212" s="37"/>
      <c r="BB212" s="37"/>
      <c r="BC212" s="37"/>
      <c r="BD212" s="42"/>
      <c r="BE212" s="41"/>
      <c r="BF212" s="41"/>
      <c r="BG212" s="41"/>
      <c r="BH212" s="41"/>
      <c r="BI212" s="41"/>
      <c r="BJ212" s="41"/>
      <c r="BK212" s="41"/>
      <c r="BL212" s="41"/>
      <c r="BM212" s="41"/>
      <c r="BN212" s="41"/>
    </row>
    <row r="213" spans="1:66" s="5" customFormat="1" hidden="1" x14ac:dyDescent="0.25">
      <c r="A213" s="7"/>
      <c r="B213" s="5" t="str">
        <f t="array" ref="B213">IFERROR(INDEX(DemandSupply,MATCH(INDEX($R$1:R213,SMALL(ROW($R$1:R213)+(10000*($R$1:R213="")),COUNTA($R$1:R213))),Sectors,0)),"")</f>
        <v>Demand</v>
      </c>
      <c r="M213" s="7"/>
      <c r="N213" s="76"/>
      <c r="O213" s="77"/>
      <c r="P213" s="77"/>
      <c r="Q213" s="82"/>
      <c r="R213" s="77"/>
      <c r="S213" s="76"/>
      <c r="T213" s="79"/>
      <c r="U213" s="82"/>
      <c r="V213" s="77"/>
      <c r="W213" s="77"/>
      <c r="X213" s="76"/>
      <c r="Y213" s="77"/>
      <c r="Z213" s="77"/>
      <c r="AA213" s="77"/>
      <c r="AB213" s="76"/>
      <c r="AC213" s="77"/>
      <c r="AD213" s="76"/>
      <c r="AE213" s="77"/>
      <c r="AF213" s="76"/>
      <c r="AG213" s="77"/>
      <c r="AH213" s="76"/>
      <c r="AI213" s="7"/>
      <c r="AJ213" s="27" t="str">
        <f t="shared" si="24"/>
        <v/>
      </c>
      <c r="AK213" s="3" t="s">
        <v>41</v>
      </c>
      <c r="AL213" s="3"/>
      <c r="AM213" s="3" t="s">
        <v>43</v>
      </c>
      <c r="AN213" s="89" t="s">
        <v>154</v>
      </c>
      <c r="AO213" s="90">
        <v>1990</v>
      </c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7"/>
      <c r="BA213" s="37"/>
      <c r="BB213" s="37"/>
      <c r="BC213" s="37"/>
      <c r="BD213" s="42"/>
      <c r="BE213" s="41"/>
      <c r="BF213" s="41"/>
      <c r="BG213" s="41"/>
      <c r="BH213" s="41"/>
      <c r="BI213" s="41"/>
      <c r="BJ213" s="41"/>
      <c r="BK213" s="41"/>
      <c r="BL213" s="41"/>
      <c r="BM213" s="41"/>
      <c r="BN213" s="41"/>
    </row>
    <row r="214" spans="1:66" s="5" customFormat="1" hidden="1" x14ac:dyDescent="0.25">
      <c r="A214" s="7"/>
      <c r="B214" s="5" t="str">
        <f t="array" ref="B214">IFERROR(INDEX(DemandSupply,MATCH(INDEX($R$1:R214,SMALL(ROW($R$1:R214)+(10000*($R$1:R214="")),COUNTA($R$1:R214))),Sectors,0)),"")</f>
        <v>Demand</v>
      </c>
      <c r="M214" s="7"/>
      <c r="N214" s="76"/>
      <c r="O214" s="77"/>
      <c r="P214" s="77"/>
      <c r="Q214" s="82"/>
      <c r="R214" s="77"/>
      <c r="S214" s="76"/>
      <c r="T214" s="79"/>
      <c r="U214" s="82"/>
      <c r="V214" s="77"/>
      <c r="W214" s="77"/>
      <c r="X214" s="76"/>
      <c r="Y214" s="77"/>
      <c r="Z214" s="77"/>
      <c r="AA214" s="77"/>
      <c r="AB214" s="76"/>
      <c r="AC214" s="77"/>
      <c r="AD214" s="76"/>
      <c r="AE214" s="77"/>
      <c r="AF214" s="76"/>
      <c r="AG214" s="77"/>
      <c r="AH214" s="76"/>
      <c r="AI214" s="7"/>
      <c r="AJ214" s="27" t="str">
        <f t="shared" si="24"/>
        <v/>
      </c>
      <c r="AK214" s="3" t="s">
        <v>40</v>
      </c>
      <c r="AL214" s="3"/>
      <c r="AM214" s="3" t="s">
        <v>43</v>
      </c>
      <c r="AN214" s="89" t="s">
        <v>154</v>
      </c>
      <c r="AO214" s="90">
        <v>2000</v>
      </c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7"/>
      <c r="BA214" s="37"/>
      <c r="BB214" s="37"/>
      <c r="BC214" s="37"/>
      <c r="BD214" s="42"/>
      <c r="BE214" s="41"/>
      <c r="BF214" s="41"/>
      <c r="BG214" s="41"/>
      <c r="BH214" s="41"/>
      <c r="BI214" s="41"/>
      <c r="BJ214" s="41"/>
      <c r="BK214" s="41"/>
      <c r="BL214" s="41"/>
      <c r="BM214" s="41"/>
      <c r="BN214" s="41"/>
    </row>
    <row r="215" spans="1:66" s="5" customFormat="1" hidden="1" x14ac:dyDescent="0.25">
      <c r="A215" s="7"/>
      <c r="B215" s="5" t="str">
        <f t="array" ref="B215">IFERROR(INDEX(DemandSupply,MATCH(INDEX($R$1:R215,SMALL(ROW($R$1:R215)+(10000*($R$1:R215="")),COUNTA($R$1:R215))),Sectors,0)),"")</f>
        <v>Demand</v>
      </c>
      <c r="M215" s="7"/>
      <c r="N215" s="76"/>
      <c r="O215" s="77"/>
      <c r="P215" s="77"/>
      <c r="Q215" s="82"/>
      <c r="R215" s="77"/>
      <c r="S215" s="76"/>
      <c r="T215" s="79"/>
      <c r="U215" s="82"/>
      <c r="V215" s="77"/>
      <c r="W215" s="77"/>
      <c r="X215" s="76"/>
      <c r="Y215" s="77"/>
      <c r="Z215" s="77"/>
      <c r="AA215" s="77"/>
      <c r="AB215" s="76"/>
      <c r="AC215" s="77"/>
      <c r="AD215" s="76"/>
      <c r="AE215" s="77"/>
      <c r="AF215" s="76"/>
      <c r="AG215" s="77"/>
      <c r="AH215" s="76"/>
      <c r="AI215" s="7"/>
      <c r="AJ215" s="27" t="str">
        <f t="shared" si="24"/>
        <v/>
      </c>
      <c r="AK215" s="3" t="s">
        <v>42</v>
      </c>
      <c r="AL215" s="3"/>
      <c r="AM215" s="3" t="s">
        <v>10</v>
      </c>
      <c r="AN215" s="89" t="s">
        <v>154</v>
      </c>
      <c r="AO215" s="90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7"/>
      <c r="BA215" s="37"/>
      <c r="BB215" s="37"/>
      <c r="BC215" s="37"/>
      <c r="BD215" s="42"/>
      <c r="BE215" s="41"/>
      <c r="BF215" s="41"/>
      <c r="BG215" s="41"/>
      <c r="BH215" s="41"/>
      <c r="BI215" s="41"/>
      <c r="BJ215" s="41"/>
      <c r="BK215" s="41"/>
      <c r="BL215" s="41"/>
      <c r="BM215" s="41"/>
      <c r="BN215" s="41"/>
    </row>
    <row r="216" spans="1:66" s="5" customFormat="1" hidden="1" x14ac:dyDescent="0.25">
      <c r="A216" s="7"/>
      <c r="B216" s="5" t="str">
        <f t="array" ref="B216">IFERROR(INDEX(DemandSupply,MATCH(INDEX($R$1:R216,SMALL(ROW($R$1:R216)+(10000*($R$1:R216="")),COUNTA($R$1:R216))),Sectors,0)),"")</f>
        <v>Demand</v>
      </c>
      <c r="M216" s="7"/>
      <c r="N216" s="76"/>
      <c r="O216" s="77"/>
      <c r="P216" s="77"/>
      <c r="Q216" s="82"/>
      <c r="R216" s="77"/>
      <c r="S216" s="76"/>
      <c r="T216" s="79"/>
      <c r="U216" s="82"/>
      <c r="V216" s="77"/>
      <c r="W216" s="77"/>
      <c r="X216" s="76"/>
      <c r="Y216" s="77"/>
      <c r="Z216" s="77"/>
      <c r="AA216" s="77"/>
      <c r="AB216" s="76"/>
      <c r="AC216" s="77"/>
      <c r="AD216" s="76"/>
      <c r="AE216" s="77"/>
      <c r="AF216" s="76"/>
      <c r="AG216" s="77"/>
      <c r="AH216" s="76"/>
      <c r="AI216" s="7"/>
      <c r="AJ216" s="27" t="str">
        <f t="shared" si="24"/>
        <v/>
      </c>
      <c r="AK216" s="3" t="s">
        <v>67</v>
      </c>
      <c r="AL216" s="3"/>
      <c r="AM216" s="3" t="s">
        <v>118</v>
      </c>
      <c r="AN216" s="89" t="s">
        <v>154</v>
      </c>
      <c r="AO216" s="90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7"/>
      <c r="BA216" s="37"/>
      <c r="BB216" s="37"/>
      <c r="BC216" s="37"/>
      <c r="BD216" s="42"/>
      <c r="BE216" s="41"/>
      <c r="BF216" s="41"/>
      <c r="BG216" s="41"/>
      <c r="BH216" s="41"/>
      <c r="BI216" s="41"/>
      <c r="BJ216" s="41"/>
      <c r="BK216" s="41"/>
      <c r="BL216" s="41"/>
      <c r="BM216" s="41"/>
      <c r="BN216" s="41"/>
    </row>
    <row r="217" spans="1:66" s="5" customFormat="1" hidden="1" x14ac:dyDescent="0.25">
      <c r="A217" s="7"/>
      <c r="B217" s="5" t="str">
        <f t="array" ref="B217">IFERROR(INDEX(DemandSupply,MATCH(INDEX($R$1:R217,SMALL(ROW($R$1:R217)+(10000*($R$1:R217="")),COUNTA($R$1:R217))),Sectors,0)),"")</f>
        <v>Demand</v>
      </c>
      <c r="M217" s="7"/>
      <c r="N217" s="76"/>
      <c r="O217" s="77"/>
      <c r="P217" s="77"/>
      <c r="Q217" s="82"/>
      <c r="R217" s="77"/>
      <c r="S217" s="76"/>
      <c r="T217" s="79"/>
      <c r="U217" s="82"/>
      <c r="V217" s="77"/>
      <c r="W217" s="77"/>
      <c r="X217" s="76"/>
      <c r="Y217" s="77"/>
      <c r="Z217" s="77"/>
      <c r="AA217" s="77"/>
      <c r="AB217" s="76"/>
      <c r="AC217" s="77"/>
      <c r="AD217" s="76"/>
      <c r="AE217" s="77"/>
      <c r="AF217" s="76"/>
      <c r="AG217" s="77"/>
      <c r="AH217" s="76"/>
      <c r="AI217" s="7"/>
      <c r="AJ217" s="27" t="str">
        <f t="shared" si="24"/>
        <v/>
      </c>
      <c r="AK217" s="3" t="s">
        <v>38</v>
      </c>
      <c r="AL217" s="3"/>
      <c r="AM217" s="3" t="s">
        <v>17</v>
      </c>
      <c r="AN217" s="89" t="s">
        <v>154</v>
      </c>
      <c r="AO217" s="90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7"/>
      <c r="BA217" s="37"/>
      <c r="BB217" s="37"/>
      <c r="BC217" s="37"/>
      <c r="BD217" s="42"/>
      <c r="BE217" s="41"/>
      <c r="BF217" s="41"/>
      <c r="BG217" s="41"/>
      <c r="BH217" s="41"/>
      <c r="BI217" s="41"/>
      <c r="BJ217" s="41"/>
      <c r="BK217" s="41"/>
      <c r="BL217" s="41"/>
      <c r="BM217" s="41"/>
      <c r="BN217" s="41"/>
    </row>
    <row r="218" spans="1:66" s="5" customFormat="1" hidden="1" x14ac:dyDescent="0.25">
      <c r="A218" s="7"/>
      <c r="B218" s="5" t="str">
        <f t="array" ref="B218">IFERROR(INDEX(DemandSupply,MATCH(INDEX($R$1:R218,SMALL(ROW($R$1:R218)+(10000*($R$1:R218="")),COUNTA($R$1:R218))),Sectors,0)),"")</f>
        <v>Demand</v>
      </c>
      <c r="M218" s="7"/>
      <c r="N218" s="76"/>
      <c r="O218" s="77"/>
      <c r="P218" s="77"/>
      <c r="Q218" s="82"/>
      <c r="R218" s="77"/>
      <c r="S218" s="76"/>
      <c r="T218" s="79"/>
      <c r="U218" s="82"/>
      <c r="V218" s="77"/>
      <c r="W218" s="77"/>
      <c r="X218" s="76"/>
      <c r="Y218" s="77"/>
      <c r="Z218" s="77"/>
      <c r="AA218" s="77"/>
      <c r="AB218" s="76"/>
      <c r="AC218" s="77"/>
      <c r="AD218" s="76"/>
      <c r="AE218" s="77"/>
      <c r="AF218" s="76"/>
      <c r="AG218" s="77"/>
      <c r="AH218" s="76"/>
      <c r="AI218" s="7"/>
      <c r="AJ218" s="27" t="str">
        <f t="shared" si="24"/>
        <v/>
      </c>
      <c r="AK218" s="3" t="s">
        <v>44</v>
      </c>
      <c r="AL218" s="3"/>
      <c r="AM218" s="3" t="s">
        <v>17</v>
      </c>
      <c r="AN218" s="89" t="s">
        <v>154</v>
      </c>
      <c r="AO218" s="90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7"/>
      <c r="BA218" s="37"/>
      <c r="BB218" s="37"/>
      <c r="BC218" s="37"/>
      <c r="BD218" s="42"/>
      <c r="BE218" s="41"/>
      <c r="BF218" s="41"/>
      <c r="BG218" s="41"/>
      <c r="BH218" s="41"/>
      <c r="BI218" s="41"/>
      <c r="BJ218" s="41"/>
      <c r="BK218" s="41"/>
      <c r="BL218" s="41"/>
      <c r="BM218" s="41"/>
      <c r="BN218" s="41"/>
    </row>
    <row r="219" spans="1:66" s="5" customFormat="1" hidden="1" x14ac:dyDescent="0.25">
      <c r="A219" s="7"/>
      <c r="B219" s="5" t="str">
        <f t="array" ref="B219">IFERROR(INDEX(DemandSupply,MATCH(INDEX($R$1:R219,SMALL(ROW($R$1:R219)+(10000*($R$1:R219="")),COUNTA($R$1:R219))),Sectors,0)),"")</f>
        <v>Demand</v>
      </c>
      <c r="M219" s="7"/>
      <c r="N219" s="76"/>
      <c r="O219" s="77"/>
      <c r="P219" s="77"/>
      <c r="Q219" s="82"/>
      <c r="R219" s="77"/>
      <c r="S219" s="76"/>
      <c r="T219" s="79"/>
      <c r="U219" s="82"/>
      <c r="V219" s="77"/>
      <c r="W219" s="77"/>
      <c r="X219" s="76"/>
      <c r="Y219" s="77"/>
      <c r="Z219" s="77"/>
      <c r="AA219" s="77"/>
      <c r="AB219" s="76"/>
      <c r="AC219" s="77"/>
      <c r="AD219" s="76"/>
      <c r="AE219" s="77"/>
      <c r="AF219" s="76"/>
      <c r="AG219" s="77"/>
      <c r="AH219" s="76"/>
      <c r="AI219" s="7"/>
      <c r="AJ219" s="27" t="str">
        <f t="shared" si="24"/>
        <v/>
      </c>
      <c r="AK219" s="3" t="s">
        <v>51</v>
      </c>
      <c r="AL219" s="3"/>
      <c r="AM219" s="3" t="s">
        <v>17</v>
      </c>
      <c r="AN219" s="89" t="s">
        <v>154</v>
      </c>
      <c r="AO219" s="90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7"/>
      <c r="BA219" s="37"/>
      <c r="BB219" s="37"/>
      <c r="BC219" s="37"/>
      <c r="BD219" s="42"/>
      <c r="BE219" s="41"/>
      <c r="BF219" s="41"/>
      <c r="BG219" s="41"/>
      <c r="BH219" s="41"/>
      <c r="BI219" s="41"/>
      <c r="BJ219" s="41"/>
      <c r="BK219" s="41"/>
      <c r="BL219" s="41"/>
      <c r="BM219" s="41"/>
      <c r="BN219" s="41"/>
    </row>
    <row r="220" spans="1:66" s="5" customFormat="1" hidden="1" x14ac:dyDescent="0.25">
      <c r="A220" s="7"/>
      <c r="B220" s="5" t="str">
        <f t="array" ref="B220">IFERROR(INDEX(DemandSupply,MATCH(INDEX($R$1:R220,SMALL(ROW($R$1:R220)+(10000*($R$1:R220="")),COUNTA($R$1:R220))),Sectors,0)),"")</f>
        <v>Demand</v>
      </c>
      <c r="M220" s="7"/>
      <c r="N220" s="76"/>
      <c r="O220" s="77"/>
      <c r="P220" s="77"/>
      <c r="Q220" s="82"/>
      <c r="R220" s="77"/>
      <c r="S220" s="76"/>
      <c r="T220" s="79"/>
      <c r="U220" s="82"/>
      <c r="V220" s="77"/>
      <c r="W220" s="77"/>
      <c r="X220" s="76"/>
      <c r="Y220" s="77"/>
      <c r="Z220" s="77"/>
      <c r="AA220" s="77"/>
      <c r="AB220" s="76"/>
      <c r="AC220" s="77"/>
      <c r="AD220" s="76"/>
      <c r="AE220" s="77"/>
      <c r="AF220" s="76"/>
      <c r="AG220" s="77"/>
      <c r="AH220" s="76"/>
      <c r="AI220" s="7"/>
      <c r="AJ220" s="27" t="str">
        <f t="shared" si="24"/>
        <v/>
      </c>
      <c r="AK220" s="3" t="s">
        <v>95</v>
      </c>
      <c r="AL220" s="3"/>
      <c r="AM220" s="3" t="s">
        <v>17</v>
      </c>
      <c r="AN220" s="89" t="s">
        <v>154</v>
      </c>
      <c r="AO220" s="91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7"/>
      <c r="BA220" s="37"/>
      <c r="BB220" s="37"/>
      <c r="BC220" s="37"/>
      <c r="BD220" s="42"/>
      <c r="BE220" s="41"/>
      <c r="BF220" s="41"/>
      <c r="BG220" s="41"/>
      <c r="BH220" s="41"/>
      <c r="BI220" s="41"/>
      <c r="BJ220" s="41"/>
      <c r="BK220" s="41"/>
      <c r="BL220" s="41"/>
      <c r="BM220" s="41"/>
      <c r="BN220" s="41"/>
    </row>
    <row r="221" spans="1:66" s="5" customFormat="1" hidden="1" x14ac:dyDescent="0.25">
      <c r="A221" s="7"/>
      <c r="B221" s="5" t="str">
        <f t="array" ref="B221">IFERROR(INDEX(DemandSupply,MATCH(INDEX($R$1:R221,SMALL(ROW($R$1:R221)+(10000*($R$1:R221="")),COUNTA($R$1:R221))),Sectors,0)),"")</f>
        <v>Demand</v>
      </c>
      <c r="M221" s="7"/>
      <c r="N221" s="76"/>
      <c r="O221" s="77"/>
      <c r="P221" s="77"/>
      <c r="Q221" s="82"/>
      <c r="R221" s="77"/>
      <c r="S221" s="76"/>
      <c r="T221" s="79"/>
      <c r="U221" s="82"/>
      <c r="V221" s="77"/>
      <c r="W221" s="77"/>
      <c r="X221" s="76"/>
      <c r="Y221" s="77"/>
      <c r="Z221" s="77"/>
      <c r="AA221" s="77"/>
      <c r="AB221" s="76"/>
      <c r="AC221" s="77"/>
      <c r="AD221" s="76"/>
      <c r="AE221" s="77"/>
      <c r="AF221" s="76"/>
      <c r="AG221" s="77"/>
      <c r="AH221" s="76"/>
      <c r="AI221" s="7"/>
      <c r="AJ221" s="27" t="str">
        <f t="shared" si="24"/>
        <v/>
      </c>
      <c r="AK221" s="3" t="s">
        <v>146</v>
      </c>
      <c r="AL221" s="3" t="s">
        <v>162</v>
      </c>
      <c r="AM221" s="3"/>
      <c r="AN221" s="89" t="s">
        <v>154</v>
      </c>
      <c r="AO221" s="91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7"/>
      <c r="BA221" s="37"/>
      <c r="BB221" s="37"/>
      <c r="BC221" s="37"/>
      <c r="BD221" s="42"/>
      <c r="BE221" s="41"/>
      <c r="BF221" s="41"/>
      <c r="BG221" s="41"/>
      <c r="BH221" s="41"/>
      <c r="BI221" s="41"/>
      <c r="BJ221" s="41"/>
      <c r="BK221" s="41"/>
      <c r="BL221" s="41"/>
      <c r="BM221" s="41"/>
      <c r="BN221" s="41"/>
    </row>
    <row r="222" spans="1:66" s="5" customFormat="1" hidden="1" x14ac:dyDescent="0.25">
      <c r="A222" s="7"/>
      <c r="B222" s="5" t="str">
        <f t="array" ref="B222">IFERROR(INDEX(DemandSupply,MATCH(INDEX($R$1:R222,SMALL(ROW($R$1:R222)+(10000*($R$1:R222="")),COUNTA($R$1:R222))),Sectors,0)),"")</f>
        <v>Demand</v>
      </c>
      <c r="M222" s="7"/>
      <c r="N222" s="76"/>
      <c r="O222" s="77"/>
      <c r="P222" s="77"/>
      <c r="Q222" s="82"/>
      <c r="R222" s="77"/>
      <c r="S222" s="76"/>
      <c r="T222" s="79"/>
      <c r="U222" s="82"/>
      <c r="V222" s="77"/>
      <c r="W222" s="77"/>
      <c r="X222" s="76"/>
      <c r="Y222" s="77"/>
      <c r="Z222" s="77"/>
      <c r="AA222" s="77"/>
      <c r="AB222" s="76"/>
      <c r="AC222" s="77"/>
      <c r="AD222" s="76"/>
      <c r="AE222" s="77"/>
      <c r="AF222" s="76"/>
      <c r="AG222" s="77"/>
      <c r="AH222" s="76"/>
      <c r="AI222" s="7"/>
      <c r="AJ222" s="27" t="str">
        <f t="shared" si="24"/>
        <v/>
      </c>
      <c r="AK222" s="3" t="s">
        <v>47</v>
      </c>
      <c r="AL222" s="3"/>
      <c r="AM222" s="3" t="s">
        <v>118</v>
      </c>
      <c r="AN222" s="89" t="s">
        <v>154</v>
      </c>
      <c r="AO222" s="90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7"/>
      <c r="BA222" s="37"/>
      <c r="BB222" s="37"/>
      <c r="BC222" s="37"/>
      <c r="BD222" s="42"/>
      <c r="BE222" s="41"/>
      <c r="BF222" s="41"/>
      <c r="BG222" s="41"/>
      <c r="BH222" s="41"/>
      <c r="BI222" s="41"/>
      <c r="BJ222" s="41"/>
      <c r="BK222" s="41"/>
      <c r="BL222" s="41"/>
      <c r="BM222" s="41"/>
      <c r="BN222" s="41"/>
    </row>
    <row r="223" spans="1:66" s="5" customFormat="1" hidden="1" x14ac:dyDescent="0.25">
      <c r="A223" s="7"/>
      <c r="B223" s="5" t="str">
        <f t="array" ref="B223">IFERROR(INDEX(DemandSupply,MATCH(INDEX($R$1:R223,SMALL(ROW($R$1:R223)+(10000*($R$1:R223="")),COUNTA($R$1:R223))),Sectors,0)),"")</f>
        <v>Demand</v>
      </c>
      <c r="M223" s="7"/>
      <c r="N223" s="76"/>
      <c r="O223" s="77"/>
      <c r="P223" s="77"/>
      <c r="Q223" s="82"/>
      <c r="R223" s="77"/>
      <c r="S223" s="76"/>
      <c r="T223" s="79"/>
      <c r="U223" s="82"/>
      <c r="V223" s="77"/>
      <c r="W223" s="77"/>
      <c r="X223" s="76"/>
      <c r="Y223" s="77"/>
      <c r="Z223" s="77"/>
      <c r="AA223" s="77"/>
      <c r="AB223" s="76"/>
      <c r="AC223" s="77"/>
      <c r="AD223" s="76"/>
      <c r="AE223" s="77"/>
      <c r="AF223" s="76"/>
      <c r="AG223" s="77"/>
      <c r="AH223" s="76"/>
      <c r="AI223" s="7"/>
      <c r="AJ223" s="27" t="str">
        <f t="shared" si="24"/>
        <v/>
      </c>
      <c r="AK223" s="3" t="s">
        <v>48</v>
      </c>
      <c r="AL223" s="3"/>
      <c r="AM223" s="3" t="s">
        <v>118</v>
      </c>
      <c r="AN223" s="89" t="s">
        <v>154</v>
      </c>
      <c r="AO223" s="90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7"/>
      <c r="BA223" s="37"/>
      <c r="BB223" s="37"/>
      <c r="BC223" s="37"/>
      <c r="BD223" s="42"/>
      <c r="BE223" s="41"/>
      <c r="BF223" s="41"/>
      <c r="BG223" s="41"/>
      <c r="BH223" s="41"/>
      <c r="BI223" s="41"/>
      <c r="BJ223" s="41"/>
      <c r="BK223" s="41"/>
      <c r="BL223" s="41"/>
      <c r="BM223" s="41"/>
      <c r="BN223" s="41"/>
    </row>
    <row r="224" spans="1:66" s="5" customFormat="1" hidden="1" x14ac:dyDescent="0.25">
      <c r="A224" s="7"/>
      <c r="B224" s="5" t="str">
        <f t="array" ref="B224">IFERROR(INDEX(DemandSupply,MATCH(INDEX($R$1:R224,SMALL(ROW($R$1:R224)+(10000*($R$1:R224="")),COUNTA($R$1:R224))),Sectors,0)),"")</f>
        <v>Demand</v>
      </c>
      <c r="M224" s="7"/>
      <c r="N224" s="76"/>
      <c r="O224" s="77"/>
      <c r="P224" s="77"/>
      <c r="Q224" s="82"/>
      <c r="R224" s="77"/>
      <c r="S224" s="76"/>
      <c r="T224" s="79"/>
      <c r="U224" s="82"/>
      <c r="V224" s="77"/>
      <c r="W224" s="77"/>
      <c r="X224" s="76"/>
      <c r="Y224" s="77"/>
      <c r="Z224" s="77"/>
      <c r="AA224" s="77"/>
      <c r="AB224" s="76"/>
      <c r="AC224" s="77"/>
      <c r="AD224" s="76"/>
      <c r="AE224" s="77"/>
      <c r="AF224" s="76"/>
      <c r="AG224" s="77"/>
      <c r="AH224" s="76"/>
      <c r="AI224" s="7"/>
      <c r="AJ224" s="27" t="str">
        <f t="shared" si="24"/>
        <v/>
      </c>
      <c r="AK224" s="3" t="s">
        <v>94</v>
      </c>
      <c r="AL224" s="3"/>
      <c r="AM224" s="3" t="s">
        <v>57</v>
      </c>
      <c r="AN224" s="89" t="s">
        <v>154</v>
      </c>
      <c r="AO224" s="90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7"/>
      <c r="BA224" s="37"/>
      <c r="BB224" s="37"/>
      <c r="BC224" s="37"/>
      <c r="BD224" s="42"/>
      <c r="BE224" s="41"/>
      <c r="BF224" s="41"/>
      <c r="BG224" s="41"/>
      <c r="BH224" s="41"/>
      <c r="BI224" s="41"/>
      <c r="BJ224" s="41"/>
      <c r="BK224" s="41"/>
      <c r="BL224" s="41"/>
      <c r="BM224" s="41"/>
      <c r="BN224" s="41"/>
    </row>
    <row r="225" spans="1:66" s="5" customFormat="1" hidden="1" x14ac:dyDescent="0.25">
      <c r="A225" s="7"/>
      <c r="B225" s="5" t="str">
        <f t="array" ref="B225">IFERROR(INDEX(DemandSupply,MATCH(INDEX($R$1:R225,SMALL(ROW($R$1:R225)+(10000*($R$1:R225="")),COUNTA($R$1:R225))),Sectors,0)),"")</f>
        <v>Demand</v>
      </c>
      <c r="M225" s="7"/>
      <c r="N225" s="76"/>
      <c r="O225" s="77"/>
      <c r="P225" s="77"/>
      <c r="Q225" s="82"/>
      <c r="R225" s="77"/>
      <c r="S225" s="76"/>
      <c r="T225" s="79"/>
      <c r="U225" s="82"/>
      <c r="V225" s="77"/>
      <c r="W225" s="77"/>
      <c r="X225" s="76"/>
      <c r="Y225" s="77"/>
      <c r="Z225" s="77"/>
      <c r="AA225" s="77"/>
      <c r="AB225" s="76"/>
      <c r="AC225" s="77"/>
      <c r="AD225" s="76"/>
      <c r="AE225" s="77"/>
      <c r="AF225" s="76"/>
      <c r="AG225" s="77"/>
      <c r="AH225" s="76"/>
      <c r="AI225" s="7"/>
      <c r="AJ225" s="27" t="str">
        <f t="shared" si="24"/>
        <v/>
      </c>
      <c r="AK225" s="3" t="s">
        <v>91</v>
      </c>
      <c r="AL225" s="3"/>
      <c r="AM225" s="3" t="s">
        <v>118</v>
      </c>
      <c r="AN225" s="89" t="s">
        <v>154</v>
      </c>
      <c r="AO225" s="92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7"/>
      <c r="BA225" s="37"/>
      <c r="BB225" s="37"/>
      <c r="BC225" s="37"/>
      <c r="BD225" s="42"/>
      <c r="BE225" s="41"/>
      <c r="BF225" s="41"/>
      <c r="BG225" s="41"/>
      <c r="BH225" s="41"/>
      <c r="BI225" s="41"/>
      <c r="BJ225" s="41"/>
      <c r="BK225" s="41"/>
      <c r="BL225" s="41"/>
      <c r="BM225" s="41"/>
      <c r="BN225" s="41"/>
    </row>
    <row r="226" spans="1:66" s="5" customFormat="1" hidden="1" x14ac:dyDescent="0.25">
      <c r="A226" s="7"/>
      <c r="B226" s="5" t="str">
        <f t="array" ref="B226">IFERROR(INDEX(DemandSupply,MATCH(INDEX($R$1:R226,SMALL(ROW($R$1:R226)+(10000*($R$1:R226="")),COUNTA($R$1:R226))),Sectors,0)),"")</f>
        <v>Demand</v>
      </c>
      <c r="M226" s="7"/>
      <c r="N226" s="76"/>
      <c r="O226" s="77"/>
      <c r="P226" s="77"/>
      <c r="Q226" s="82"/>
      <c r="R226" s="77"/>
      <c r="S226" s="76"/>
      <c r="T226" s="79"/>
      <c r="U226" s="82"/>
      <c r="V226" s="77"/>
      <c r="W226" s="77"/>
      <c r="X226" s="76"/>
      <c r="Y226" s="77"/>
      <c r="Z226" s="77"/>
      <c r="AA226" s="77"/>
      <c r="AB226" s="76"/>
      <c r="AC226" s="77"/>
      <c r="AD226" s="76"/>
      <c r="AE226" s="77"/>
      <c r="AF226" s="76"/>
      <c r="AG226" s="77"/>
      <c r="AH226" s="76"/>
      <c r="AI226" s="7"/>
      <c r="AJ226" s="27" t="str">
        <f t="shared" si="24"/>
        <v/>
      </c>
      <c r="AK226" s="3" t="s">
        <v>63</v>
      </c>
      <c r="AL226" s="3"/>
      <c r="AM226" s="3"/>
      <c r="AN226" s="89" t="s">
        <v>156</v>
      </c>
      <c r="AO226" s="90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7"/>
      <c r="BA226" s="37"/>
      <c r="BB226" s="37"/>
      <c r="BC226" s="37"/>
      <c r="BD226" s="42"/>
      <c r="BE226" s="41"/>
      <c r="BF226" s="41"/>
      <c r="BG226" s="41"/>
      <c r="BH226" s="41"/>
      <c r="BI226" s="41"/>
      <c r="BJ226" s="41"/>
      <c r="BK226" s="41"/>
      <c r="BL226" s="41"/>
      <c r="BM226" s="41"/>
      <c r="BN226" s="41"/>
    </row>
    <row r="227" spans="1:66" s="5" customFormat="1" hidden="1" x14ac:dyDescent="0.25">
      <c r="A227" s="7"/>
      <c r="B227" s="5" t="str">
        <f t="array" ref="B227">IFERROR(INDEX(DemandSupply,MATCH(INDEX($R$1:R227,SMALL(ROW($R$1:R227)+(10000*($R$1:R227="")),COUNTA($R$1:R227))),Sectors,0)),"")</f>
        <v>Demand</v>
      </c>
      <c r="M227" s="7"/>
      <c r="N227" s="76"/>
      <c r="O227" s="77"/>
      <c r="P227" s="77"/>
      <c r="Q227" s="82"/>
      <c r="R227" s="77"/>
      <c r="S227" s="76"/>
      <c r="T227" s="79"/>
      <c r="U227" s="82"/>
      <c r="V227" s="77"/>
      <c r="W227" s="77"/>
      <c r="X227" s="76"/>
      <c r="Y227" s="77"/>
      <c r="Z227" s="77"/>
      <c r="AA227" s="77"/>
      <c r="AB227" s="76"/>
      <c r="AC227" s="77"/>
      <c r="AD227" s="76"/>
      <c r="AE227" s="77"/>
      <c r="AF227" s="76"/>
      <c r="AG227" s="77"/>
      <c r="AH227" s="76"/>
      <c r="AI227" s="7"/>
      <c r="AJ227" s="27" t="str">
        <f t="shared" si="24"/>
        <v/>
      </c>
      <c r="AK227" s="3" t="s">
        <v>41</v>
      </c>
      <c r="AL227" s="3"/>
      <c r="AM227" s="3" t="s">
        <v>43</v>
      </c>
      <c r="AN227" s="89" t="s">
        <v>156</v>
      </c>
      <c r="AO227" s="90">
        <v>1990</v>
      </c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7"/>
      <c r="BA227" s="37"/>
      <c r="BB227" s="37"/>
      <c r="BC227" s="37"/>
      <c r="BD227" s="42"/>
      <c r="BE227" s="41"/>
      <c r="BF227" s="41"/>
      <c r="BG227" s="41"/>
      <c r="BH227" s="41"/>
      <c r="BI227" s="41"/>
      <c r="BJ227" s="41"/>
      <c r="BK227" s="41"/>
      <c r="BL227" s="41"/>
      <c r="BM227" s="41"/>
      <c r="BN227" s="41"/>
    </row>
    <row r="228" spans="1:66" s="5" customFormat="1" hidden="1" x14ac:dyDescent="0.25">
      <c r="A228" s="7"/>
      <c r="B228" s="5" t="str">
        <f t="array" ref="B228">IFERROR(INDEX(DemandSupply,MATCH(INDEX($R$1:R228,SMALL(ROW($R$1:R228)+(10000*($R$1:R228="")),COUNTA($R$1:R228))),Sectors,0)),"")</f>
        <v>Demand</v>
      </c>
      <c r="M228" s="7"/>
      <c r="N228" s="76"/>
      <c r="O228" s="77"/>
      <c r="P228" s="77"/>
      <c r="Q228" s="82"/>
      <c r="R228" s="77"/>
      <c r="S228" s="76"/>
      <c r="T228" s="79"/>
      <c r="U228" s="82"/>
      <c r="V228" s="77"/>
      <c r="W228" s="77"/>
      <c r="X228" s="76"/>
      <c r="Y228" s="77"/>
      <c r="Z228" s="77"/>
      <c r="AA228" s="77"/>
      <c r="AB228" s="76"/>
      <c r="AC228" s="77"/>
      <c r="AD228" s="76"/>
      <c r="AE228" s="77"/>
      <c r="AF228" s="76"/>
      <c r="AG228" s="77"/>
      <c r="AH228" s="76"/>
      <c r="AI228" s="7"/>
      <c r="AJ228" s="27" t="str">
        <f t="shared" si="24"/>
        <v/>
      </c>
      <c r="AK228" s="3" t="s">
        <v>40</v>
      </c>
      <c r="AL228" s="3"/>
      <c r="AM228" s="3" t="s">
        <v>43</v>
      </c>
      <c r="AN228" s="89" t="s">
        <v>156</v>
      </c>
      <c r="AO228" s="90">
        <v>2000</v>
      </c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7"/>
      <c r="BA228" s="37"/>
      <c r="BB228" s="37"/>
      <c r="BC228" s="37"/>
      <c r="BD228" s="42"/>
      <c r="BE228" s="41"/>
      <c r="BF228" s="41"/>
      <c r="BG228" s="41"/>
      <c r="BH228" s="41"/>
      <c r="BI228" s="41"/>
      <c r="BJ228" s="41"/>
      <c r="BK228" s="41"/>
      <c r="BL228" s="41"/>
      <c r="BM228" s="41"/>
      <c r="BN228" s="41"/>
    </row>
    <row r="229" spans="1:66" s="5" customFormat="1" hidden="1" x14ac:dyDescent="0.25">
      <c r="A229" s="7"/>
      <c r="B229" s="5" t="str">
        <f t="array" ref="B229">IFERROR(INDEX(DemandSupply,MATCH(INDEX($R$1:R229,SMALL(ROW($R$1:R229)+(10000*($R$1:R229="")),COUNTA($R$1:R229))),Sectors,0)),"")</f>
        <v>Demand</v>
      </c>
      <c r="M229" s="7"/>
      <c r="N229" s="76"/>
      <c r="O229" s="77"/>
      <c r="P229" s="77"/>
      <c r="Q229" s="82"/>
      <c r="R229" s="77"/>
      <c r="S229" s="76"/>
      <c r="T229" s="79"/>
      <c r="U229" s="82"/>
      <c r="V229" s="77"/>
      <c r="W229" s="77"/>
      <c r="X229" s="76"/>
      <c r="Y229" s="77"/>
      <c r="Z229" s="77"/>
      <c r="AA229" s="77"/>
      <c r="AB229" s="76"/>
      <c r="AC229" s="77"/>
      <c r="AD229" s="76"/>
      <c r="AE229" s="77"/>
      <c r="AF229" s="76"/>
      <c r="AG229" s="77"/>
      <c r="AH229" s="76"/>
      <c r="AI229" s="7"/>
      <c r="AJ229" s="27" t="str">
        <f t="shared" si="24"/>
        <v/>
      </c>
      <c r="AK229" s="3" t="s">
        <v>42</v>
      </c>
      <c r="AL229" s="3"/>
      <c r="AM229" s="3" t="s">
        <v>10</v>
      </c>
      <c r="AN229" s="89" t="s">
        <v>156</v>
      </c>
      <c r="AO229" s="90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7"/>
      <c r="BA229" s="37"/>
      <c r="BB229" s="37"/>
      <c r="BC229" s="37"/>
      <c r="BD229" s="42"/>
      <c r="BE229" s="41"/>
      <c r="BF229" s="41"/>
      <c r="BG229" s="41"/>
      <c r="BH229" s="41"/>
      <c r="BI229" s="41"/>
      <c r="BJ229" s="41"/>
      <c r="BK229" s="41"/>
      <c r="BL229" s="41"/>
      <c r="BM229" s="41"/>
      <c r="BN229" s="41"/>
    </row>
    <row r="230" spans="1:66" s="5" customFormat="1" hidden="1" x14ac:dyDescent="0.25">
      <c r="A230" s="7"/>
      <c r="B230" s="5" t="str">
        <f t="array" ref="B230">IFERROR(INDEX(DemandSupply,MATCH(INDEX($R$1:R230,SMALL(ROW($R$1:R230)+(10000*($R$1:R230="")),COUNTA($R$1:R230))),Sectors,0)),"")</f>
        <v>Demand</v>
      </c>
      <c r="M230" s="7"/>
      <c r="N230" s="76"/>
      <c r="O230" s="77"/>
      <c r="P230" s="77"/>
      <c r="Q230" s="82"/>
      <c r="R230" s="77"/>
      <c r="S230" s="76"/>
      <c r="T230" s="79"/>
      <c r="U230" s="82"/>
      <c r="V230" s="77"/>
      <c r="W230" s="77"/>
      <c r="X230" s="76"/>
      <c r="Y230" s="77"/>
      <c r="Z230" s="77"/>
      <c r="AA230" s="77"/>
      <c r="AB230" s="76"/>
      <c r="AC230" s="77"/>
      <c r="AD230" s="76"/>
      <c r="AE230" s="77"/>
      <c r="AF230" s="76"/>
      <c r="AG230" s="77"/>
      <c r="AH230" s="76"/>
      <c r="AI230" s="7"/>
      <c r="AJ230" s="27" t="str">
        <f t="shared" si="24"/>
        <v/>
      </c>
      <c r="AK230" s="3" t="s">
        <v>67</v>
      </c>
      <c r="AL230" s="3"/>
      <c r="AM230" s="3" t="s">
        <v>118</v>
      </c>
      <c r="AN230" s="89" t="s">
        <v>156</v>
      </c>
      <c r="AO230" s="90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7"/>
      <c r="BA230" s="37"/>
      <c r="BB230" s="37"/>
      <c r="BC230" s="37"/>
      <c r="BD230" s="42"/>
      <c r="BE230" s="41"/>
      <c r="BF230" s="41"/>
      <c r="BG230" s="41"/>
      <c r="BH230" s="41"/>
      <c r="BI230" s="41"/>
      <c r="BJ230" s="41"/>
      <c r="BK230" s="41"/>
      <c r="BL230" s="41"/>
      <c r="BM230" s="41"/>
      <c r="BN230" s="41"/>
    </row>
    <row r="231" spans="1:66" s="5" customFormat="1" hidden="1" x14ac:dyDescent="0.25">
      <c r="A231" s="7"/>
      <c r="B231" s="5" t="str">
        <f t="array" ref="B231">IFERROR(INDEX(DemandSupply,MATCH(INDEX($R$1:R231,SMALL(ROW($R$1:R231)+(10000*($R$1:R231="")),COUNTA($R$1:R231))),Sectors,0)),"")</f>
        <v>Demand</v>
      </c>
      <c r="M231" s="7"/>
      <c r="N231" s="76"/>
      <c r="O231" s="77"/>
      <c r="P231" s="77"/>
      <c r="Q231" s="82"/>
      <c r="R231" s="77"/>
      <c r="S231" s="76"/>
      <c r="T231" s="79"/>
      <c r="U231" s="82"/>
      <c r="V231" s="77"/>
      <c r="W231" s="77"/>
      <c r="X231" s="76"/>
      <c r="Y231" s="77"/>
      <c r="Z231" s="77"/>
      <c r="AA231" s="77"/>
      <c r="AB231" s="76"/>
      <c r="AC231" s="77"/>
      <c r="AD231" s="76"/>
      <c r="AE231" s="77"/>
      <c r="AF231" s="76"/>
      <c r="AG231" s="77"/>
      <c r="AH231" s="76"/>
      <c r="AI231" s="7"/>
      <c r="AJ231" s="27" t="str">
        <f t="shared" si="24"/>
        <v/>
      </c>
      <c r="AK231" s="3" t="s">
        <v>38</v>
      </c>
      <c r="AL231" s="3"/>
      <c r="AM231" s="3" t="s">
        <v>17</v>
      </c>
      <c r="AN231" s="89" t="s">
        <v>156</v>
      </c>
      <c r="AO231" s="90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7"/>
      <c r="BA231" s="37"/>
      <c r="BB231" s="37"/>
      <c r="BC231" s="37"/>
      <c r="BD231" s="42"/>
      <c r="BE231" s="41"/>
      <c r="BF231" s="41"/>
      <c r="BG231" s="41"/>
      <c r="BH231" s="41"/>
      <c r="BI231" s="41"/>
      <c r="BJ231" s="41"/>
      <c r="BK231" s="41"/>
      <c r="BL231" s="41"/>
      <c r="BM231" s="41"/>
      <c r="BN231" s="41"/>
    </row>
    <row r="232" spans="1:66" s="5" customFormat="1" hidden="1" x14ac:dyDescent="0.25">
      <c r="A232" s="7"/>
      <c r="B232" s="5" t="str">
        <f t="array" ref="B232">IFERROR(INDEX(DemandSupply,MATCH(INDEX($R$1:R232,SMALL(ROW($R$1:R232)+(10000*($R$1:R232="")),COUNTA($R$1:R232))),Sectors,0)),"")</f>
        <v>Demand</v>
      </c>
      <c r="M232" s="7"/>
      <c r="N232" s="76"/>
      <c r="O232" s="77"/>
      <c r="P232" s="77"/>
      <c r="Q232" s="82"/>
      <c r="R232" s="77"/>
      <c r="S232" s="76"/>
      <c r="T232" s="79"/>
      <c r="U232" s="82"/>
      <c r="V232" s="77"/>
      <c r="W232" s="77"/>
      <c r="X232" s="76"/>
      <c r="Y232" s="77"/>
      <c r="Z232" s="77"/>
      <c r="AA232" s="77"/>
      <c r="AB232" s="76"/>
      <c r="AC232" s="77"/>
      <c r="AD232" s="76"/>
      <c r="AE232" s="77"/>
      <c r="AF232" s="76"/>
      <c r="AG232" s="77"/>
      <c r="AH232" s="76"/>
      <c r="AI232" s="7"/>
      <c r="AJ232" s="27" t="str">
        <f t="shared" si="24"/>
        <v/>
      </c>
      <c r="AK232" s="3" t="s">
        <v>44</v>
      </c>
      <c r="AL232" s="3"/>
      <c r="AM232" s="3" t="s">
        <v>17</v>
      </c>
      <c r="AN232" s="89" t="s">
        <v>156</v>
      </c>
      <c r="AO232" s="90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7"/>
      <c r="BA232" s="37"/>
      <c r="BB232" s="37"/>
      <c r="BC232" s="37"/>
      <c r="BD232" s="42"/>
      <c r="BE232" s="41"/>
      <c r="BF232" s="41"/>
      <c r="BG232" s="41"/>
      <c r="BH232" s="41"/>
      <c r="BI232" s="41"/>
      <c r="BJ232" s="41"/>
      <c r="BK232" s="41"/>
      <c r="BL232" s="41"/>
      <c r="BM232" s="41"/>
      <c r="BN232" s="41"/>
    </row>
    <row r="233" spans="1:66" s="5" customFormat="1" hidden="1" x14ac:dyDescent="0.25">
      <c r="A233" s="7"/>
      <c r="B233" s="5" t="str">
        <f t="array" ref="B233">IFERROR(INDEX(DemandSupply,MATCH(INDEX($R$1:R233,SMALL(ROW($R$1:R233)+(10000*($R$1:R233="")),COUNTA($R$1:R233))),Sectors,0)),"")</f>
        <v>Demand</v>
      </c>
      <c r="M233" s="7"/>
      <c r="N233" s="76"/>
      <c r="O233" s="77"/>
      <c r="P233" s="77"/>
      <c r="Q233" s="82"/>
      <c r="R233" s="77"/>
      <c r="S233" s="76"/>
      <c r="T233" s="79"/>
      <c r="U233" s="82"/>
      <c r="V233" s="77"/>
      <c r="W233" s="77"/>
      <c r="X233" s="76"/>
      <c r="Y233" s="77"/>
      <c r="Z233" s="77"/>
      <c r="AA233" s="77"/>
      <c r="AB233" s="76"/>
      <c r="AC233" s="77"/>
      <c r="AD233" s="76"/>
      <c r="AE233" s="77"/>
      <c r="AF233" s="76"/>
      <c r="AG233" s="77"/>
      <c r="AH233" s="76"/>
      <c r="AI233" s="7"/>
      <c r="AJ233" s="27" t="str">
        <f t="shared" si="24"/>
        <v/>
      </c>
      <c r="AK233" s="3" t="s">
        <v>51</v>
      </c>
      <c r="AL233" s="3"/>
      <c r="AM233" s="3" t="s">
        <v>17</v>
      </c>
      <c r="AN233" s="89" t="s">
        <v>156</v>
      </c>
      <c r="AO233" s="90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7"/>
      <c r="BA233" s="37"/>
      <c r="BB233" s="37"/>
      <c r="BC233" s="37"/>
      <c r="BD233" s="42"/>
      <c r="BE233" s="41"/>
      <c r="BF233" s="41"/>
      <c r="BG233" s="41"/>
      <c r="BH233" s="41"/>
      <c r="BI233" s="41"/>
      <c r="BJ233" s="41"/>
      <c r="BK233" s="41"/>
      <c r="BL233" s="41"/>
      <c r="BM233" s="41"/>
      <c r="BN233" s="41"/>
    </row>
    <row r="234" spans="1:66" s="5" customFormat="1" hidden="1" x14ac:dyDescent="0.25">
      <c r="A234" s="7"/>
      <c r="B234" s="5" t="str">
        <f t="array" ref="B234">IFERROR(INDEX(DemandSupply,MATCH(INDEX($R$1:R234,SMALL(ROW($R$1:R234)+(10000*($R$1:R234="")),COUNTA($R$1:R234))),Sectors,0)),"")</f>
        <v>Demand</v>
      </c>
      <c r="M234" s="7"/>
      <c r="N234" s="76"/>
      <c r="O234" s="77"/>
      <c r="P234" s="77"/>
      <c r="Q234" s="82"/>
      <c r="R234" s="77"/>
      <c r="S234" s="76"/>
      <c r="T234" s="79"/>
      <c r="U234" s="82"/>
      <c r="V234" s="77"/>
      <c r="W234" s="77"/>
      <c r="X234" s="76"/>
      <c r="Y234" s="77"/>
      <c r="Z234" s="77"/>
      <c r="AA234" s="77"/>
      <c r="AB234" s="76"/>
      <c r="AC234" s="77"/>
      <c r="AD234" s="76"/>
      <c r="AE234" s="77"/>
      <c r="AF234" s="76"/>
      <c r="AG234" s="77"/>
      <c r="AH234" s="76"/>
      <c r="AI234" s="7"/>
      <c r="AJ234" s="27" t="str">
        <f t="shared" si="24"/>
        <v/>
      </c>
      <c r="AK234" s="3" t="s">
        <v>95</v>
      </c>
      <c r="AL234" s="3"/>
      <c r="AM234" s="3" t="s">
        <v>17</v>
      </c>
      <c r="AN234" s="89" t="s">
        <v>156</v>
      </c>
      <c r="AO234" s="91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7"/>
      <c r="BA234" s="37"/>
      <c r="BB234" s="37"/>
      <c r="BC234" s="37"/>
      <c r="BD234" s="42"/>
      <c r="BE234" s="41"/>
      <c r="BF234" s="41"/>
      <c r="BG234" s="41"/>
      <c r="BH234" s="41"/>
      <c r="BI234" s="41"/>
      <c r="BJ234" s="41"/>
      <c r="BK234" s="41"/>
      <c r="BL234" s="41"/>
      <c r="BM234" s="41"/>
      <c r="BN234" s="41"/>
    </row>
    <row r="235" spans="1:66" s="5" customFormat="1" hidden="1" x14ac:dyDescent="0.25">
      <c r="A235" s="7"/>
      <c r="B235" s="5" t="str">
        <f t="array" ref="B235">IFERROR(INDEX(DemandSupply,MATCH(INDEX($R$1:R235,SMALL(ROW($R$1:R235)+(10000*($R$1:R235="")),COUNTA($R$1:R235))),Sectors,0)),"")</f>
        <v>Demand</v>
      </c>
      <c r="M235" s="7"/>
      <c r="N235" s="76"/>
      <c r="O235" s="77"/>
      <c r="P235" s="77"/>
      <c r="Q235" s="82"/>
      <c r="R235" s="77"/>
      <c r="S235" s="76"/>
      <c r="T235" s="79"/>
      <c r="U235" s="82"/>
      <c r="V235" s="77"/>
      <c r="W235" s="77"/>
      <c r="X235" s="76"/>
      <c r="Y235" s="77"/>
      <c r="Z235" s="77"/>
      <c r="AA235" s="77"/>
      <c r="AB235" s="76"/>
      <c r="AC235" s="77"/>
      <c r="AD235" s="76"/>
      <c r="AE235" s="77"/>
      <c r="AF235" s="76"/>
      <c r="AG235" s="77"/>
      <c r="AH235" s="76"/>
      <c r="AI235" s="7"/>
      <c r="AJ235" s="27" t="str">
        <f t="shared" si="24"/>
        <v/>
      </c>
      <c r="AK235" s="3" t="s">
        <v>146</v>
      </c>
      <c r="AL235" s="3" t="s">
        <v>162</v>
      </c>
      <c r="AM235" s="3"/>
      <c r="AN235" s="89" t="s">
        <v>156</v>
      </c>
      <c r="AO235" s="91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7"/>
      <c r="BA235" s="37"/>
      <c r="BB235" s="37"/>
      <c r="BC235" s="37"/>
      <c r="BD235" s="42"/>
      <c r="BE235" s="41"/>
      <c r="BF235" s="41"/>
      <c r="BG235" s="41"/>
      <c r="BH235" s="41"/>
      <c r="BI235" s="41"/>
      <c r="BJ235" s="41"/>
      <c r="BK235" s="41"/>
      <c r="BL235" s="41"/>
      <c r="BM235" s="41"/>
      <c r="BN235" s="41"/>
    </row>
    <row r="236" spans="1:66" s="5" customFormat="1" hidden="1" x14ac:dyDescent="0.25">
      <c r="A236" s="7"/>
      <c r="B236" s="5" t="str">
        <f t="array" ref="B236">IFERROR(INDEX(DemandSupply,MATCH(INDEX($R$1:R236,SMALL(ROW($R$1:R236)+(10000*($R$1:R236="")),COUNTA($R$1:R236))),Sectors,0)),"")</f>
        <v>Demand</v>
      </c>
      <c r="M236" s="7"/>
      <c r="N236" s="76"/>
      <c r="O236" s="77"/>
      <c r="P236" s="77"/>
      <c r="Q236" s="82"/>
      <c r="R236" s="77"/>
      <c r="S236" s="76"/>
      <c r="T236" s="79"/>
      <c r="U236" s="82"/>
      <c r="V236" s="77"/>
      <c r="W236" s="77"/>
      <c r="X236" s="76"/>
      <c r="Y236" s="77"/>
      <c r="Z236" s="77"/>
      <c r="AA236" s="77"/>
      <c r="AB236" s="76"/>
      <c r="AC236" s="77"/>
      <c r="AD236" s="76"/>
      <c r="AE236" s="77"/>
      <c r="AF236" s="76"/>
      <c r="AG236" s="77"/>
      <c r="AH236" s="76"/>
      <c r="AI236" s="7"/>
      <c r="AJ236" s="27" t="str">
        <f t="shared" si="24"/>
        <v/>
      </c>
      <c r="AK236" s="3" t="s">
        <v>47</v>
      </c>
      <c r="AL236" s="3"/>
      <c r="AM236" s="3" t="s">
        <v>118</v>
      </c>
      <c r="AN236" s="89" t="s">
        <v>156</v>
      </c>
      <c r="AO236" s="90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7"/>
      <c r="BA236" s="37"/>
      <c r="BB236" s="37"/>
      <c r="BC236" s="37"/>
      <c r="BD236" s="42"/>
      <c r="BE236" s="41"/>
      <c r="BF236" s="41"/>
      <c r="BG236" s="41"/>
      <c r="BH236" s="41"/>
      <c r="BI236" s="41"/>
      <c r="BJ236" s="41"/>
      <c r="BK236" s="41"/>
      <c r="BL236" s="41"/>
      <c r="BM236" s="41"/>
      <c r="BN236" s="41"/>
    </row>
    <row r="237" spans="1:66" s="5" customFormat="1" hidden="1" x14ac:dyDescent="0.25">
      <c r="A237" s="7"/>
      <c r="B237" s="5" t="str">
        <f t="array" ref="B237">IFERROR(INDEX(DemandSupply,MATCH(INDEX($R$1:R237,SMALL(ROW($R$1:R237)+(10000*($R$1:R237="")),COUNTA($R$1:R237))),Sectors,0)),"")</f>
        <v>Demand</v>
      </c>
      <c r="M237" s="7"/>
      <c r="N237" s="76"/>
      <c r="O237" s="77"/>
      <c r="P237" s="77"/>
      <c r="Q237" s="82"/>
      <c r="R237" s="77"/>
      <c r="S237" s="76"/>
      <c r="T237" s="79"/>
      <c r="U237" s="82"/>
      <c r="V237" s="77"/>
      <c r="W237" s="77"/>
      <c r="X237" s="76"/>
      <c r="Y237" s="77"/>
      <c r="Z237" s="77"/>
      <c r="AA237" s="77"/>
      <c r="AB237" s="76"/>
      <c r="AC237" s="77"/>
      <c r="AD237" s="76"/>
      <c r="AE237" s="77"/>
      <c r="AF237" s="76"/>
      <c r="AG237" s="77"/>
      <c r="AH237" s="76"/>
      <c r="AI237" s="7"/>
      <c r="AJ237" s="27" t="str">
        <f t="shared" si="24"/>
        <v/>
      </c>
      <c r="AK237" s="3" t="s">
        <v>48</v>
      </c>
      <c r="AL237" s="3"/>
      <c r="AM237" s="3" t="s">
        <v>118</v>
      </c>
      <c r="AN237" s="89" t="s">
        <v>156</v>
      </c>
      <c r="AO237" s="90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7"/>
      <c r="BA237" s="37"/>
      <c r="BB237" s="37"/>
      <c r="BC237" s="37"/>
      <c r="BD237" s="42"/>
      <c r="BE237" s="41"/>
      <c r="BF237" s="41"/>
      <c r="BG237" s="41"/>
      <c r="BH237" s="41"/>
      <c r="BI237" s="41"/>
      <c r="BJ237" s="41"/>
      <c r="BK237" s="41"/>
      <c r="BL237" s="41"/>
      <c r="BM237" s="41"/>
      <c r="BN237" s="41"/>
    </row>
    <row r="238" spans="1:66" s="5" customFormat="1" hidden="1" x14ac:dyDescent="0.25">
      <c r="A238" s="7"/>
      <c r="B238" s="5" t="str">
        <f t="array" ref="B238">IFERROR(INDEX(DemandSupply,MATCH(INDEX($R$1:R238,SMALL(ROW($R$1:R238)+(10000*($R$1:R238="")),COUNTA($R$1:R238))),Sectors,0)),"")</f>
        <v>Demand</v>
      </c>
      <c r="M238" s="7"/>
      <c r="N238" s="76"/>
      <c r="O238" s="77"/>
      <c r="P238" s="77"/>
      <c r="Q238" s="82"/>
      <c r="R238" s="77"/>
      <c r="S238" s="76"/>
      <c r="T238" s="79"/>
      <c r="U238" s="82"/>
      <c r="V238" s="77"/>
      <c r="W238" s="77"/>
      <c r="X238" s="76"/>
      <c r="Y238" s="77"/>
      <c r="Z238" s="77"/>
      <c r="AA238" s="77"/>
      <c r="AB238" s="76"/>
      <c r="AC238" s="77"/>
      <c r="AD238" s="76"/>
      <c r="AE238" s="77"/>
      <c r="AF238" s="76"/>
      <c r="AG238" s="77"/>
      <c r="AH238" s="76"/>
      <c r="AI238" s="7"/>
      <c r="AJ238" s="27" t="str">
        <f t="shared" si="24"/>
        <v/>
      </c>
      <c r="AK238" s="3" t="s">
        <v>94</v>
      </c>
      <c r="AL238" s="3"/>
      <c r="AM238" s="3" t="s">
        <v>57</v>
      </c>
      <c r="AN238" s="89" t="s">
        <v>156</v>
      </c>
      <c r="AO238" s="90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7"/>
      <c r="BA238" s="37"/>
      <c r="BB238" s="37"/>
      <c r="BC238" s="37"/>
      <c r="BD238" s="42"/>
      <c r="BE238" s="41"/>
      <c r="BF238" s="41"/>
      <c r="BG238" s="41"/>
      <c r="BH238" s="41"/>
      <c r="BI238" s="41"/>
      <c r="BJ238" s="41"/>
      <c r="BK238" s="41"/>
      <c r="BL238" s="41"/>
      <c r="BM238" s="41"/>
      <c r="BN238" s="41"/>
    </row>
    <row r="239" spans="1:66" s="5" customFormat="1" hidden="1" x14ac:dyDescent="0.25">
      <c r="A239" s="7"/>
      <c r="B239" s="5" t="str">
        <f t="array" ref="B239">IFERROR(INDEX(DemandSupply,MATCH(INDEX($R$1:R239,SMALL(ROW($R$1:R239)+(10000*($R$1:R239="")),COUNTA($R$1:R239))),Sectors,0)),"")</f>
        <v>Demand</v>
      </c>
      <c r="M239" s="7"/>
      <c r="N239" s="76"/>
      <c r="O239" s="77"/>
      <c r="P239" s="77"/>
      <c r="Q239" s="82"/>
      <c r="R239" s="77"/>
      <c r="S239" s="76"/>
      <c r="T239" s="79"/>
      <c r="U239" s="82"/>
      <c r="V239" s="77"/>
      <c r="W239" s="77"/>
      <c r="X239" s="76"/>
      <c r="Y239" s="77"/>
      <c r="Z239" s="77"/>
      <c r="AA239" s="77"/>
      <c r="AB239" s="76"/>
      <c r="AC239" s="77"/>
      <c r="AD239" s="76"/>
      <c r="AE239" s="77"/>
      <c r="AF239" s="76"/>
      <c r="AG239" s="77"/>
      <c r="AH239" s="76"/>
      <c r="AI239" s="7"/>
      <c r="AJ239" s="27" t="str">
        <f t="shared" si="24"/>
        <v/>
      </c>
      <c r="AK239" s="3" t="s">
        <v>91</v>
      </c>
      <c r="AL239" s="3"/>
      <c r="AM239" s="3" t="s">
        <v>118</v>
      </c>
      <c r="AN239" s="89" t="s">
        <v>156</v>
      </c>
      <c r="AO239" s="92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7"/>
      <c r="BA239" s="37"/>
      <c r="BB239" s="37"/>
      <c r="BC239" s="37"/>
      <c r="BD239" s="42"/>
      <c r="BE239" s="41"/>
      <c r="BF239" s="41"/>
      <c r="BG239" s="41"/>
      <c r="BH239" s="41"/>
      <c r="BI239" s="41"/>
      <c r="BJ239" s="41"/>
      <c r="BK239" s="41"/>
      <c r="BL239" s="41"/>
      <c r="BM239" s="41"/>
      <c r="BN239" s="41"/>
    </row>
    <row r="240" spans="1:66" s="5" customFormat="1" hidden="1" x14ac:dyDescent="0.25">
      <c r="A240" s="7"/>
      <c r="B240" s="5" t="str">
        <f t="array" ref="B240">IFERROR(INDEX(DemandSupply,MATCH(INDEX($R$1:R240,SMALL(ROW($R$1:R240)+(10000*($R$1:R240="")),COUNTA($R$1:R240))),Sectors,0)),"")</f>
        <v>Demand</v>
      </c>
      <c r="M240" s="7"/>
      <c r="N240" s="76"/>
      <c r="O240" s="77"/>
      <c r="P240" s="77"/>
      <c r="Q240" s="82"/>
      <c r="R240" s="77"/>
      <c r="S240" s="76"/>
      <c r="T240" s="79"/>
      <c r="U240" s="82"/>
      <c r="V240" s="77"/>
      <c r="W240" s="77"/>
      <c r="X240" s="76"/>
      <c r="Y240" s="77"/>
      <c r="Z240" s="77"/>
      <c r="AA240" s="77"/>
      <c r="AB240" s="76"/>
      <c r="AC240" s="77"/>
      <c r="AD240" s="76"/>
      <c r="AE240" s="77"/>
      <c r="AF240" s="76"/>
      <c r="AG240" s="77"/>
      <c r="AH240" s="76"/>
      <c r="AI240" s="7"/>
      <c r="AJ240" s="27" t="str">
        <f t="shared" si="24"/>
        <v/>
      </c>
      <c r="AK240" s="3" t="s">
        <v>63</v>
      </c>
      <c r="AL240" s="3"/>
      <c r="AM240" s="3"/>
      <c r="AN240" s="89" t="s">
        <v>155</v>
      </c>
      <c r="AO240" s="90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7"/>
      <c r="BA240" s="37"/>
      <c r="BB240" s="37"/>
      <c r="BC240" s="37"/>
      <c r="BD240" s="42"/>
      <c r="BE240" s="41"/>
      <c r="BF240" s="41"/>
      <c r="BG240" s="41"/>
      <c r="BH240" s="41"/>
      <c r="BI240" s="41"/>
      <c r="BJ240" s="41"/>
      <c r="BK240" s="41"/>
      <c r="BL240" s="41"/>
      <c r="BM240" s="41"/>
      <c r="BN240" s="41"/>
    </row>
    <row r="241" spans="1:66" s="5" customFormat="1" hidden="1" x14ac:dyDescent="0.25">
      <c r="A241" s="7"/>
      <c r="B241" s="5" t="str">
        <f t="array" ref="B241">IFERROR(INDEX(DemandSupply,MATCH(INDEX($R$1:R241,SMALL(ROW($R$1:R241)+(10000*($R$1:R241="")),COUNTA($R$1:R241))),Sectors,0)),"")</f>
        <v>Demand</v>
      </c>
      <c r="M241" s="7"/>
      <c r="N241" s="76"/>
      <c r="O241" s="77"/>
      <c r="P241" s="77"/>
      <c r="Q241" s="82"/>
      <c r="R241" s="77"/>
      <c r="S241" s="76"/>
      <c r="T241" s="79"/>
      <c r="U241" s="82"/>
      <c r="V241" s="77"/>
      <c r="W241" s="77"/>
      <c r="X241" s="76"/>
      <c r="Y241" s="77"/>
      <c r="Z241" s="77"/>
      <c r="AA241" s="77"/>
      <c r="AB241" s="76"/>
      <c r="AC241" s="77"/>
      <c r="AD241" s="76"/>
      <c r="AE241" s="77"/>
      <c r="AF241" s="76"/>
      <c r="AG241" s="77"/>
      <c r="AH241" s="76"/>
      <c r="AI241" s="7"/>
      <c r="AJ241" s="27" t="str">
        <f t="shared" si="24"/>
        <v/>
      </c>
      <c r="AK241" s="3" t="s">
        <v>41</v>
      </c>
      <c r="AL241" s="3"/>
      <c r="AM241" s="3" t="s">
        <v>43</v>
      </c>
      <c r="AN241" s="89" t="s">
        <v>155</v>
      </c>
      <c r="AO241" s="90">
        <v>2000</v>
      </c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7"/>
      <c r="BA241" s="37"/>
      <c r="BB241" s="37"/>
      <c r="BC241" s="37"/>
      <c r="BD241" s="42"/>
      <c r="BE241" s="41"/>
      <c r="BF241" s="41"/>
      <c r="BG241" s="41"/>
      <c r="BH241" s="41"/>
      <c r="BI241" s="41"/>
      <c r="BJ241" s="41"/>
      <c r="BK241" s="41"/>
      <c r="BL241" s="41"/>
      <c r="BM241" s="41"/>
      <c r="BN241" s="41"/>
    </row>
    <row r="242" spans="1:66" s="5" customFormat="1" hidden="1" x14ac:dyDescent="0.25">
      <c r="A242" s="7"/>
      <c r="B242" s="5" t="str">
        <f t="array" ref="B242">IFERROR(INDEX(DemandSupply,MATCH(INDEX($R$1:R242,SMALL(ROW($R$1:R242)+(10000*($R$1:R242="")),COUNTA($R$1:R242))),Sectors,0)),"")</f>
        <v>Demand</v>
      </c>
      <c r="M242" s="7"/>
      <c r="N242" s="76"/>
      <c r="O242" s="77"/>
      <c r="P242" s="77"/>
      <c r="Q242" s="82"/>
      <c r="R242" s="77"/>
      <c r="S242" s="76"/>
      <c r="T242" s="79"/>
      <c r="U242" s="82"/>
      <c r="V242" s="77"/>
      <c r="W242" s="77"/>
      <c r="X242" s="76"/>
      <c r="Y242" s="77"/>
      <c r="Z242" s="77"/>
      <c r="AA242" s="77"/>
      <c r="AB242" s="76"/>
      <c r="AC242" s="77"/>
      <c r="AD242" s="76"/>
      <c r="AE242" s="77"/>
      <c r="AF242" s="76"/>
      <c r="AG242" s="77"/>
      <c r="AH242" s="76"/>
      <c r="AI242" s="7"/>
      <c r="AJ242" s="27" t="str">
        <f t="shared" si="24"/>
        <v/>
      </c>
      <c r="AK242" s="3" t="s">
        <v>40</v>
      </c>
      <c r="AL242" s="3"/>
      <c r="AM242" s="3" t="s">
        <v>43</v>
      </c>
      <c r="AN242" s="89" t="s">
        <v>155</v>
      </c>
      <c r="AO242" s="90">
        <v>2020</v>
      </c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7"/>
      <c r="BA242" s="37"/>
      <c r="BB242" s="37"/>
      <c r="BC242" s="37"/>
      <c r="BD242" s="42"/>
      <c r="BE242" s="41"/>
      <c r="BF242" s="41"/>
      <c r="BG242" s="41"/>
      <c r="BH242" s="41"/>
      <c r="BI242" s="41"/>
      <c r="BJ242" s="41"/>
      <c r="BK242" s="41"/>
      <c r="BL242" s="41"/>
      <c r="BM242" s="41"/>
      <c r="BN242" s="41"/>
    </row>
    <row r="243" spans="1:66" s="5" customFormat="1" hidden="1" x14ac:dyDescent="0.25">
      <c r="A243" s="7"/>
      <c r="B243" s="5" t="str">
        <f t="array" ref="B243">IFERROR(INDEX(DemandSupply,MATCH(INDEX($R$1:R243,SMALL(ROW($R$1:R243)+(10000*($R$1:R243="")),COUNTA($R$1:R243))),Sectors,0)),"")</f>
        <v>Demand</v>
      </c>
      <c r="M243" s="7"/>
      <c r="N243" s="76"/>
      <c r="O243" s="77"/>
      <c r="P243" s="77"/>
      <c r="Q243" s="82"/>
      <c r="R243" s="77"/>
      <c r="S243" s="76"/>
      <c r="T243" s="79"/>
      <c r="U243" s="82"/>
      <c r="V243" s="77"/>
      <c r="W243" s="77"/>
      <c r="X243" s="76"/>
      <c r="Y243" s="77"/>
      <c r="Z243" s="77"/>
      <c r="AA243" s="77"/>
      <c r="AB243" s="76"/>
      <c r="AC243" s="77"/>
      <c r="AD243" s="76"/>
      <c r="AE243" s="77"/>
      <c r="AF243" s="76"/>
      <c r="AG243" s="77"/>
      <c r="AH243" s="76"/>
      <c r="AI243" s="7"/>
      <c r="AJ243" s="27" t="str">
        <f t="shared" si="24"/>
        <v/>
      </c>
      <c r="AK243" s="3" t="s">
        <v>42</v>
      </c>
      <c r="AL243" s="3"/>
      <c r="AM243" s="3" t="s">
        <v>10</v>
      </c>
      <c r="AN243" s="89" t="s">
        <v>155</v>
      </c>
      <c r="AO243" s="90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7"/>
      <c r="BA243" s="37"/>
      <c r="BB243" s="37"/>
      <c r="BC243" s="37"/>
      <c r="BD243" s="42"/>
      <c r="BE243" s="41"/>
      <c r="BF243" s="41"/>
      <c r="BG243" s="41"/>
      <c r="BH243" s="41"/>
      <c r="BI243" s="41"/>
      <c r="BJ243" s="41"/>
      <c r="BK243" s="41"/>
      <c r="BL243" s="41"/>
      <c r="BM243" s="41"/>
      <c r="BN243" s="41"/>
    </row>
    <row r="244" spans="1:66" s="5" customFormat="1" hidden="1" x14ac:dyDescent="0.25">
      <c r="A244" s="7"/>
      <c r="B244" s="5" t="str">
        <f t="array" ref="B244">IFERROR(INDEX(DemandSupply,MATCH(INDEX($R$1:R244,SMALL(ROW($R$1:R244)+(10000*($R$1:R244="")),COUNTA($R$1:R244))),Sectors,0)),"")</f>
        <v>Demand</v>
      </c>
      <c r="M244" s="7"/>
      <c r="N244" s="76"/>
      <c r="O244" s="77"/>
      <c r="P244" s="77"/>
      <c r="Q244" s="82"/>
      <c r="R244" s="77"/>
      <c r="S244" s="76"/>
      <c r="T244" s="79"/>
      <c r="U244" s="82"/>
      <c r="V244" s="77"/>
      <c r="W244" s="77"/>
      <c r="X244" s="76"/>
      <c r="Y244" s="77"/>
      <c r="Z244" s="77"/>
      <c r="AA244" s="77"/>
      <c r="AB244" s="76"/>
      <c r="AC244" s="77"/>
      <c r="AD244" s="76"/>
      <c r="AE244" s="77"/>
      <c r="AF244" s="76"/>
      <c r="AG244" s="77"/>
      <c r="AH244" s="76"/>
      <c r="AI244" s="7"/>
      <c r="AJ244" s="27" t="str">
        <f t="shared" si="24"/>
        <v/>
      </c>
      <c r="AK244" s="3" t="s">
        <v>67</v>
      </c>
      <c r="AL244" s="3"/>
      <c r="AM244" s="3" t="s">
        <v>118</v>
      </c>
      <c r="AN244" s="89" t="s">
        <v>155</v>
      </c>
      <c r="AO244" s="90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7"/>
      <c r="BA244" s="37"/>
      <c r="BB244" s="37"/>
      <c r="BC244" s="37"/>
      <c r="BD244" s="42"/>
      <c r="BE244" s="41"/>
      <c r="BF244" s="41"/>
      <c r="BG244" s="41"/>
      <c r="BH244" s="41"/>
      <c r="BI244" s="41"/>
      <c r="BJ244" s="41"/>
      <c r="BK244" s="41"/>
      <c r="BL244" s="41"/>
      <c r="BM244" s="41"/>
      <c r="BN244" s="41"/>
    </row>
    <row r="245" spans="1:66" s="5" customFormat="1" hidden="1" x14ac:dyDescent="0.25">
      <c r="A245" s="7"/>
      <c r="B245" s="5" t="str">
        <f t="array" ref="B245">IFERROR(INDEX(DemandSupply,MATCH(INDEX($R$1:R245,SMALL(ROW($R$1:R245)+(10000*($R$1:R245="")),COUNTA($R$1:R245))),Sectors,0)),"")</f>
        <v>Demand</v>
      </c>
      <c r="M245" s="7"/>
      <c r="N245" s="76"/>
      <c r="O245" s="77"/>
      <c r="P245" s="77"/>
      <c r="Q245" s="82"/>
      <c r="R245" s="77"/>
      <c r="S245" s="76"/>
      <c r="T245" s="79"/>
      <c r="U245" s="82"/>
      <c r="V245" s="77"/>
      <c r="W245" s="77"/>
      <c r="X245" s="76"/>
      <c r="Y245" s="77"/>
      <c r="Z245" s="77"/>
      <c r="AA245" s="77"/>
      <c r="AB245" s="76"/>
      <c r="AC245" s="77"/>
      <c r="AD245" s="76"/>
      <c r="AE245" s="77"/>
      <c r="AF245" s="76"/>
      <c r="AG245" s="77"/>
      <c r="AH245" s="76"/>
      <c r="AI245" s="7"/>
      <c r="AJ245" s="27" t="str">
        <f t="shared" si="24"/>
        <v/>
      </c>
      <c r="AK245" s="3" t="s">
        <v>38</v>
      </c>
      <c r="AL245" s="3"/>
      <c r="AM245" s="3" t="s">
        <v>17</v>
      </c>
      <c r="AN245" s="89" t="s">
        <v>155</v>
      </c>
      <c r="AO245" s="90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7"/>
      <c r="BA245" s="37"/>
      <c r="BB245" s="37"/>
      <c r="BC245" s="37"/>
      <c r="BD245" s="42"/>
      <c r="BE245" s="41"/>
      <c r="BF245" s="41"/>
      <c r="BG245" s="41"/>
      <c r="BH245" s="41"/>
      <c r="BI245" s="41"/>
      <c r="BJ245" s="41"/>
      <c r="BK245" s="41"/>
      <c r="BL245" s="41"/>
      <c r="BM245" s="41"/>
      <c r="BN245" s="41"/>
    </row>
    <row r="246" spans="1:66" s="5" customFormat="1" hidden="1" x14ac:dyDescent="0.25">
      <c r="A246" s="7"/>
      <c r="B246" s="5" t="str">
        <f t="array" ref="B246">IFERROR(INDEX(DemandSupply,MATCH(INDEX($R$1:R246,SMALL(ROW($R$1:R246)+(10000*($R$1:R246="")),COUNTA($R$1:R246))),Sectors,0)),"")</f>
        <v>Demand</v>
      </c>
      <c r="M246" s="7"/>
      <c r="N246" s="76"/>
      <c r="O246" s="77"/>
      <c r="P246" s="77"/>
      <c r="Q246" s="82"/>
      <c r="R246" s="77"/>
      <c r="S246" s="76"/>
      <c r="T246" s="79"/>
      <c r="U246" s="82"/>
      <c r="V246" s="77"/>
      <c r="W246" s="77"/>
      <c r="X246" s="76"/>
      <c r="Y246" s="77"/>
      <c r="Z246" s="77"/>
      <c r="AA246" s="77"/>
      <c r="AB246" s="76"/>
      <c r="AC246" s="77"/>
      <c r="AD246" s="76"/>
      <c r="AE246" s="77"/>
      <c r="AF246" s="76"/>
      <c r="AG246" s="77"/>
      <c r="AH246" s="76"/>
      <c r="AI246" s="7"/>
      <c r="AJ246" s="27" t="str">
        <f t="shared" si="24"/>
        <v/>
      </c>
      <c r="AK246" s="3" t="s">
        <v>44</v>
      </c>
      <c r="AL246" s="3"/>
      <c r="AM246" s="3" t="s">
        <v>17</v>
      </c>
      <c r="AN246" s="89" t="s">
        <v>155</v>
      </c>
      <c r="AO246" s="90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7"/>
      <c r="BA246" s="37"/>
      <c r="BB246" s="37"/>
      <c r="BC246" s="37"/>
      <c r="BD246" s="42"/>
      <c r="BE246" s="41"/>
      <c r="BF246" s="41"/>
      <c r="BG246" s="41"/>
      <c r="BH246" s="41"/>
      <c r="BI246" s="41"/>
      <c r="BJ246" s="41"/>
      <c r="BK246" s="41"/>
      <c r="BL246" s="41"/>
      <c r="BM246" s="41"/>
      <c r="BN246" s="41"/>
    </row>
    <row r="247" spans="1:66" s="5" customFormat="1" hidden="1" x14ac:dyDescent="0.25">
      <c r="A247" s="7"/>
      <c r="B247" s="5" t="str">
        <f t="array" ref="B247">IFERROR(INDEX(DemandSupply,MATCH(INDEX($R$1:R247,SMALL(ROW($R$1:R247)+(10000*($R$1:R247="")),COUNTA($R$1:R247))),Sectors,0)),"")</f>
        <v>Demand</v>
      </c>
      <c r="M247" s="7"/>
      <c r="N247" s="76"/>
      <c r="O247" s="77"/>
      <c r="P247" s="77"/>
      <c r="Q247" s="82"/>
      <c r="R247" s="77"/>
      <c r="S247" s="76"/>
      <c r="T247" s="79"/>
      <c r="U247" s="82"/>
      <c r="V247" s="77"/>
      <c r="W247" s="77"/>
      <c r="X247" s="76"/>
      <c r="Y247" s="77"/>
      <c r="Z247" s="77"/>
      <c r="AA247" s="77"/>
      <c r="AB247" s="76"/>
      <c r="AC247" s="77"/>
      <c r="AD247" s="76"/>
      <c r="AE247" s="77"/>
      <c r="AF247" s="76"/>
      <c r="AG247" s="77"/>
      <c r="AH247" s="76"/>
      <c r="AI247" s="7"/>
      <c r="AJ247" s="27" t="str">
        <f t="shared" si="24"/>
        <v/>
      </c>
      <c r="AK247" s="3" t="s">
        <v>51</v>
      </c>
      <c r="AL247" s="3"/>
      <c r="AM247" s="3" t="s">
        <v>17</v>
      </c>
      <c r="AN247" s="89" t="s">
        <v>155</v>
      </c>
      <c r="AO247" s="90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7"/>
      <c r="BA247" s="37"/>
      <c r="BB247" s="37"/>
      <c r="BC247" s="37"/>
      <c r="BD247" s="42"/>
      <c r="BE247" s="41"/>
      <c r="BF247" s="41"/>
      <c r="BG247" s="41"/>
      <c r="BH247" s="41"/>
      <c r="BI247" s="41"/>
      <c r="BJ247" s="41"/>
      <c r="BK247" s="41"/>
      <c r="BL247" s="41"/>
      <c r="BM247" s="41"/>
      <c r="BN247" s="41"/>
    </row>
    <row r="248" spans="1:66" s="5" customFormat="1" hidden="1" x14ac:dyDescent="0.25">
      <c r="A248" s="7"/>
      <c r="B248" s="5" t="str">
        <f t="array" ref="B248">IFERROR(INDEX(DemandSupply,MATCH(INDEX($R$1:R248,SMALL(ROW($R$1:R248)+(10000*($R$1:R248="")),COUNTA($R$1:R248))),Sectors,0)),"")</f>
        <v>Demand</v>
      </c>
      <c r="M248" s="7"/>
      <c r="N248" s="76"/>
      <c r="O248" s="77"/>
      <c r="P248" s="77"/>
      <c r="Q248" s="82"/>
      <c r="R248" s="77"/>
      <c r="S248" s="76"/>
      <c r="T248" s="79"/>
      <c r="U248" s="82"/>
      <c r="V248" s="77"/>
      <c r="W248" s="77"/>
      <c r="X248" s="76"/>
      <c r="Y248" s="77"/>
      <c r="Z248" s="77"/>
      <c r="AA248" s="77"/>
      <c r="AB248" s="76"/>
      <c r="AC248" s="77"/>
      <c r="AD248" s="76"/>
      <c r="AE248" s="77"/>
      <c r="AF248" s="76"/>
      <c r="AG248" s="77"/>
      <c r="AH248" s="76"/>
      <c r="AI248" s="7"/>
      <c r="AJ248" s="27" t="str">
        <f t="shared" si="24"/>
        <v/>
      </c>
      <c r="AK248" s="3" t="s">
        <v>95</v>
      </c>
      <c r="AL248" s="3"/>
      <c r="AM248" s="3" t="s">
        <v>17</v>
      </c>
      <c r="AN248" s="89" t="s">
        <v>155</v>
      </c>
      <c r="AO248" s="91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7"/>
      <c r="BA248" s="37"/>
      <c r="BB248" s="37"/>
      <c r="BC248" s="37"/>
      <c r="BD248" s="42"/>
      <c r="BE248" s="41"/>
      <c r="BF248" s="41"/>
      <c r="BG248" s="41"/>
      <c r="BH248" s="41"/>
      <c r="BI248" s="41"/>
      <c r="BJ248" s="41"/>
      <c r="BK248" s="41"/>
      <c r="BL248" s="41"/>
      <c r="BM248" s="41"/>
      <c r="BN248" s="41"/>
    </row>
    <row r="249" spans="1:66" s="5" customFormat="1" hidden="1" x14ac:dyDescent="0.25">
      <c r="A249" s="7"/>
      <c r="B249" s="5" t="str">
        <f t="array" ref="B249">IFERROR(INDEX(DemandSupply,MATCH(INDEX($R$1:R249,SMALL(ROW($R$1:R249)+(10000*($R$1:R249="")),COUNTA($R$1:R249))),Sectors,0)),"")</f>
        <v>Demand</v>
      </c>
      <c r="M249" s="7"/>
      <c r="N249" s="76"/>
      <c r="O249" s="77"/>
      <c r="P249" s="77"/>
      <c r="Q249" s="82"/>
      <c r="R249" s="77"/>
      <c r="S249" s="76"/>
      <c r="T249" s="79"/>
      <c r="U249" s="82"/>
      <c r="V249" s="77"/>
      <c r="W249" s="77"/>
      <c r="X249" s="76"/>
      <c r="Y249" s="77"/>
      <c r="Z249" s="77"/>
      <c r="AA249" s="77"/>
      <c r="AB249" s="76"/>
      <c r="AC249" s="77"/>
      <c r="AD249" s="76"/>
      <c r="AE249" s="77"/>
      <c r="AF249" s="76"/>
      <c r="AG249" s="77"/>
      <c r="AH249" s="76"/>
      <c r="AI249" s="7"/>
      <c r="AJ249" s="27" t="str">
        <f t="shared" si="24"/>
        <v/>
      </c>
      <c r="AK249" s="3" t="s">
        <v>146</v>
      </c>
      <c r="AL249" s="3" t="s">
        <v>162</v>
      </c>
      <c r="AM249" s="3"/>
      <c r="AN249" s="89" t="s">
        <v>155</v>
      </c>
      <c r="AO249" s="91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7"/>
      <c r="BA249" s="37"/>
      <c r="BB249" s="37"/>
      <c r="BC249" s="37"/>
      <c r="BD249" s="42"/>
      <c r="BE249" s="41"/>
      <c r="BF249" s="41"/>
      <c r="BG249" s="41"/>
      <c r="BH249" s="41"/>
      <c r="BI249" s="41"/>
      <c r="BJ249" s="41"/>
      <c r="BK249" s="41"/>
      <c r="BL249" s="41"/>
      <c r="BM249" s="41"/>
      <c r="BN249" s="41"/>
    </row>
    <row r="250" spans="1:66" s="5" customFormat="1" hidden="1" x14ac:dyDescent="0.25">
      <c r="A250" s="7"/>
      <c r="B250" s="5" t="str">
        <f t="array" ref="B250">IFERROR(INDEX(DemandSupply,MATCH(INDEX($R$1:R250,SMALL(ROW($R$1:R250)+(10000*($R$1:R250="")),COUNTA($R$1:R250))),Sectors,0)),"")</f>
        <v>Demand</v>
      </c>
      <c r="M250" s="7"/>
      <c r="N250" s="76"/>
      <c r="O250" s="77"/>
      <c r="P250" s="77"/>
      <c r="Q250" s="82"/>
      <c r="R250" s="77"/>
      <c r="S250" s="76"/>
      <c r="T250" s="79"/>
      <c r="U250" s="82"/>
      <c r="V250" s="77"/>
      <c r="W250" s="77"/>
      <c r="X250" s="76"/>
      <c r="Y250" s="77"/>
      <c r="Z250" s="77"/>
      <c r="AA250" s="77"/>
      <c r="AB250" s="76"/>
      <c r="AC250" s="77"/>
      <c r="AD250" s="76"/>
      <c r="AE250" s="77"/>
      <c r="AF250" s="76"/>
      <c r="AG250" s="77"/>
      <c r="AH250" s="76"/>
      <c r="AI250" s="7"/>
      <c r="AJ250" s="27" t="str">
        <f t="shared" si="24"/>
        <v/>
      </c>
      <c r="AK250" s="3" t="s">
        <v>47</v>
      </c>
      <c r="AL250" s="3"/>
      <c r="AM250" s="3" t="s">
        <v>118</v>
      </c>
      <c r="AN250" s="89" t="s">
        <v>155</v>
      </c>
      <c r="AO250" s="90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7"/>
      <c r="BA250" s="37"/>
      <c r="BB250" s="37"/>
      <c r="BC250" s="37"/>
      <c r="BD250" s="42"/>
      <c r="BE250" s="41"/>
      <c r="BF250" s="41"/>
      <c r="BG250" s="41"/>
      <c r="BH250" s="41"/>
      <c r="BI250" s="41"/>
      <c r="BJ250" s="41"/>
      <c r="BK250" s="41"/>
      <c r="BL250" s="41"/>
      <c r="BM250" s="41"/>
      <c r="BN250" s="41"/>
    </row>
    <row r="251" spans="1:66" s="5" customFormat="1" hidden="1" x14ac:dyDescent="0.25">
      <c r="A251" s="7"/>
      <c r="B251" s="5" t="str">
        <f t="array" ref="B251">IFERROR(INDEX(DemandSupply,MATCH(INDEX($R$1:R251,SMALL(ROW($R$1:R251)+(10000*($R$1:R251="")),COUNTA($R$1:R251))),Sectors,0)),"")</f>
        <v>Demand</v>
      </c>
      <c r="M251" s="7"/>
      <c r="N251" s="76"/>
      <c r="O251" s="77"/>
      <c r="P251" s="77"/>
      <c r="Q251" s="82"/>
      <c r="R251" s="77"/>
      <c r="S251" s="76"/>
      <c r="T251" s="79"/>
      <c r="U251" s="82"/>
      <c r="V251" s="77"/>
      <c r="W251" s="77"/>
      <c r="X251" s="76"/>
      <c r="Y251" s="77"/>
      <c r="Z251" s="77"/>
      <c r="AA251" s="77"/>
      <c r="AB251" s="76"/>
      <c r="AC251" s="77"/>
      <c r="AD251" s="76"/>
      <c r="AE251" s="77"/>
      <c r="AF251" s="76"/>
      <c r="AG251" s="77"/>
      <c r="AH251" s="76"/>
      <c r="AI251" s="7"/>
      <c r="AJ251" s="27" t="str">
        <f t="shared" si="24"/>
        <v/>
      </c>
      <c r="AK251" s="3" t="s">
        <v>48</v>
      </c>
      <c r="AL251" s="3"/>
      <c r="AM251" s="3" t="s">
        <v>118</v>
      </c>
      <c r="AN251" s="89" t="s">
        <v>155</v>
      </c>
      <c r="AO251" s="90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7"/>
      <c r="BA251" s="37"/>
      <c r="BB251" s="37"/>
      <c r="BC251" s="37"/>
      <c r="BD251" s="42"/>
      <c r="BE251" s="41"/>
      <c r="BF251" s="41"/>
      <c r="BG251" s="41"/>
      <c r="BH251" s="41"/>
      <c r="BI251" s="41"/>
      <c r="BJ251" s="41"/>
      <c r="BK251" s="41"/>
      <c r="BL251" s="41"/>
      <c r="BM251" s="41"/>
      <c r="BN251" s="41"/>
    </row>
    <row r="252" spans="1:66" s="5" customFormat="1" hidden="1" x14ac:dyDescent="0.25">
      <c r="A252" s="7"/>
      <c r="B252" s="5" t="str">
        <f t="array" ref="B252">IFERROR(INDEX(DemandSupply,MATCH(INDEX($R$1:R252,SMALL(ROW($R$1:R252)+(10000*($R$1:R252="")),COUNTA($R$1:R252))),Sectors,0)),"")</f>
        <v>Demand</v>
      </c>
      <c r="M252" s="7"/>
      <c r="N252" s="76"/>
      <c r="O252" s="77"/>
      <c r="P252" s="77"/>
      <c r="Q252" s="82"/>
      <c r="R252" s="77"/>
      <c r="S252" s="76"/>
      <c r="T252" s="79"/>
      <c r="U252" s="82"/>
      <c r="V252" s="77"/>
      <c r="W252" s="77"/>
      <c r="X252" s="76"/>
      <c r="Y252" s="77"/>
      <c r="Z252" s="77"/>
      <c r="AA252" s="77"/>
      <c r="AB252" s="76"/>
      <c r="AC252" s="77"/>
      <c r="AD252" s="76"/>
      <c r="AE252" s="77"/>
      <c r="AF252" s="76"/>
      <c r="AG252" s="77"/>
      <c r="AH252" s="76"/>
      <c r="AI252" s="7"/>
      <c r="AJ252" s="27" t="str">
        <f t="shared" si="24"/>
        <v/>
      </c>
      <c r="AK252" s="3" t="s">
        <v>94</v>
      </c>
      <c r="AL252" s="3"/>
      <c r="AM252" s="3" t="s">
        <v>57</v>
      </c>
      <c r="AN252" s="89" t="s">
        <v>155</v>
      </c>
      <c r="AO252" s="90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7"/>
      <c r="BA252" s="37"/>
      <c r="BB252" s="37"/>
      <c r="BC252" s="37"/>
      <c r="BD252" s="42"/>
      <c r="BE252" s="41"/>
      <c r="BF252" s="41"/>
      <c r="BG252" s="41"/>
      <c r="BH252" s="41"/>
      <c r="BI252" s="41"/>
      <c r="BJ252" s="41"/>
      <c r="BK252" s="41"/>
      <c r="BL252" s="41"/>
      <c r="BM252" s="41"/>
      <c r="BN252" s="41"/>
    </row>
    <row r="253" spans="1:66" s="5" customFormat="1" hidden="1" x14ac:dyDescent="0.25">
      <c r="A253" s="7"/>
      <c r="B253" s="5" t="str">
        <f t="array" ref="B253">IFERROR(INDEX(DemandSupply,MATCH(INDEX($R$1:R253,SMALL(ROW($R$1:R253)+(10000*($R$1:R253="")),COUNTA($R$1:R253))),Sectors,0)),"")</f>
        <v>Demand</v>
      </c>
      <c r="M253" s="7"/>
      <c r="N253" s="76"/>
      <c r="O253" s="77"/>
      <c r="P253" s="77"/>
      <c r="Q253" s="82"/>
      <c r="R253" s="77"/>
      <c r="S253" s="76"/>
      <c r="T253" s="79"/>
      <c r="U253" s="82"/>
      <c r="V253" s="77"/>
      <c r="W253" s="77"/>
      <c r="X253" s="76"/>
      <c r="Y253" s="77"/>
      <c r="Z253" s="77"/>
      <c r="AA253" s="77"/>
      <c r="AB253" s="76"/>
      <c r="AC253" s="77"/>
      <c r="AD253" s="76"/>
      <c r="AE253" s="77"/>
      <c r="AF253" s="76"/>
      <c r="AG253" s="77"/>
      <c r="AH253" s="76"/>
      <c r="AI253" s="7"/>
      <c r="AJ253" s="27" t="str">
        <f t="shared" si="24"/>
        <v/>
      </c>
      <c r="AK253" s="3" t="s">
        <v>91</v>
      </c>
      <c r="AL253" s="3"/>
      <c r="AM253" s="3" t="s">
        <v>118</v>
      </c>
      <c r="AN253" s="89" t="s">
        <v>155</v>
      </c>
      <c r="AO253" s="92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7"/>
      <c r="BA253" s="37"/>
      <c r="BB253" s="37"/>
      <c r="BC253" s="37"/>
      <c r="BD253" s="42"/>
      <c r="BE253" s="41"/>
      <c r="BF253" s="41"/>
      <c r="BG253" s="41"/>
      <c r="BH253" s="41"/>
      <c r="BI253" s="41"/>
      <c r="BJ253" s="41"/>
      <c r="BK253" s="41"/>
      <c r="BL253" s="41"/>
      <c r="BM253" s="41"/>
      <c r="BN253" s="41"/>
    </row>
    <row r="254" spans="1:66" s="5" customFormat="1" hidden="1" x14ac:dyDescent="0.25">
      <c r="A254" s="7"/>
      <c r="B254" s="5" t="str">
        <f t="array" ref="B254">IFERROR(INDEX(DemandSupply,MATCH(INDEX($R$1:R254,SMALL(ROW($R$1:R254)+(10000*($R$1:R254="")),COUNTA($R$1:R254))),Sectors,0)),"")</f>
        <v>Demand</v>
      </c>
      <c r="M254" s="7"/>
      <c r="N254" s="76"/>
      <c r="O254" s="77"/>
      <c r="P254" s="77"/>
      <c r="Q254" s="82"/>
      <c r="R254" s="77"/>
      <c r="S254" s="76"/>
      <c r="T254" s="79"/>
      <c r="U254" s="82"/>
      <c r="V254" s="77"/>
      <c r="W254" s="77"/>
      <c r="X254" s="76"/>
      <c r="Y254" s="77"/>
      <c r="Z254" s="77"/>
      <c r="AA254" s="77"/>
      <c r="AB254" s="76"/>
      <c r="AC254" s="77"/>
      <c r="AD254" s="76"/>
      <c r="AE254" s="77"/>
      <c r="AF254" s="76"/>
      <c r="AG254" s="77"/>
      <c r="AH254" s="76"/>
      <c r="AI254" s="7"/>
      <c r="AJ254" s="27" t="str">
        <f t="shared" si="24"/>
        <v/>
      </c>
      <c r="AK254" s="3" t="s">
        <v>63</v>
      </c>
      <c r="AL254" s="3"/>
      <c r="AM254" s="3"/>
      <c r="AN254" s="89" t="s">
        <v>157</v>
      </c>
      <c r="AO254" s="90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7"/>
      <c r="BA254" s="37"/>
      <c r="BB254" s="37"/>
      <c r="BC254" s="37"/>
      <c r="BD254" s="42"/>
      <c r="BE254" s="41"/>
      <c r="BF254" s="41"/>
      <c r="BG254" s="41"/>
      <c r="BH254" s="41"/>
      <c r="BI254" s="41"/>
      <c r="BJ254" s="41"/>
      <c r="BK254" s="41"/>
      <c r="BL254" s="41"/>
      <c r="BM254" s="41"/>
      <c r="BN254" s="41"/>
    </row>
    <row r="255" spans="1:66" s="5" customFormat="1" hidden="1" x14ac:dyDescent="0.25">
      <c r="A255" s="7"/>
      <c r="B255" s="5" t="str">
        <f t="array" ref="B255">IFERROR(INDEX(DemandSupply,MATCH(INDEX($R$1:R255,SMALL(ROW($R$1:R255)+(10000*($R$1:R255="")),COUNTA($R$1:R255))),Sectors,0)),"")</f>
        <v>Demand</v>
      </c>
      <c r="M255" s="7"/>
      <c r="N255" s="76"/>
      <c r="O255" s="77"/>
      <c r="P255" s="77"/>
      <c r="Q255" s="82"/>
      <c r="R255" s="77"/>
      <c r="S255" s="76"/>
      <c r="T255" s="79"/>
      <c r="U255" s="82"/>
      <c r="V255" s="77"/>
      <c r="W255" s="77"/>
      <c r="X255" s="76"/>
      <c r="Y255" s="77"/>
      <c r="Z255" s="77"/>
      <c r="AA255" s="77"/>
      <c r="AB255" s="76"/>
      <c r="AC255" s="77"/>
      <c r="AD255" s="76"/>
      <c r="AE255" s="77"/>
      <c r="AF255" s="76"/>
      <c r="AG255" s="77"/>
      <c r="AH255" s="76"/>
      <c r="AI255" s="7"/>
      <c r="AJ255" s="27" t="str">
        <f t="shared" si="24"/>
        <v/>
      </c>
      <c r="AK255" s="3" t="s">
        <v>41</v>
      </c>
      <c r="AL255" s="3"/>
      <c r="AM255" s="3" t="s">
        <v>43</v>
      </c>
      <c r="AN255" s="89" t="s">
        <v>157</v>
      </c>
      <c r="AO255" s="90">
        <v>2000</v>
      </c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7"/>
      <c r="BA255" s="37"/>
      <c r="BB255" s="37"/>
      <c r="BC255" s="37"/>
      <c r="BD255" s="42"/>
      <c r="BE255" s="41"/>
      <c r="BF255" s="41"/>
      <c r="BG255" s="41"/>
      <c r="BH255" s="41"/>
      <c r="BI255" s="41"/>
      <c r="BJ255" s="41"/>
      <c r="BK255" s="41"/>
      <c r="BL255" s="41"/>
      <c r="BM255" s="41"/>
      <c r="BN255" s="41"/>
    </row>
    <row r="256" spans="1:66" s="5" customFormat="1" hidden="1" x14ac:dyDescent="0.25">
      <c r="A256" s="7"/>
      <c r="B256" s="5" t="str">
        <f t="array" ref="B256">IFERROR(INDEX(DemandSupply,MATCH(INDEX($R$1:R256,SMALL(ROW($R$1:R256)+(10000*($R$1:R256="")),COUNTA($R$1:R256))),Sectors,0)),"")</f>
        <v>Demand</v>
      </c>
      <c r="M256" s="7"/>
      <c r="N256" s="76"/>
      <c r="O256" s="77"/>
      <c r="P256" s="77"/>
      <c r="Q256" s="82"/>
      <c r="R256" s="77"/>
      <c r="S256" s="76"/>
      <c r="T256" s="79"/>
      <c r="U256" s="82"/>
      <c r="V256" s="77"/>
      <c r="W256" s="77"/>
      <c r="X256" s="76"/>
      <c r="Y256" s="77"/>
      <c r="Z256" s="77"/>
      <c r="AA256" s="77"/>
      <c r="AB256" s="76"/>
      <c r="AC256" s="77"/>
      <c r="AD256" s="76"/>
      <c r="AE256" s="77"/>
      <c r="AF256" s="76"/>
      <c r="AG256" s="77"/>
      <c r="AH256" s="76"/>
      <c r="AI256" s="7"/>
      <c r="AJ256" s="27" t="str">
        <f t="shared" si="24"/>
        <v/>
      </c>
      <c r="AK256" s="3" t="s">
        <v>40</v>
      </c>
      <c r="AL256" s="3"/>
      <c r="AM256" s="3" t="s">
        <v>43</v>
      </c>
      <c r="AN256" s="89" t="s">
        <v>157</v>
      </c>
      <c r="AO256" s="90">
        <v>2020</v>
      </c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7"/>
      <c r="BA256" s="37"/>
      <c r="BB256" s="37"/>
      <c r="BC256" s="37"/>
      <c r="BD256" s="42"/>
      <c r="BE256" s="41"/>
      <c r="BF256" s="41"/>
      <c r="BG256" s="41"/>
      <c r="BH256" s="41"/>
      <c r="BI256" s="41"/>
      <c r="BJ256" s="41"/>
      <c r="BK256" s="41"/>
      <c r="BL256" s="41"/>
      <c r="BM256" s="41"/>
      <c r="BN256" s="41"/>
    </row>
    <row r="257" spans="1:66" s="5" customFormat="1" hidden="1" x14ac:dyDescent="0.25">
      <c r="A257" s="7"/>
      <c r="B257" s="5" t="str">
        <f t="array" ref="B257">IFERROR(INDEX(DemandSupply,MATCH(INDEX($R$1:R257,SMALL(ROW($R$1:R257)+(10000*($R$1:R257="")),COUNTA($R$1:R257))),Sectors,0)),"")</f>
        <v>Demand</v>
      </c>
      <c r="M257" s="7"/>
      <c r="N257" s="76"/>
      <c r="O257" s="77"/>
      <c r="P257" s="77"/>
      <c r="Q257" s="82"/>
      <c r="R257" s="77"/>
      <c r="S257" s="76"/>
      <c r="T257" s="79"/>
      <c r="U257" s="82"/>
      <c r="V257" s="77"/>
      <c r="W257" s="77"/>
      <c r="X257" s="76"/>
      <c r="Y257" s="77"/>
      <c r="Z257" s="77"/>
      <c r="AA257" s="77"/>
      <c r="AB257" s="76"/>
      <c r="AC257" s="77"/>
      <c r="AD257" s="76"/>
      <c r="AE257" s="77"/>
      <c r="AF257" s="76"/>
      <c r="AG257" s="77"/>
      <c r="AH257" s="76"/>
      <c r="AI257" s="7"/>
      <c r="AJ257" s="27" t="str">
        <f t="shared" si="24"/>
        <v/>
      </c>
      <c r="AK257" s="3" t="s">
        <v>42</v>
      </c>
      <c r="AL257" s="3"/>
      <c r="AM257" s="3" t="s">
        <v>10</v>
      </c>
      <c r="AN257" s="89" t="s">
        <v>157</v>
      </c>
      <c r="AO257" s="90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7"/>
      <c r="BA257" s="37"/>
      <c r="BB257" s="37"/>
      <c r="BC257" s="37"/>
      <c r="BD257" s="42"/>
      <c r="BE257" s="41"/>
      <c r="BF257" s="41"/>
      <c r="BG257" s="41"/>
      <c r="BH257" s="41"/>
      <c r="BI257" s="41"/>
      <c r="BJ257" s="41"/>
      <c r="BK257" s="41"/>
      <c r="BL257" s="41"/>
      <c r="BM257" s="41"/>
      <c r="BN257" s="41"/>
    </row>
    <row r="258" spans="1:66" s="5" customFormat="1" hidden="1" x14ac:dyDescent="0.25">
      <c r="A258" s="7"/>
      <c r="B258" s="5" t="str">
        <f t="array" ref="B258">IFERROR(INDEX(DemandSupply,MATCH(INDEX($R$1:R258,SMALL(ROW($R$1:R258)+(10000*($R$1:R258="")),COUNTA($R$1:R258))),Sectors,0)),"")</f>
        <v>Demand</v>
      </c>
      <c r="M258" s="7"/>
      <c r="N258" s="76"/>
      <c r="O258" s="77"/>
      <c r="P258" s="77"/>
      <c r="Q258" s="82"/>
      <c r="R258" s="77"/>
      <c r="S258" s="76"/>
      <c r="T258" s="79"/>
      <c r="U258" s="82"/>
      <c r="V258" s="77"/>
      <c r="W258" s="77"/>
      <c r="X258" s="76"/>
      <c r="Y258" s="77"/>
      <c r="Z258" s="77"/>
      <c r="AA258" s="77"/>
      <c r="AB258" s="76"/>
      <c r="AC258" s="77"/>
      <c r="AD258" s="76"/>
      <c r="AE258" s="77"/>
      <c r="AF258" s="76"/>
      <c r="AG258" s="77"/>
      <c r="AH258" s="76"/>
      <c r="AI258" s="7"/>
      <c r="AJ258" s="27" t="str">
        <f t="shared" si="24"/>
        <v/>
      </c>
      <c r="AK258" s="3" t="s">
        <v>67</v>
      </c>
      <c r="AL258" s="3"/>
      <c r="AM258" s="3" t="s">
        <v>118</v>
      </c>
      <c r="AN258" s="89" t="s">
        <v>157</v>
      </c>
      <c r="AO258" s="90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7"/>
      <c r="BA258" s="37"/>
      <c r="BB258" s="37"/>
      <c r="BC258" s="37"/>
      <c r="BD258" s="42"/>
      <c r="BE258" s="41"/>
      <c r="BF258" s="41"/>
      <c r="BG258" s="41"/>
      <c r="BH258" s="41"/>
      <c r="BI258" s="41"/>
      <c r="BJ258" s="41"/>
      <c r="BK258" s="41"/>
      <c r="BL258" s="41"/>
      <c r="BM258" s="41"/>
      <c r="BN258" s="41"/>
    </row>
    <row r="259" spans="1:66" s="5" customFormat="1" hidden="1" x14ac:dyDescent="0.25">
      <c r="A259" s="7"/>
      <c r="B259" s="5" t="str">
        <f t="array" ref="B259">IFERROR(INDEX(DemandSupply,MATCH(INDEX($R$1:R259,SMALL(ROW($R$1:R259)+(10000*($R$1:R259="")),COUNTA($R$1:R259))),Sectors,0)),"")</f>
        <v>Demand</v>
      </c>
      <c r="M259" s="7"/>
      <c r="N259" s="76"/>
      <c r="O259" s="77"/>
      <c r="P259" s="77"/>
      <c r="Q259" s="82"/>
      <c r="R259" s="77"/>
      <c r="S259" s="76"/>
      <c r="T259" s="79"/>
      <c r="U259" s="82"/>
      <c r="V259" s="77"/>
      <c r="W259" s="77"/>
      <c r="X259" s="76"/>
      <c r="Y259" s="77"/>
      <c r="Z259" s="77"/>
      <c r="AA259" s="77"/>
      <c r="AB259" s="76"/>
      <c r="AC259" s="77"/>
      <c r="AD259" s="76"/>
      <c r="AE259" s="77"/>
      <c r="AF259" s="76"/>
      <c r="AG259" s="77"/>
      <c r="AH259" s="76"/>
      <c r="AI259" s="7"/>
      <c r="AJ259" s="27" t="str">
        <f t="shared" ref="AJ259:AJ322" si="27">IFERROR(INDEX($N259:$AH259,MATCH(TRUE,INDEX(($N259:$AH259&lt;&gt;0),0),0)),"")</f>
        <v/>
      </c>
      <c r="AK259" s="3" t="s">
        <v>38</v>
      </c>
      <c r="AL259" s="3"/>
      <c r="AM259" s="3" t="s">
        <v>17</v>
      </c>
      <c r="AN259" s="89" t="s">
        <v>157</v>
      </c>
      <c r="AO259" s="90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7"/>
      <c r="BA259" s="37"/>
      <c r="BB259" s="37"/>
      <c r="BC259" s="37"/>
      <c r="BD259" s="42"/>
      <c r="BE259" s="41"/>
      <c r="BF259" s="41"/>
      <c r="BG259" s="41"/>
      <c r="BH259" s="41"/>
      <c r="BI259" s="41"/>
      <c r="BJ259" s="41"/>
      <c r="BK259" s="41"/>
      <c r="BL259" s="41"/>
      <c r="BM259" s="41"/>
      <c r="BN259" s="41"/>
    </row>
    <row r="260" spans="1:66" s="5" customFormat="1" hidden="1" x14ac:dyDescent="0.25">
      <c r="A260" s="7"/>
      <c r="B260" s="5" t="str">
        <f t="array" ref="B260">IFERROR(INDEX(DemandSupply,MATCH(INDEX($R$1:R260,SMALL(ROW($R$1:R260)+(10000*($R$1:R260="")),COUNTA($R$1:R260))),Sectors,0)),"")</f>
        <v>Demand</v>
      </c>
      <c r="M260" s="7"/>
      <c r="N260" s="76"/>
      <c r="O260" s="77"/>
      <c r="P260" s="77"/>
      <c r="Q260" s="82"/>
      <c r="R260" s="77"/>
      <c r="S260" s="76"/>
      <c r="T260" s="79"/>
      <c r="U260" s="82"/>
      <c r="V260" s="77"/>
      <c r="W260" s="77"/>
      <c r="X260" s="76"/>
      <c r="Y260" s="77"/>
      <c r="Z260" s="77"/>
      <c r="AA260" s="77"/>
      <c r="AB260" s="76"/>
      <c r="AC260" s="77"/>
      <c r="AD260" s="76"/>
      <c r="AE260" s="77"/>
      <c r="AF260" s="76"/>
      <c r="AG260" s="77"/>
      <c r="AH260" s="76"/>
      <c r="AI260" s="7"/>
      <c r="AJ260" s="27" t="str">
        <f t="shared" si="27"/>
        <v/>
      </c>
      <c r="AK260" s="3" t="s">
        <v>44</v>
      </c>
      <c r="AL260" s="3"/>
      <c r="AM260" s="3" t="s">
        <v>17</v>
      </c>
      <c r="AN260" s="89" t="s">
        <v>157</v>
      </c>
      <c r="AO260" s="90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7"/>
      <c r="BA260" s="37"/>
      <c r="BB260" s="37"/>
      <c r="BC260" s="37"/>
      <c r="BD260" s="42"/>
      <c r="BE260" s="41"/>
      <c r="BF260" s="41"/>
      <c r="BG260" s="41"/>
      <c r="BH260" s="41"/>
      <c r="BI260" s="41"/>
      <c r="BJ260" s="41"/>
      <c r="BK260" s="41"/>
      <c r="BL260" s="41"/>
      <c r="BM260" s="41"/>
      <c r="BN260" s="41"/>
    </row>
    <row r="261" spans="1:66" s="5" customFormat="1" hidden="1" x14ac:dyDescent="0.25">
      <c r="A261" s="7"/>
      <c r="B261" s="5" t="str">
        <f t="array" ref="B261">IFERROR(INDEX(DemandSupply,MATCH(INDEX($R$1:R261,SMALL(ROW($R$1:R261)+(10000*($R$1:R261="")),COUNTA($R$1:R261))),Sectors,0)),"")</f>
        <v>Demand</v>
      </c>
      <c r="M261" s="7"/>
      <c r="N261" s="76"/>
      <c r="O261" s="77"/>
      <c r="P261" s="77"/>
      <c r="Q261" s="82"/>
      <c r="R261" s="77"/>
      <c r="S261" s="76"/>
      <c r="T261" s="79"/>
      <c r="U261" s="82"/>
      <c r="V261" s="77"/>
      <c r="W261" s="77"/>
      <c r="X261" s="76"/>
      <c r="Y261" s="77"/>
      <c r="Z261" s="77"/>
      <c r="AA261" s="77"/>
      <c r="AB261" s="76"/>
      <c r="AC261" s="77"/>
      <c r="AD261" s="76"/>
      <c r="AE261" s="77"/>
      <c r="AF261" s="76"/>
      <c r="AG261" s="77"/>
      <c r="AH261" s="76"/>
      <c r="AI261" s="7"/>
      <c r="AJ261" s="27" t="str">
        <f t="shared" si="27"/>
        <v/>
      </c>
      <c r="AK261" s="3" t="s">
        <v>51</v>
      </c>
      <c r="AL261" s="3"/>
      <c r="AM261" s="3" t="s">
        <v>17</v>
      </c>
      <c r="AN261" s="89" t="s">
        <v>157</v>
      </c>
      <c r="AO261" s="90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7"/>
      <c r="BA261" s="37"/>
      <c r="BB261" s="37"/>
      <c r="BC261" s="37"/>
      <c r="BD261" s="42"/>
      <c r="BE261" s="41"/>
      <c r="BF261" s="41"/>
      <c r="BG261" s="41"/>
      <c r="BH261" s="41"/>
      <c r="BI261" s="41"/>
      <c r="BJ261" s="41"/>
      <c r="BK261" s="41"/>
      <c r="BL261" s="41"/>
      <c r="BM261" s="41"/>
      <c r="BN261" s="41"/>
    </row>
    <row r="262" spans="1:66" s="5" customFormat="1" hidden="1" x14ac:dyDescent="0.25">
      <c r="A262" s="7"/>
      <c r="B262" s="5" t="str">
        <f t="array" ref="B262">IFERROR(INDEX(DemandSupply,MATCH(INDEX($R$1:R262,SMALL(ROW($R$1:R262)+(10000*($R$1:R262="")),COUNTA($R$1:R262))),Sectors,0)),"")</f>
        <v>Demand</v>
      </c>
      <c r="M262" s="7"/>
      <c r="N262" s="76"/>
      <c r="O262" s="77"/>
      <c r="P262" s="77"/>
      <c r="Q262" s="82"/>
      <c r="R262" s="77"/>
      <c r="S262" s="76"/>
      <c r="T262" s="79"/>
      <c r="U262" s="82"/>
      <c r="V262" s="77"/>
      <c r="W262" s="77"/>
      <c r="X262" s="76"/>
      <c r="Y262" s="77"/>
      <c r="Z262" s="77"/>
      <c r="AA262" s="77"/>
      <c r="AB262" s="76"/>
      <c r="AC262" s="77"/>
      <c r="AD262" s="76"/>
      <c r="AE262" s="77"/>
      <c r="AF262" s="76"/>
      <c r="AG262" s="77"/>
      <c r="AH262" s="76"/>
      <c r="AI262" s="7"/>
      <c r="AJ262" s="27" t="str">
        <f t="shared" si="27"/>
        <v/>
      </c>
      <c r="AK262" s="3" t="s">
        <v>95</v>
      </c>
      <c r="AL262" s="3"/>
      <c r="AM262" s="3" t="s">
        <v>17</v>
      </c>
      <c r="AN262" s="89" t="s">
        <v>157</v>
      </c>
      <c r="AO262" s="91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7"/>
      <c r="BA262" s="37"/>
      <c r="BB262" s="37"/>
      <c r="BC262" s="37"/>
      <c r="BD262" s="42"/>
      <c r="BE262" s="41"/>
      <c r="BF262" s="41"/>
      <c r="BG262" s="41"/>
      <c r="BH262" s="41"/>
      <c r="BI262" s="41"/>
      <c r="BJ262" s="41"/>
      <c r="BK262" s="41"/>
      <c r="BL262" s="41"/>
      <c r="BM262" s="41"/>
      <c r="BN262" s="41"/>
    </row>
    <row r="263" spans="1:66" s="5" customFormat="1" hidden="1" x14ac:dyDescent="0.25">
      <c r="A263" s="7"/>
      <c r="B263" s="5" t="str">
        <f t="array" ref="B263">IFERROR(INDEX(DemandSupply,MATCH(INDEX($R$1:R263,SMALL(ROW($R$1:R263)+(10000*($R$1:R263="")),COUNTA($R$1:R263))),Sectors,0)),"")</f>
        <v>Demand</v>
      </c>
      <c r="M263" s="7"/>
      <c r="N263" s="76"/>
      <c r="O263" s="77"/>
      <c r="P263" s="77"/>
      <c r="Q263" s="82"/>
      <c r="R263" s="77"/>
      <c r="S263" s="76"/>
      <c r="T263" s="79"/>
      <c r="U263" s="82"/>
      <c r="V263" s="77"/>
      <c r="W263" s="77"/>
      <c r="X263" s="76"/>
      <c r="Y263" s="77"/>
      <c r="Z263" s="77"/>
      <c r="AA263" s="77"/>
      <c r="AB263" s="76"/>
      <c r="AC263" s="77"/>
      <c r="AD263" s="76"/>
      <c r="AE263" s="77"/>
      <c r="AF263" s="76"/>
      <c r="AG263" s="77"/>
      <c r="AH263" s="76"/>
      <c r="AI263" s="7"/>
      <c r="AJ263" s="27" t="str">
        <f t="shared" si="27"/>
        <v/>
      </c>
      <c r="AK263" s="3" t="s">
        <v>146</v>
      </c>
      <c r="AL263" s="3" t="s">
        <v>162</v>
      </c>
      <c r="AM263" s="3"/>
      <c r="AN263" s="89" t="s">
        <v>157</v>
      </c>
      <c r="AO263" s="91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7"/>
      <c r="BA263" s="37"/>
      <c r="BB263" s="37"/>
      <c r="BC263" s="37"/>
      <c r="BD263" s="42"/>
      <c r="BE263" s="41"/>
      <c r="BF263" s="41"/>
      <c r="BG263" s="41"/>
      <c r="BH263" s="41"/>
      <c r="BI263" s="41"/>
      <c r="BJ263" s="41"/>
      <c r="BK263" s="41"/>
      <c r="BL263" s="41"/>
      <c r="BM263" s="41"/>
      <c r="BN263" s="41"/>
    </row>
    <row r="264" spans="1:66" s="5" customFormat="1" hidden="1" x14ac:dyDescent="0.25">
      <c r="A264" s="7"/>
      <c r="B264" s="5" t="str">
        <f t="array" ref="B264">IFERROR(INDEX(DemandSupply,MATCH(INDEX($R$1:R264,SMALL(ROW($R$1:R264)+(10000*($R$1:R264="")),COUNTA($R$1:R264))),Sectors,0)),"")</f>
        <v>Demand</v>
      </c>
      <c r="M264" s="7"/>
      <c r="N264" s="76"/>
      <c r="O264" s="77"/>
      <c r="P264" s="77"/>
      <c r="Q264" s="82"/>
      <c r="R264" s="77"/>
      <c r="S264" s="76"/>
      <c r="T264" s="79"/>
      <c r="U264" s="82"/>
      <c r="V264" s="77"/>
      <c r="W264" s="77"/>
      <c r="X264" s="76"/>
      <c r="Y264" s="77"/>
      <c r="Z264" s="77"/>
      <c r="AA264" s="77"/>
      <c r="AB264" s="76"/>
      <c r="AC264" s="77"/>
      <c r="AD264" s="76"/>
      <c r="AE264" s="77"/>
      <c r="AF264" s="76"/>
      <c r="AG264" s="77"/>
      <c r="AH264" s="76"/>
      <c r="AI264" s="7"/>
      <c r="AJ264" s="27" t="str">
        <f t="shared" si="27"/>
        <v/>
      </c>
      <c r="AK264" s="3" t="s">
        <v>47</v>
      </c>
      <c r="AL264" s="3"/>
      <c r="AM264" s="3" t="s">
        <v>118</v>
      </c>
      <c r="AN264" s="89" t="s">
        <v>157</v>
      </c>
      <c r="AO264" s="90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7"/>
      <c r="BA264" s="37"/>
      <c r="BB264" s="37"/>
      <c r="BC264" s="37"/>
      <c r="BD264" s="42"/>
      <c r="BE264" s="41"/>
      <c r="BF264" s="41"/>
      <c r="BG264" s="41"/>
      <c r="BH264" s="41"/>
      <c r="BI264" s="41"/>
      <c r="BJ264" s="41"/>
      <c r="BK264" s="41"/>
      <c r="BL264" s="41"/>
      <c r="BM264" s="41"/>
      <c r="BN264" s="41"/>
    </row>
    <row r="265" spans="1:66" s="5" customFormat="1" hidden="1" x14ac:dyDescent="0.25">
      <c r="A265" s="7"/>
      <c r="B265" s="5" t="str">
        <f t="array" ref="B265">IFERROR(INDEX(DemandSupply,MATCH(INDEX($R$1:R265,SMALL(ROW($R$1:R265)+(10000*($R$1:R265="")),COUNTA($R$1:R265))),Sectors,0)),"")</f>
        <v>Demand</v>
      </c>
      <c r="M265" s="7"/>
      <c r="N265" s="76"/>
      <c r="O265" s="77"/>
      <c r="P265" s="77"/>
      <c r="Q265" s="82"/>
      <c r="R265" s="77"/>
      <c r="S265" s="76"/>
      <c r="T265" s="79"/>
      <c r="U265" s="82"/>
      <c r="V265" s="77"/>
      <c r="W265" s="77"/>
      <c r="X265" s="76"/>
      <c r="Y265" s="77"/>
      <c r="Z265" s="77"/>
      <c r="AA265" s="77"/>
      <c r="AB265" s="76"/>
      <c r="AC265" s="77"/>
      <c r="AD265" s="76"/>
      <c r="AE265" s="77"/>
      <c r="AF265" s="76"/>
      <c r="AG265" s="77"/>
      <c r="AH265" s="76"/>
      <c r="AI265" s="7"/>
      <c r="AJ265" s="27" t="str">
        <f t="shared" si="27"/>
        <v/>
      </c>
      <c r="AK265" s="3" t="s">
        <v>48</v>
      </c>
      <c r="AL265" s="3"/>
      <c r="AM265" s="3" t="s">
        <v>118</v>
      </c>
      <c r="AN265" s="89" t="s">
        <v>157</v>
      </c>
      <c r="AO265" s="90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7"/>
      <c r="BA265" s="37"/>
      <c r="BB265" s="37"/>
      <c r="BC265" s="37"/>
      <c r="BD265" s="42"/>
      <c r="BE265" s="41"/>
      <c r="BF265" s="41"/>
      <c r="BG265" s="41"/>
      <c r="BH265" s="41"/>
      <c r="BI265" s="41"/>
      <c r="BJ265" s="41"/>
      <c r="BK265" s="41"/>
      <c r="BL265" s="41"/>
      <c r="BM265" s="41"/>
      <c r="BN265" s="41"/>
    </row>
    <row r="266" spans="1:66" s="5" customFormat="1" hidden="1" x14ac:dyDescent="0.25">
      <c r="A266" s="7"/>
      <c r="B266" s="5" t="str">
        <f t="array" ref="B266">IFERROR(INDEX(DemandSupply,MATCH(INDEX($R$1:R266,SMALL(ROW($R$1:R266)+(10000*($R$1:R266="")),COUNTA($R$1:R266))),Sectors,0)),"")</f>
        <v>Demand</v>
      </c>
      <c r="M266" s="7"/>
      <c r="N266" s="76"/>
      <c r="O266" s="77"/>
      <c r="P266" s="77"/>
      <c r="Q266" s="82"/>
      <c r="R266" s="77"/>
      <c r="S266" s="76"/>
      <c r="T266" s="79"/>
      <c r="U266" s="82"/>
      <c r="V266" s="77"/>
      <c r="W266" s="77"/>
      <c r="X266" s="76"/>
      <c r="Y266" s="77"/>
      <c r="Z266" s="77"/>
      <c r="AA266" s="77"/>
      <c r="AB266" s="76"/>
      <c r="AC266" s="77"/>
      <c r="AD266" s="76"/>
      <c r="AE266" s="77"/>
      <c r="AF266" s="76"/>
      <c r="AG266" s="77"/>
      <c r="AH266" s="76"/>
      <c r="AI266" s="7"/>
      <c r="AJ266" s="27" t="str">
        <f t="shared" si="27"/>
        <v/>
      </c>
      <c r="AK266" s="3" t="s">
        <v>94</v>
      </c>
      <c r="AL266" s="3"/>
      <c r="AM266" s="3" t="s">
        <v>57</v>
      </c>
      <c r="AN266" s="89" t="s">
        <v>157</v>
      </c>
      <c r="AO266" s="90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7"/>
      <c r="BA266" s="37"/>
      <c r="BB266" s="37"/>
      <c r="BC266" s="37"/>
      <c r="BD266" s="42"/>
      <c r="BE266" s="41"/>
      <c r="BF266" s="41"/>
      <c r="BG266" s="41"/>
      <c r="BH266" s="41"/>
      <c r="BI266" s="41"/>
      <c r="BJ266" s="41"/>
      <c r="BK266" s="41"/>
      <c r="BL266" s="41"/>
      <c r="BM266" s="41"/>
      <c r="BN266" s="41"/>
    </row>
    <row r="267" spans="1:66" s="5" customFormat="1" hidden="1" x14ac:dyDescent="0.25">
      <c r="A267" s="7"/>
      <c r="B267" s="5" t="str">
        <f t="array" ref="B267">IFERROR(INDEX(DemandSupply,MATCH(INDEX($R$1:R267,SMALL(ROW($R$1:R267)+(10000*($R$1:R267="")),COUNTA($R$1:R267))),Sectors,0)),"")</f>
        <v>Demand</v>
      </c>
      <c r="M267" s="7"/>
      <c r="N267" s="76"/>
      <c r="O267" s="77"/>
      <c r="P267" s="77"/>
      <c r="Q267" s="82"/>
      <c r="R267" s="77"/>
      <c r="S267" s="76"/>
      <c r="T267" s="79"/>
      <c r="U267" s="82"/>
      <c r="V267" s="77"/>
      <c r="W267" s="77"/>
      <c r="X267" s="76"/>
      <c r="Y267" s="77"/>
      <c r="Z267" s="77"/>
      <c r="AA267" s="77"/>
      <c r="AB267" s="76"/>
      <c r="AC267" s="77"/>
      <c r="AD267" s="76"/>
      <c r="AE267" s="77"/>
      <c r="AF267" s="76"/>
      <c r="AG267" s="77"/>
      <c r="AH267" s="76"/>
      <c r="AI267" s="7"/>
      <c r="AJ267" s="27" t="str">
        <f t="shared" si="27"/>
        <v/>
      </c>
      <c r="AK267" s="3" t="s">
        <v>91</v>
      </c>
      <c r="AL267" s="3"/>
      <c r="AM267" s="3" t="s">
        <v>118</v>
      </c>
      <c r="AN267" s="89" t="s">
        <v>157</v>
      </c>
      <c r="AO267" s="92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7"/>
      <c r="BA267" s="37"/>
      <c r="BB267" s="37"/>
      <c r="BC267" s="37"/>
      <c r="BD267" s="42"/>
      <c r="BE267" s="41"/>
      <c r="BF267" s="41"/>
      <c r="BG267" s="41"/>
      <c r="BH267" s="41"/>
      <c r="BI267" s="41"/>
      <c r="BJ267" s="41"/>
      <c r="BK267" s="41"/>
      <c r="BL267" s="41"/>
      <c r="BM267" s="41"/>
      <c r="BN267" s="41"/>
    </row>
    <row r="268" spans="1:66" s="5" customFormat="1" hidden="1" x14ac:dyDescent="0.25">
      <c r="A268" s="7"/>
      <c r="B268" s="5" t="str">
        <f t="array" ref="B268">IFERROR(INDEX(DemandSupply,MATCH(INDEX($R$1:R268,SMALL(ROW($R$1:R268)+(10000*($R$1:R268="")),COUNTA($R$1:R268))),Sectors,0)),"")</f>
        <v>Demand</v>
      </c>
      <c r="M268" s="7"/>
      <c r="N268" s="76"/>
      <c r="O268" s="77"/>
      <c r="P268" s="77"/>
      <c r="Q268" s="82"/>
      <c r="R268" s="77"/>
      <c r="S268" s="76"/>
      <c r="T268" s="79"/>
      <c r="U268" s="82"/>
      <c r="V268" s="77"/>
      <c r="W268" s="77"/>
      <c r="X268" s="76"/>
      <c r="Y268" s="77"/>
      <c r="Z268" s="77"/>
      <c r="AA268" s="77"/>
      <c r="AB268" s="76"/>
      <c r="AC268" s="77"/>
      <c r="AD268" s="76"/>
      <c r="AE268" s="77"/>
      <c r="AF268" s="76"/>
      <c r="AG268" s="77"/>
      <c r="AH268" s="76"/>
      <c r="AI268" s="7"/>
      <c r="AJ268" s="27" t="str">
        <f t="shared" si="27"/>
        <v/>
      </c>
      <c r="AK268" s="101" t="s">
        <v>63</v>
      </c>
      <c r="AL268" s="3"/>
      <c r="AM268" s="3"/>
      <c r="AN268" s="89" t="s">
        <v>154</v>
      </c>
      <c r="AO268" s="90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7"/>
      <c r="BA268" s="37"/>
      <c r="BB268" s="37"/>
      <c r="BC268" s="37"/>
      <c r="BD268" s="42"/>
      <c r="BE268" s="41"/>
      <c r="BF268" s="41"/>
      <c r="BG268" s="41"/>
      <c r="BH268" s="41"/>
      <c r="BI268" s="41"/>
      <c r="BJ268" s="41"/>
      <c r="BK268" s="41"/>
      <c r="BL268" s="41"/>
      <c r="BM268" s="41"/>
      <c r="BN268" s="41"/>
    </row>
    <row r="269" spans="1:66" s="5" customFormat="1" hidden="1" x14ac:dyDescent="0.25">
      <c r="A269" s="7"/>
      <c r="B269" s="5" t="str">
        <f t="array" ref="B269">IFERROR(INDEX(DemandSupply,MATCH(INDEX($R$1:R269,SMALL(ROW($R$1:R269)+(10000*($R$1:R269="")),COUNTA($R$1:R269))),Sectors,0)),"")</f>
        <v>Demand</v>
      </c>
      <c r="M269" s="7"/>
      <c r="N269" s="76"/>
      <c r="O269" s="77"/>
      <c r="P269" s="77"/>
      <c r="Q269" s="82"/>
      <c r="R269" s="77"/>
      <c r="S269" s="76"/>
      <c r="T269" s="79"/>
      <c r="U269" s="82"/>
      <c r="V269" s="77"/>
      <c r="W269" s="77"/>
      <c r="X269" s="76"/>
      <c r="Y269" s="77"/>
      <c r="Z269" s="77"/>
      <c r="AA269" s="77"/>
      <c r="AB269" s="76"/>
      <c r="AC269" s="77"/>
      <c r="AD269" s="76"/>
      <c r="AE269" s="77"/>
      <c r="AF269" s="76"/>
      <c r="AG269" s="77"/>
      <c r="AH269" s="76"/>
      <c r="AI269" s="7"/>
      <c r="AJ269" s="27" t="str">
        <f t="shared" si="27"/>
        <v/>
      </c>
      <c r="AK269" s="3" t="s">
        <v>41</v>
      </c>
      <c r="AL269" s="3"/>
      <c r="AM269" s="3" t="s">
        <v>43</v>
      </c>
      <c r="AN269" s="89" t="s">
        <v>154</v>
      </c>
      <c r="AO269" s="90">
        <v>1990</v>
      </c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7"/>
      <c r="BA269" s="37"/>
      <c r="BB269" s="37"/>
      <c r="BC269" s="37"/>
      <c r="BD269" s="42"/>
      <c r="BE269" s="41"/>
      <c r="BF269" s="41"/>
      <c r="BG269" s="41"/>
      <c r="BH269" s="41"/>
      <c r="BI269" s="41"/>
      <c r="BJ269" s="41"/>
      <c r="BK269" s="41"/>
      <c r="BL269" s="41"/>
      <c r="BM269" s="41"/>
      <c r="BN269" s="41"/>
    </row>
    <row r="270" spans="1:66" s="5" customFormat="1" hidden="1" x14ac:dyDescent="0.25">
      <c r="A270" s="7"/>
      <c r="B270" s="5" t="str">
        <f t="array" ref="B270">IFERROR(INDEX(DemandSupply,MATCH(INDEX($R$1:R270,SMALL(ROW($R$1:R270)+(10000*($R$1:R270="")),COUNTA($R$1:R270))),Sectors,0)),"")</f>
        <v>Demand</v>
      </c>
      <c r="M270" s="7"/>
      <c r="N270" s="76"/>
      <c r="O270" s="77"/>
      <c r="P270" s="77"/>
      <c r="Q270" s="82"/>
      <c r="R270" s="77"/>
      <c r="S270" s="76"/>
      <c r="T270" s="79"/>
      <c r="U270" s="82"/>
      <c r="V270" s="77"/>
      <c r="W270" s="77"/>
      <c r="X270" s="76"/>
      <c r="Y270" s="77"/>
      <c r="Z270" s="77"/>
      <c r="AA270" s="77"/>
      <c r="AB270" s="76"/>
      <c r="AC270" s="77"/>
      <c r="AD270" s="76"/>
      <c r="AE270" s="77"/>
      <c r="AF270" s="76"/>
      <c r="AG270" s="77"/>
      <c r="AH270" s="76"/>
      <c r="AI270" s="7"/>
      <c r="AJ270" s="27" t="str">
        <f t="shared" si="27"/>
        <v/>
      </c>
      <c r="AK270" s="3" t="s">
        <v>40</v>
      </c>
      <c r="AL270" s="3"/>
      <c r="AM270" s="3" t="s">
        <v>43</v>
      </c>
      <c r="AN270" s="89" t="s">
        <v>154</v>
      </c>
      <c r="AO270" s="90">
        <v>2000</v>
      </c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7"/>
      <c r="BA270" s="37"/>
      <c r="BB270" s="37"/>
      <c r="BC270" s="37"/>
      <c r="BD270" s="42"/>
      <c r="BE270" s="41"/>
      <c r="BF270" s="41"/>
      <c r="BG270" s="41"/>
      <c r="BH270" s="41"/>
      <c r="BI270" s="41"/>
      <c r="BJ270" s="41"/>
      <c r="BK270" s="41"/>
      <c r="BL270" s="41"/>
      <c r="BM270" s="41"/>
      <c r="BN270" s="41"/>
    </row>
    <row r="271" spans="1:66" s="5" customFormat="1" hidden="1" x14ac:dyDescent="0.25">
      <c r="A271" s="7"/>
      <c r="B271" s="5" t="str">
        <f t="array" ref="B271">IFERROR(INDEX(DemandSupply,MATCH(INDEX($R$1:R271,SMALL(ROW($R$1:R271)+(10000*($R$1:R271="")),COUNTA($R$1:R271))),Sectors,0)),"")</f>
        <v>Demand</v>
      </c>
      <c r="M271" s="7"/>
      <c r="N271" s="76"/>
      <c r="O271" s="77"/>
      <c r="P271" s="77"/>
      <c r="Q271" s="82"/>
      <c r="R271" s="77"/>
      <c r="S271" s="76"/>
      <c r="T271" s="79"/>
      <c r="U271" s="82"/>
      <c r="V271" s="77"/>
      <c r="W271" s="77"/>
      <c r="X271" s="76"/>
      <c r="Y271" s="77"/>
      <c r="Z271" s="77"/>
      <c r="AA271" s="77"/>
      <c r="AB271" s="76"/>
      <c r="AC271" s="77"/>
      <c r="AD271" s="76"/>
      <c r="AE271" s="77"/>
      <c r="AF271" s="76"/>
      <c r="AG271" s="77"/>
      <c r="AH271" s="76"/>
      <c r="AI271" s="7"/>
      <c r="AJ271" s="27" t="str">
        <f t="shared" si="27"/>
        <v/>
      </c>
      <c r="AK271" s="3" t="s">
        <v>42</v>
      </c>
      <c r="AL271" s="3"/>
      <c r="AM271" s="3" t="s">
        <v>10</v>
      </c>
      <c r="AN271" s="89" t="s">
        <v>154</v>
      </c>
      <c r="AO271" s="90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7"/>
      <c r="BA271" s="37"/>
      <c r="BB271" s="37"/>
      <c r="BC271" s="37"/>
      <c r="BD271" s="42"/>
      <c r="BE271" s="41"/>
      <c r="BF271" s="41"/>
      <c r="BG271" s="41"/>
      <c r="BH271" s="41"/>
      <c r="BI271" s="41"/>
      <c r="BJ271" s="41"/>
      <c r="BK271" s="41"/>
      <c r="BL271" s="41"/>
      <c r="BM271" s="41"/>
      <c r="BN271" s="41"/>
    </row>
    <row r="272" spans="1:66" s="5" customFormat="1" hidden="1" x14ac:dyDescent="0.25">
      <c r="A272" s="7"/>
      <c r="B272" s="5" t="str">
        <f t="array" ref="B272">IFERROR(INDEX(DemandSupply,MATCH(INDEX($R$1:R272,SMALL(ROW($R$1:R272)+(10000*($R$1:R272="")),COUNTA($R$1:R272))),Sectors,0)),"")</f>
        <v>Demand</v>
      </c>
      <c r="M272" s="7"/>
      <c r="N272" s="76"/>
      <c r="O272" s="77"/>
      <c r="P272" s="77"/>
      <c r="Q272" s="82"/>
      <c r="R272" s="77"/>
      <c r="S272" s="76"/>
      <c r="T272" s="79"/>
      <c r="U272" s="82"/>
      <c r="V272" s="77"/>
      <c r="W272" s="77"/>
      <c r="X272" s="76"/>
      <c r="Y272" s="77"/>
      <c r="Z272" s="77"/>
      <c r="AA272" s="77"/>
      <c r="AB272" s="76"/>
      <c r="AC272" s="77"/>
      <c r="AD272" s="76"/>
      <c r="AE272" s="77"/>
      <c r="AF272" s="76"/>
      <c r="AG272" s="77"/>
      <c r="AH272" s="76"/>
      <c r="AI272" s="7"/>
      <c r="AJ272" s="27" t="str">
        <f t="shared" si="27"/>
        <v/>
      </c>
      <c r="AK272" s="3" t="s">
        <v>67</v>
      </c>
      <c r="AL272" s="3"/>
      <c r="AM272" s="3" t="s">
        <v>118</v>
      </c>
      <c r="AN272" s="89" t="s">
        <v>154</v>
      </c>
      <c r="AO272" s="90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7"/>
      <c r="BA272" s="37"/>
      <c r="BB272" s="37"/>
      <c r="BC272" s="37"/>
      <c r="BD272" s="42"/>
      <c r="BE272" s="41"/>
      <c r="BF272" s="41"/>
      <c r="BG272" s="41"/>
      <c r="BH272" s="41"/>
      <c r="BI272" s="41"/>
      <c r="BJ272" s="41"/>
      <c r="BK272" s="41"/>
      <c r="BL272" s="41"/>
      <c r="BM272" s="41"/>
      <c r="BN272" s="41"/>
    </row>
    <row r="273" spans="1:66" s="5" customFormat="1" hidden="1" x14ac:dyDescent="0.25">
      <c r="A273" s="7"/>
      <c r="B273" s="5" t="str">
        <f t="array" ref="B273">IFERROR(INDEX(DemandSupply,MATCH(INDEX($R$1:R273,SMALL(ROW($R$1:R273)+(10000*($R$1:R273="")),COUNTA($R$1:R273))),Sectors,0)),"")</f>
        <v>Demand</v>
      </c>
      <c r="M273" s="7"/>
      <c r="N273" s="76"/>
      <c r="O273" s="77"/>
      <c r="P273" s="77"/>
      <c r="Q273" s="82"/>
      <c r="R273" s="77"/>
      <c r="S273" s="76"/>
      <c r="T273" s="79"/>
      <c r="U273" s="82"/>
      <c r="V273" s="77"/>
      <c r="W273" s="77"/>
      <c r="X273" s="76"/>
      <c r="Y273" s="77"/>
      <c r="Z273" s="77"/>
      <c r="AA273" s="77"/>
      <c r="AB273" s="76"/>
      <c r="AC273" s="77"/>
      <c r="AD273" s="76"/>
      <c r="AE273" s="77"/>
      <c r="AF273" s="76"/>
      <c r="AG273" s="77"/>
      <c r="AH273" s="76"/>
      <c r="AI273" s="7"/>
      <c r="AJ273" s="27" t="str">
        <f t="shared" si="27"/>
        <v/>
      </c>
      <c r="AK273" s="3" t="s">
        <v>38</v>
      </c>
      <c r="AL273" s="3"/>
      <c r="AM273" s="3" t="s">
        <v>17</v>
      </c>
      <c r="AN273" s="89" t="s">
        <v>154</v>
      </c>
      <c r="AO273" s="90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7"/>
      <c r="BA273" s="37"/>
      <c r="BB273" s="37"/>
      <c r="BC273" s="37"/>
      <c r="BD273" s="42"/>
      <c r="BE273" s="41"/>
      <c r="BF273" s="41"/>
      <c r="BG273" s="41"/>
      <c r="BH273" s="41"/>
      <c r="BI273" s="41"/>
      <c r="BJ273" s="41"/>
      <c r="BK273" s="41"/>
      <c r="BL273" s="41"/>
      <c r="BM273" s="41"/>
      <c r="BN273" s="41"/>
    </row>
    <row r="274" spans="1:66" s="5" customFormat="1" hidden="1" x14ac:dyDescent="0.25">
      <c r="A274" s="7"/>
      <c r="B274" s="5" t="str">
        <f t="array" ref="B274">IFERROR(INDEX(DemandSupply,MATCH(INDEX($R$1:R274,SMALL(ROW($R$1:R274)+(10000*($R$1:R274="")),COUNTA($R$1:R274))),Sectors,0)),"")</f>
        <v>Demand</v>
      </c>
      <c r="M274" s="7"/>
      <c r="N274" s="76"/>
      <c r="O274" s="77"/>
      <c r="P274" s="77"/>
      <c r="Q274" s="82"/>
      <c r="R274" s="77"/>
      <c r="S274" s="76"/>
      <c r="T274" s="79"/>
      <c r="U274" s="82"/>
      <c r="V274" s="77"/>
      <c r="W274" s="77"/>
      <c r="X274" s="76"/>
      <c r="Y274" s="77"/>
      <c r="Z274" s="77"/>
      <c r="AA274" s="77"/>
      <c r="AB274" s="76"/>
      <c r="AC274" s="77"/>
      <c r="AD274" s="76"/>
      <c r="AE274" s="77"/>
      <c r="AF274" s="76"/>
      <c r="AG274" s="77"/>
      <c r="AH274" s="76"/>
      <c r="AI274" s="7"/>
      <c r="AJ274" s="27" t="str">
        <f t="shared" si="27"/>
        <v/>
      </c>
      <c r="AK274" s="3" t="s">
        <v>44</v>
      </c>
      <c r="AL274" s="3"/>
      <c r="AM274" s="3" t="s">
        <v>17</v>
      </c>
      <c r="AN274" s="89" t="s">
        <v>154</v>
      </c>
      <c r="AO274" s="90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7"/>
      <c r="BA274" s="37"/>
      <c r="BB274" s="37"/>
      <c r="BC274" s="37"/>
      <c r="BD274" s="42"/>
      <c r="BE274" s="41"/>
      <c r="BF274" s="41"/>
      <c r="BG274" s="41"/>
      <c r="BH274" s="41"/>
      <c r="BI274" s="41"/>
      <c r="BJ274" s="41"/>
      <c r="BK274" s="41"/>
      <c r="BL274" s="41"/>
      <c r="BM274" s="41"/>
      <c r="BN274" s="41"/>
    </row>
    <row r="275" spans="1:66" s="5" customFormat="1" hidden="1" x14ac:dyDescent="0.25">
      <c r="A275" s="7"/>
      <c r="B275" s="5" t="str">
        <f t="array" ref="B275">IFERROR(INDEX(DemandSupply,MATCH(INDEX($R$1:R275,SMALL(ROW($R$1:R275)+(10000*($R$1:R275="")),COUNTA($R$1:R275))),Sectors,0)),"")</f>
        <v>Demand</v>
      </c>
      <c r="M275" s="7"/>
      <c r="N275" s="76"/>
      <c r="O275" s="77"/>
      <c r="P275" s="77"/>
      <c r="Q275" s="82"/>
      <c r="R275" s="77"/>
      <c r="S275" s="76"/>
      <c r="T275" s="79"/>
      <c r="U275" s="82"/>
      <c r="V275" s="77"/>
      <c r="W275" s="77"/>
      <c r="X275" s="76"/>
      <c r="Y275" s="77"/>
      <c r="Z275" s="77"/>
      <c r="AA275" s="77"/>
      <c r="AB275" s="76"/>
      <c r="AC275" s="77"/>
      <c r="AD275" s="76"/>
      <c r="AE275" s="77"/>
      <c r="AF275" s="76"/>
      <c r="AG275" s="77"/>
      <c r="AH275" s="76"/>
      <c r="AI275" s="7"/>
      <c r="AJ275" s="27" t="str">
        <f t="shared" si="27"/>
        <v/>
      </c>
      <c r="AK275" s="3" t="s">
        <v>51</v>
      </c>
      <c r="AL275" s="3"/>
      <c r="AM275" s="3" t="s">
        <v>17</v>
      </c>
      <c r="AN275" s="89" t="s">
        <v>154</v>
      </c>
      <c r="AO275" s="90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7"/>
      <c r="BA275" s="37"/>
      <c r="BB275" s="37"/>
      <c r="BC275" s="37"/>
      <c r="BD275" s="42"/>
      <c r="BE275" s="41"/>
      <c r="BF275" s="41"/>
      <c r="BG275" s="41"/>
      <c r="BH275" s="41"/>
      <c r="BI275" s="41"/>
      <c r="BJ275" s="41"/>
      <c r="BK275" s="41"/>
      <c r="BL275" s="41"/>
      <c r="BM275" s="41"/>
      <c r="BN275" s="41"/>
    </row>
    <row r="276" spans="1:66" s="5" customFormat="1" hidden="1" x14ac:dyDescent="0.25">
      <c r="A276" s="7"/>
      <c r="B276" s="5" t="str">
        <f t="array" ref="B276">IFERROR(INDEX(DemandSupply,MATCH(INDEX($R$1:R276,SMALL(ROW($R$1:R276)+(10000*($R$1:R276="")),COUNTA($R$1:R276))),Sectors,0)),"")</f>
        <v>Demand</v>
      </c>
      <c r="M276" s="7"/>
      <c r="N276" s="76"/>
      <c r="O276" s="77"/>
      <c r="P276" s="77"/>
      <c r="Q276" s="82"/>
      <c r="R276" s="77"/>
      <c r="S276" s="76"/>
      <c r="T276" s="79"/>
      <c r="U276" s="82"/>
      <c r="V276" s="77"/>
      <c r="W276" s="77"/>
      <c r="X276" s="76"/>
      <c r="Y276" s="77"/>
      <c r="Z276" s="77"/>
      <c r="AA276" s="77"/>
      <c r="AB276" s="76"/>
      <c r="AC276" s="77"/>
      <c r="AD276" s="76"/>
      <c r="AE276" s="77"/>
      <c r="AF276" s="76"/>
      <c r="AG276" s="77"/>
      <c r="AH276" s="76"/>
      <c r="AI276" s="7"/>
      <c r="AJ276" s="27" t="str">
        <f t="shared" si="27"/>
        <v/>
      </c>
      <c r="AK276" s="3" t="s">
        <v>95</v>
      </c>
      <c r="AL276" s="3"/>
      <c r="AM276" s="3" t="s">
        <v>17</v>
      </c>
      <c r="AN276" s="89" t="s">
        <v>154</v>
      </c>
      <c r="AO276" s="91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7"/>
      <c r="BA276" s="37"/>
      <c r="BB276" s="37"/>
      <c r="BC276" s="37"/>
      <c r="BD276" s="42"/>
      <c r="BE276" s="41"/>
      <c r="BF276" s="41"/>
      <c r="BG276" s="41"/>
      <c r="BH276" s="41"/>
      <c r="BI276" s="41"/>
      <c r="BJ276" s="41"/>
      <c r="BK276" s="41"/>
      <c r="BL276" s="41"/>
      <c r="BM276" s="41"/>
      <c r="BN276" s="41"/>
    </row>
    <row r="277" spans="1:66" s="5" customFormat="1" hidden="1" x14ac:dyDescent="0.25">
      <c r="A277" s="7"/>
      <c r="B277" s="5" t="str">
        <f t="array" ref="B277">IFERROR(INDEX(DemandSupply,MATCH(INDEX($R$1:R277,SMALL(ROW($R$1:R277)+(10000*($R$1:R277="")),COUNTA($R$1:R277))),Sectors,0)),"")</f>
        <v>Demand</v>
      </c>
      <c r="M277" s="7"/>
      <c r="N277" s="76"/>
      <c r="O277" s="77"/>
      <c r="P277" s="77"/>
      <c r="Q277" s="82"/>
      <c r="R277" s="77"/>
      <c r="S277" s="76"/>
      <c r="T277" s="79"/>
      <c r="U277" s="82"/>
      <c r="V277" s="77"/>
      <c r="W277" s="77"/>
      <c r="X277" s="76"/>
      <c r="Y277" s="77"/>
      <c r="Z277" s="77"/>
      <c r="AA277" s="77"/>
      <c r="AB277" s="76"/>
      <c r="AC277" s="77"/>
      <c r="AD277" s="76"/>
      <c r="AE277" s="77"/>
      <c r="AF277" s="76"/>
      <c r="AG277" s="77"/>
      <c r="AH277" s="76"/>
      <c r="AI277" s="7"/>
      <c r="AJ277" s="27" t="str">
        <f t="shared" si="27"/>
        <v/>
      </c>
      <c r="AK277" s="3" t="s">
        <v>146</v>
      </c>
      <c r="AL277" s="3" t="s">
        <v>164</v>
      </c>
      <c r="AM277" s="3"/>
      <c r="AN277" s="89" t="s">
        <v>154</v>
      </c>
      <c r="AO277" s="91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7"/>
      <c r="BA277" s="37"/>
      <c r="BB277" s="37"/>
      <c r="BC277" s="37"/>
      <c r="BD277" s="42"/>
      <c r="BE277" s="41"/>
      <c r="BF277" s="41"/>
      <c r="BG277" s="41"/>
      <c r="BH277" s="41"/>
      <c r="BI277" s="41"/>
      <c r="BJ277" s="41"/>
      <c r="BK277" s="41"/>
      <c r="BL277" s="41"/>
      <c r="BM277" s="41"/>
      <c r="BN277" s="41"/>
    </row>
    <row r="278" spans="1:66" s="5" customFormat="1" hidden="1" x14ac:dyDescent="0.25">
      <c r="A278" s="7"/>
      <c r="B278" s="5" t="str">
        <f t="array" ref="B278">IFERROR(INDEX(DemandSupply,MATCH(INDEX($R$1:R278,SMALL(ROW($R$1:R278)+(10000*($R$1:R278="")),COUNTA($R$1:R278))),Sectors,0)),"")</f>
        <v>Demand</v>
      </c>
      <c r="M278" s="7"/>
      <c r="N278" s="76"/>
      <c r="O278" s="77"/>
      <c r="P278" s="77"/>
      <c r="Q278" s="82"/>
      <c r="R278" s="77"/>
      <c r="S278" s="76"/>
      <c r="T278" s="79"/>
      <c r="U278" s="82"/>
      <c r="V278" s="77"/>
      <c r="W278" s="77"/>
      <c r="X278" s="76"/>
      <c r="Y278" s="77"/>
      <c r="Z278" s="77"/>
      <c r="AA278" s="77"/>
      <c r="AB278" s="76"/>
      <c r="AC278" s="77"/>
      <c r="AD278" s="76"/>
      <c r="AE278" s="77"/>
      <c r="AF278" s="76"/>
      <c r="AG278" s="77"/>
      <c r="AH278" s="76"/>
      <c r="AI278" s="7"/>
      <c r="AJ278" s="27" t="str">
        <f t="shared" si="27"/>
        <v/>
      </c>
      <c r="AK278" s="3" t="s">
        <v>146</v>
      </c>
      <c r="AL278" s="3" t="s">
        <v>165</v>
      </c>
      <c r="AM278" s="3"/>
      <c r="AN278" s="89" t="s">
        <v>154</v>
      </c>
      <c r="AO278" s="91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7"/>
      <c r="BA278" s="37"/>
      <c r="BB278" s="37"/>
      <c r="BC278" s="37"/>
      <c r="BD278" s="42"/>
      <c r="BE278" s="41"/>
      <c r="BF278" s="41"/>
      <c r="BG278" s="41"/>
      <c r="BH278" s="41"/>
      <c r="BI278" s="41"/>
      <c r="BJ278" s="41"/>
      <c r="BK278" s="41"/>
      <c r="BL278" s="41"/>
      <c r="BM278" s="41"/>
      <c r="BN278" s="41"/>
    </row>
    <row r="279" spans="1:66" s="5" customFormat="1" hidden="1" x14ac:dyDescent="0.25">
      <c r="A279" s="7"/>
      <c r="B279" s="5" t="str">
        <f t="array" ref="B279">IFERROR(INDEX(DemandSupply,MATCH(INDEX($R$1:R279,SMALL(ROW($R$1:R279)+(10000*($R$1:R279="")),COUNTA($R$1:R279))),Sectors,0)),"")</f>
        <v>Demand</v>
      </c>
      <c r="M279" s="7"/>
      <c r="N279" s="76"/>
      <c r="O279" s="77"/>
      <c r="P279" s="77"/>
      <c r="Q279" s="82"/>
      <c r="R279" s="77"/>
      <c r="S279" s="76"/>
      <c r="T279" s="79"/>
      <c r="U279" s="82"/>
      <c r="V279" s="77"/>
      <c r="W279" s="77"/>
      <c r="X279" s="76"/>
      <c r="Y279" s="77"/>
      <c r="Z279" s="77"/>
      <c r="AA279" s="77"/>
      <c r="AB279" s="76"/>
      <c r="AC279" s="77"/>
      <c r="AD279" s="76"/>
      <c r="AE279" s="77"/>
      <c r="AF279" s="76"/>
      <c r="AG279" s="77"/>
      <c r="AH279" s="76"/>
      <c r="AI279" s="7"/>
      <c r="AJ279" s="27" t="str">
        <f t="shared" si="27"/>
        <v/>
      </c>
      <c r="AK279" s="3" t="s">
        <v>146</v>
      </c>
      <c r="AL279" s="3" t="s">
        <v>163</v>
      </c>
      <c r="AM279" s="3"/>
      <c r="AN279" s="89" t="s">
        <v>154</v>
      </c>
      <c r="AO279" s="91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7"/>
      <c r="BA279" s="37"/>
      <c r="BB279" s="37"/>
      <c r="BC279" s="37"/>
      <c r="BD279" s="42"/>
      <c r="BE279" s="41"/>
      <c r="BF279" s="41"/>
      <c r="BG279" s="41"/>
      <c r="BH279" s="41"/>
      <c r="BI279" s="41"/>
      <c r="BJ279" s="41"/>
      <c r="BK279" s="41"/>
      <c r="BL279" s="41"/>
      <c r="BM279" s="41"/>
      <c r="BN279" s="41"/>
    </row>
    <row r="280" spans="1:66" s="5" customFormat="1" hidden="1" x14ac:dyDescent="0.25">
      <c r="A280" s="7"/>
      <c r="B280" s="5" t="str">
        <f t="array" ref="B280">IFERROR(INDEX(DemandSupply,MATCH(INDEX($R$1:R280,SMALL(ROW($R$1:R280)+(10000*($R$1:R280="")),COUNTA($R$1:R280))),Sectors,0)),"")</f>
        <v>Demand</v>
      </c>
      <c r="M280" s="7"/>
      <c r="N280" s="76"/>
      <c r="O280" s="77"/>
      <c r="P280" s="77"/>
      <c r="Q280" s="82"/>
      <c r="R280" s="77"/>
      <c r="S280" s="76"/>
      <c r="T280" s="79"/>
      <c r="U280" s="82"/>
      <c r="V280" s="77"/>
      <c r="W280" s="77"/>
      <c r="X280" s="76"/>
      <c r="Y280" s="77"/>
      <c r="Z280" s="77"/>
      <c r="AA280" s="77"/>
      <c r="AB280" s="76"/>
      <c r="AC280" s="77"/>
      <c r="AD280" s="76"/>
      <c r="AE280" s="77"/>
      <c r="AF280" s="76"/>
      <c r="AG280" s="77"/>
      <c r="AH280" s="76"/>
      <c r="AI280" s="7"/>
      <c r="AJ280" s="27" t="str">
        <f t="shared" si="27"/>
        <v/>
      </c>
      <c r="AK280" s="3" t="s">
        <v>47</v>
      </c>
      <c r="AL280" s="3"/>
      <c r="AM280" s="3" t="s">
        <v>118</v>
      </c>
      <c r="AN280" s="89" t="s">
        <v>154</v>
      </c>
      <c r="AO280" s="90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7"/>
      <c r="BA280" s="37"/>
      <c r="BB280" s="37"/>
      <c r="BC280" s="37"/>
      <c r="BD280" s="42"/>
      <c r="BE280" s="41"/>
      <c r="BF280" s="41"/>
      <c r="BG280" s="41"/>
      <c r="BH280" s="41"/>
      <c r="BI280" s="41"/>
      <c r="BJ280" s="41"/>
      <c r="BK280" s="41"/>
      <c r="BL280" s="41"/>
      <c r="BM280" s="41"/>
      <c r="BN280" s="41"/>
    </row>
    <row r="281" spans="1:66" s="5" customFormat="1" hidden="1" x14ac:dyDescent="0.25">
      <c r="A281" s="7"/>
      <c r="B281" s="5" t="str">
        <f t="array" ref="B281">IFERROR(INDEX(DemandSupply,MATCH(INDEX($R$1:R281,SMALL(ROW($R$1:R281)+(10000*($R$1:R281="")),COUNTA($R$1:R281))),Sectors,0)),"")</f>
        <v>Demand</v>
      </c>
      <c r="M281" s="7"/>
      <c r="N281" s="76"/>
      <c r="O281" s="77"/>
      <c r="P281" s="77"/>
      <c r="Q281" s="82"/>
      <c r="R281" s="77"/>
      <c r="S281" s="76"/>
      <c r="T281" s="79"/>
      <c r="U281" s="82"/>
      <c r="V281" s="77"/>
      <c r="W281" s="77"/>
      <c r="X281" s="76"/>
      <c r="Y281" s="77"/>
      <c r="Z281" s="77"/>
      <c r="AA281" s="77"/>
      <c r="AB281" s="76"/>
      <c r="AC281" s="77"/>
      <c r="AD281" s="76"/>
      <c r="AE281" s="77"/>
      <c r="AF281" s="76"/>
      <c r="AG281" s="77"/>
      <c r="AH281" s="76"/>
      <c r="AI281" s="7"/>
      <c r="AJ281" s="27" t="str">
        <f t="shared" si="27"/>
        <v/>
      </c>
      <c r="AK281" s="3" t="s">
        <v>48</v>
      </c>
      <c r="AL281" s="3"/>
      <c r="AM281" s="3" t="s">
        <v>118</v>
      </c>
      <c r="AN281" s="89" t="s">
        <v>154</v>
      </c>
      <c r="AO281" s="90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7"/>
      <c r="BA281" s="37"/>
      <c r="BB281" s="37"/>
      <c r="BC281" s="37"/>
      <c r="BD281" s="42"/>
      <c r="BE281" s="41"/>
      <c r="BF281" s="41"/>
      <c r="BG281" s="41"/>
      <c r="BH281" s="41"/>
      <c r="BI281" s="41"/>
      <c r="BJ281" s="41"/>
      <c r="BK281" s="41"/>
      <c r="BL281" s="41"/>
      <c r="BM281" s="41"/>
      <c r="BN281" s="41"/>
    </row>
    <row r="282" spans="1:66" s="5" customFormat="1" hidden="1" x14ac:dyDescent="0.25">
      <c r="A282" s="7"/>
      <c r="B282" s="5" t="str">
        <f t="array" ref="B282">IFERROR(INDEX(DemandSupply,MATCH(INDEX($R$1:R282,SMALL(ROW($R$1:R282)+(10000*($R$1:R282="")),COUNTA($R$1:R282))),Sectors,0)),"")</f>
        <v>Demand</v>
      </c>
      <c r="M282" s="7"/>
      <c r="N282" s="76"/>
      <c r="O282" s="77"/>
      <c r="P282" s="77"/>
      <c r="Q282" s="82"/>
      <c r="R282" s="77"/>
      <c r="S282" s="76"/>
      <c r="T282" s="79"/>
      <c r="U282" s="82"/>
      <c r="V282" s="77"/>
      <c r="W282" s="77"/>
      <c r="X282" s="76"/>
      <c r="Y282" s="77"/>
      <c r="Z282" s="77"/>
      <c r="AA282" s="77"/>
      <c r="AB282" s="76"/>
      <c r="AC282" s="77"/>
      <c r="AD282" s="76"/>
      <c r="AE282" s="77"/>
      <c r="AF282" s="76"/>
      <c r="AG282" s="77"/>
      <c r="AH282" s="76"/>
      <c r="AI282" s="7"/>
      <c r="AJ282" s="27" t="str">
        <f t="shared" si="27"/>
        <v/>
      </c>
      <c r="AK282" s="3" t="s">
        <v>94</v>
      </c>
      <c r="AL282" s="3"/>
      <c r="AM282" s="3" t="s">
        <v>57</v>
      </c>
      <c r="AN282" s="89" t="s">
        <v>154</v>
      </c>
      <c r="AO282" s="90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7"/>
      <c r="BA282" s="37"/>
      <c r="BB282" s="37"/>
      <c r="BC282" s="37"/>
      <c r="BD282" s="42"/>
      <c r="BE282" s="41"/>
      <c r="BF282" s="41"/>
      <c r="BG282" s="41"/>
      <c r="BH282" s="41"/>
      <c r="BI282" s="41"/>
      <c r="BJ282" s="41"/>
      <c r="BK282" s="41"/>
      <c r="BL282" s="41"/>
      <c r="BM282" s="41"/>
      <c r="BN282" s="41"/>
    </row>
    <row r="283" spans="1:66" s="5" customFormat="1" hidden="1" x14ac:dyDescent="0.25">
      <c r="A283" s="7"/>
      <c r="B283" s="5" t="str">
        <f t="array" ref="B283">IFERROR(INDEX(DemandSupply,MATCH(INDEX($R$1:R283,SMALL(ROW($R$1:R283)+(10000*($R$1:R283="")),COUNTA($R$1:R283))),Sectors,0)),"")</f>
        <v>Demand</v>
      </c>
      <c r="M283" s="7"/>
      <c r="N283" s="76"/>
      <c r="O283" s="77"/>
      <c r="P283" s="77"/>
      <c r="Q283" s="82"/>
      <c r="R283" s="77"/>
      <c r="S283" s="76"/>
      <c r="T283" s="79"/>
      <c r="U283" s="82"/>
      <c r="V283" s="77"/>
      <c r="W283" s="77"/>
      <c r="X283" s="76"/>
      <c r="Y283" s="77"/>
      <c r="Z283" s="77"/>
      <c r="AA283" s="77"/>
      <c r="AB283" s="76"/>
      <c r="AC283" s="77"/>
      <c r="AD283" s="76"/>
      <c r="AE283" s="77"/>
      <c r="AF283" s="76"/>
      <c r="AG283" s="77"/>
      <c r="AH283" s="76"/>
      <c r="AI283" s="7"/>
      <c r="AJ283" s="27" t="str">
        <f t="shared" si="27"/>
        <v/>
      </c>
      <c r="AK283" s="3" t="s">
        <v>91</v>
      </c>
      <c r="AL283" s="3"/>
      <c r="AM283" s="3" t="s">
        <v>118</v>
      </c>
      <c r="AN283" s="89" t="s">
        <v>154</v>
      </c>
      <c r="AO283" s="92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7"/>
      <c r="BA283" s="37"/>
      <c r="BB283" s="37"/>
      <c r="BC283" s="37"/>
      <c r="BD283" s="42"/>
      <c r="BE283" s="41"/>
      <c r="BF283" s="41"/>
      <c r="BG283" s="41"/>
      <c r="BH283" s="41"/>
      <c r="BI283" s="41"/>
      <c r="BJ283" s="41"/>
      <c r="BK283" s="41"/>
      <c r="BL283" s="41"/>
      <c r="BM283" s="41"/>
      <c r="BN283" s="41"/>
    </row>
    <row r="284" spans="1:66" s="5" customFormat="1" hidden="1" x14ac:dyDescent="0.25">
      <c r="A284" s="7"/>
      <c r="B284" s="5" t="str">
        <f t="array" ref="B284">IFERROR(INDEX(DemandSupply,MATCH(INDEX($R$1:R284,SMALL(ROW($R$1:R284)+(10000*($R$1:R284="")),COUNTA($R$1:R284))),Sectors,0)),"")</f>
        <v>Demand</v>
      </c>
      <c r="M284" s="7"/>
      <c r="N284" s="76"/>
      <c r="O284" s="77"/>
      <c r="P284" s="77"/>
      <c r="Q284" s="82"/>
      <c r="R284" s="77"/>
      <c r="S284" s="76"/>
      <c r="T284" s="79"/>
      <c r="U284" s="82"/>
      <c r="V284" s="77"/>
      <c r="W284" s="77"/>
      <c r="X284" s="76"/>
      <c r="Y284" s="77"/>
      <c r="Z284" s="77"/>
      <c r="AA284" s="77"/>
      <c r="AB284" s="76"/>
      <c r="AC284" s="77"/>
      <c r="AD284" s="76"/>
      <c r="AE284" s="77"/>
      <c r="AF284" s="76"/>
      <c r="AG284" s="77"/>
      <c r="AH284" s="76"/>
      <c r="AI284" s="7"/>
      <c r="AJ284" s="27" t="str">
        <f t="shared" si="27"/>
        <v/>
      </c>
      <c r="AK284" s="3" t="s">
        <v>63</v>
      </c>
      <c r="AL284" s="3"/>
      <c r="AM284" s="3"/>
      <c r="AN284" s="89" t="s">
        <v>156</v>
      </c>
      <c r="AO284" s="90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7"/>
      <c r="BA284" s="37"/>
      <c r="BB284" s="37"/>
      <c r="BC284" s="37"/>
      <c r="BD284" s="42"/>
      <c r="BE284" s="41"/>
      <c r="BF284" s="41"/>
      <c r="BG284" s="41"/>
      <c r="BH284" s="41"/>
      <c r="BI284" s="41"/>
      <c r="BJ284" s="41"/>
      <c r="BK284" s="41"/>
      <c r="BL284" s="41"/>
      <c r="BM284" s="41"/>
      <c r="BN284" s="41"/>
    </row>
    <row r="285" spans="1:66" s="5" customFormat="1" hidden="1" x14ac:dyDescent="0.25">
      <c r="A285" s="7"/>
      <c r="B285" s="5" t="str">
        <f t="array" ref="B285">IFERROR(INDEX(DemandSupply,MATCH(INDEX($R$1:R285,SMALL(ROW($R$1:R285)+(10000*($R$1:R285="")),COUNTA($R$1:R285))),Sectors,0)),"")</f>
        <v>Demand</v>
      </c>
      <c r="M285" s="7"/>
      <c r="N285" s="76"/>
      <c r="O285" s="77"/>
      <c r="P285" s="77"/>
      <c r="Q285" s="82"/>
      <c r="R285" s="77"/>
      <c r="S285" s="76"/>
      <c r="T285" s="79"/>
      <c r="U285" s="82"/>
      <c r="V285" s="77"/>
      <c r="W285" s="77"/>
      <c r="X285" s="76"/>
      <c r="Y285" s="77"/>
      <c r="Z285" s="77"/>
      <c r="AA285" s="77"/>
      <c r="AB285" s="76"/>
      <c r="AC285" s="77"/>
      <c r="AD285" s="76"/>
      <c r="AE285" s="77"/>
      <c r="AF285" s="76"/>
      <c r="AG285" s="77"/>
      <c r="AH285" s="76"/>
      <c r="AI285" s="7"/>
      <c r="AJ285" s="27" t="str">
        <f t="shared" si="27"/>
        <v/>
      </c>
      <c r="AK285" s="3" t="s">
        <v>41</v>
      </c>
      <c r="AL285" s="3"/>
      <c r="AM285" s="3" t="s">
        <v>43</v>
      </c>
      <c r="AN285" s="89" t="s">
        <v>156</v>
      </c>
      <c r="AO285" s="90">
        <v>1990</v>
      </c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7"/>
      <c r="BA285" s="37"/>
      <c r="BB285" s="37"/>
      <c r="BC285" s="37"/>
      <c r="BD285" s="42"/>
      <c r="BE285" s="41"/>
      <c r="BF285" s="41"/>
      <c r="BG285" s="41"/>
      <c r="BH285" s="41"/>
      <c r="BI285" s="41"/>
      <c r="BJ285" s="41"/>
      <c r="BK285" s="41"/>
      <c r="BL285" s="41"/>
      <c r="BM285" s="41"/>
      <c r="BN285" s="41"/>
    </row>
    <row r="286" spans="1:66" s="5" customFormat="1" hidden="1" x14ac:dyDescent="0.25">
      <c r="A286" s="7"/>
      <c r="B286" s="5" t="str">
        <f t="array" ref="B286">IFERROR(INDEX(DemandSupply,MATCH(INDEX($R$1:R286,SMALL(ROW($R$1:R286)+(10000*($R$1:R286="")),COUNTA($R$1:R286))),Sectors,0)),"")</f>
        <v>Demand</v>
      </c>
      <c r="M286" s="7"/>
      <c r="N286" s="76"/>
      <c r="O286" s="77"/>
      <c r="P286" s="77"/>
      <c r="Q286" s="82"/>
      <c r="R286" s="77"/>
      <c r="S286" s="76"/>
      <c r="T286" s="79"/>
      <c r="U286" s="82"/>
      <c r="V286" s="77"/>
      <c r="W286" s="77"/>
      <c r="X286" s="76"/>
      <c r="Y286" s="77"/>
      <c r="Z286" s="77"/>
      <c r="AA286" s="77"/>
      <c r="AB286" s="76"/>
      <c r="AC286" s="77"/>
      <c r="AD286" s="76"/>
      <c r="AE286" s="77"/>
      <c r="AF286" s="76"/>
      <c r="AG286" s="77"/>
      <c r="AH286" s="76"/>
      <c r="AI286" s="7"/>
      <c r="AJ286" s="27" t="str">
        <f t="shared" si="27"/>
        <v/>
      </c>
      <c r="AK286" s="3" t="s">
        <v>40</v>
      </c>
      <c r="AL286" s="3"/>
      <c r="AM286" s="3" t="s">
        <v>43</v>
      </c>
      <c r="AN286" s="89" t="s">
        <v>156</v>
      </c>
      <c r="AO286" s="90">
        <v>2000</v>
      </c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7"/>
      <c r="BA286" s="37"/>
      <c r="BB286" s="37"/>
      <c r="BC286" s="37"/>
      <c r="BD286" s="42"/>
      <c r="BE286" s="41"/>
      <c r="BF286" s="41"/>
      <c r="BG286" s="41"/>
      <c r="BH286" s="41"/>
      <c r="BI286" s="41"/>
      <c r="BJ286" s="41"/>
      <c r="BK286" s="41"/>
      <c r="BL286" s="41"/>
      <c r="BM286" s="41"/>
      <c r="BN286" s="41"/>
    </row>
    <row r="287" spans="1:66" s="5" customFormat="1" hidden="1" x14ac:dyDescent="0.25">
      <c r="A287" s="7"/>
      <c r="B287" s="5" t="str">
        <f t="array" ref="B287">IFERROR(INDEX(DemandSupply,MATCH(INDEX($R$1:R287,SMALL(ROW($R$1:R287)+(10000*($R$1:R287="")),COUNTA($R$1:R287))),Sectors,0)),"")</f>
        <v>Demand</v>
      </c>
      <c r="M287" s="7"/>
      <c r="N287" s="76"/>
      <c r="O287" s="77"/>
      <c r="P287" s="77"/>
      <c r="Q287" s="82"/>
      <c r="R287" s="77"/>
      <c r="S287" s="76"/>
      <c r="T287" s="79"/>
      <c r="U287" s="82"/>
      <c r="V287" s="77"/>
      <c r="W287" s="77"/>
      <c r="X287" s="76"/>
      <c r="Y287" s="77"/>
      <c r="Z287" s="77"/>
      <c r="AA287" s="77"/>
      <c r="AB287" s="76"/>
      <c r="AC287" s="77"/>
      <c r="AD287" s="76"/>
      <c r="AE287" s="77"/>
      <c r="AF287" s="76"/>
      <c r="AG287" s="77"/>
      <c r="AH287" s="76"/>
      <c r="AI287" s="7"/>
      <c r="AJ287" s="27" t="str">
        <f t="shared" si="27"/>
        <v/>
      </c>
      <c r="AK287" s="3" t="s">
        <v>42</v>
      </c>
      <c r="AL287" s="3"/>
      <c r="AM287" s="3" t="s">
        <v>10</v>
      </c>
      <c r="AN287" s="89" t="s">
        <v>156</v>
      </c>
      <c r="AO287" s="90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7"/>
      <c r="BA287" s="37"/>
      <c r="BB287" s="37"/>
      <c r="BC287" s="37"/>
      <c r="BD287" s="42"/>
      <c r="BE287" s="41"/>
      <c r="BF287" s="41"/>
      <c r="BG287" s="41"/>
      <c r="BH287" s="41"/>
      <c r="BI287" s="41"/>
      <c r="BJ287" s="41"/>
      <c r="BK287" s="41"/>
      <c r="BL287" s="41"/>
      <c r="BM287" s="41"/>
      <c r="BN287" s="41"/>
    </row>
    <row r="288" spans="1:66" s="5" customFormat="1" hidden="1" x14ac:dyDescent="0.25">
      <c r="A288" s="7"/>
      <c r="B288" s="5" t="str">
        <f t="array" ref="B288">IFERROR(INDEX(DemandSupply,MATCH(INDEX($R$1:R288,SMALL(ROW($R$1:R288)+(10000*($R$1:R288="")),COUNTA($R$1:R288))),Sectors,0)),"")</f>
        <v>Demand</v>
      </c>
      <c r="M288" s="7"/>
      <c r="N288" s="76"/>
      <c r="O288" s="77"/>
      <c r="P288" s="77"/>
      <c r="Q288" s="82"/>
      <c r="R288" s="77"/>
      <c r="S288" s="76"/>
      <c r="T288" s="79"/>
      <c r="U288" s="82"/>
      <c r="V288" s="77"/>
      <c r="W288" s="77"/>
      <c r="X288" s="76"/>
      <c r="Y288" s="77"/>
      <c r="Z288" s="77"/>
      <c r="AA288" s="77"/>
      <c r="AB288" s="76"/>
      <c r="AC288" s="77"/>
      <c r="AD288" s="76"/>
      <c r="AE288" s="77"/>
      <c r="AF288" s="76"/>
      <c r="AG288" s="77"/>
      <c r="AH288" s="76"/>
      <c r="AI288" s="7"/>
      <c r="AJ288" s="27" t="str">
        <f t="shared" si="27"/>
        <v/>
      </c>
      <c r="AK288" s="3" t="s">
        <v>67</v>
      </c>
      <c r="AL288" s="3"/>
      <c r="AM288" s="3" t="s">
        <v>118</v>
      </c>
      <c r="AN288" s="89" t="s">
        <v>156</v>
      </c>
      <c r="AO288" s="90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7"/>
      <c r="BA288" s="37"/>
      <c r="BB288" s="37"/>
      <c r="BC288" s="37"/>
      <c r="BD288" s="42"/>
      <c r="BE288" s="41"/>
      <c r="BF288" s="41"/>
      <c r="BG288" s="41"/>
      <c r="BH288" s="41"/>
      <c r="BI288" s="41"/>
      <c r="BJ288" s="41"/>
      <c r="BK288" s="41"/>
      <c r="BL288" s="41"/>
      <c r="BM288" s="41"/>
      <c r="BN288" s="41"/>
    </row>
    <row r="289" spans="1:66" s="5" customFormat="1" hidden="1" x14ac:dyDescent="0.25">
      <c r="A289" s="7"/>
      <c r="B289" s="5" t="str">
        <f t="array" ref="B289">IFERROR(INDEX(DemandSupply,MATCH(INDEX($R$1:R289,SMALL(ROW($R$1:R289)+(10000*($R$1:R289="")),COUNTA($R$1:R289))),Sectors,0)),"")</f>
        <v>Demand</v>
      </c>
      <c r="M289" s="7"/>
      <c r="N289" s="76"/>
      <c r="O289" s="77"/>
      <c r="P289" s="77"/>
      <c r="Q289" s="82"/>
      <c r="R289" s="77"/>
      <c r="S289" s="76"/>
      <c r="T289" s="79"/>
      <c r="U289" s="82"/>
      <c r="V289" s="77"/>
      <c r="W289" s="77"/>
      <c r="X289" s="76"/>
      <c r="Y289" s="77"/>
      <c r="Z289" s="77"/>
      <c r="AA289" s="77"/>
      <c r="AB289" s="76"/>
      <c r="AC289" s="77"/>
      <c r="AD289" s="76"/>
      <c r="AE289" s="77"/>
      <c r="AF289" s="76"/>
      <c r="AG289" s="77"/>
      <c r="AH289" s="76"/>
      <c r="AI289" s="7"/>
      <c r="AJ289" s="27" t="str">
        <f t="shared" si="27"/>
        <v/>
      </c>
      <c r="AK289" s="3" t="s">
        <v>38</v>
      </c>
      <c r="AL289" s="3"/>
      <c r="AM289" s="3" t="s">
        <v>17</v>
      </c>
      <c r="AN289" s="89" t="s">
        <v>156</v>
      </c>
      <c r="AO289" s="90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7"/>
      <c r="BA289" s="37"/>
      <c r="BB289" s="37"/>
      <c r="BC289" s="37"/>
      <c r="BD289" s="42"/>
      <c r="BE289" s="41"/>
      <c r="BF289" s="41"/>
      <c r="BG289" s="41"/>
      <c r="BH289" s="41"/>
      <c r="BI289" s="41"/>
      <c r="BJ289" s="41"/>
      <c r="BK289" s="41"/>
      <c r="BL289" s="41"/>
      <c r="BM289" s="41"/>
      <c r="BN289" s="41"/>
    </row>
    <row r="290" spans="1:66" s="5" customFormat="1" hidden="1" x14ac:dyDescent="0.25">
      <c r="A290" s="7"/>
      <c r="B290" s="5" t="str">
        <f t="array" ref="B290">IFERROR(INDEX(DemandSupply,MATCH(INDEX($R$1:R290,SMALL(ROW($R$1:R290)+(10000*($R$1:R290="")),COUNTA($R$1:R290))),Sectors,0)),"")</f>
        <v>Demand</v>
      </c>
      <c r="M290" s="7"/>
      <c r="N290" s="76"/>
      <c r="O290" s="77"/>
      <c r="P290" s="77"/>
      <c r="Q290" s="82"/>
      <c r="R290" s="77"/>
      <c r="S290" s="76"/>
      <c r="T290" s="79"/>
      <c r="U290" s="82"/>
      <c r="V290" s="77"/>
      <c r="W290" s="77"/>
      <c r="X290" s="76"/>
      <c r="Y290" s="77"/>
      <c r="Z290" s="77"/>
      <c r="AA290" s="77"/>
      <c r="AB290" s="76"/>
      <c r="AC290" s="77"/>
      <c r="AD290" s="76"/>
      <c r="AE290" s="77"/>
      <c r="AF290" s="76"/>
      <c r="AG290" s="77"/>
      <c r="AH290" s="76"/>
      <c r="AI290" s="7"/>
      <c r="AJ290" s="27" t="str">
        <f t="shared" si="27"/>
        <v/>
      </c>
      <c r="AK290" s="3" t="s">
        <v>44</v>
      </c>
      <c r="AL290" s="3"/>
      <c r="AM290" s="3" t="s">
        <v>17</v>
      </c>
      <c r="AN290" s="89" t="s">
        <v>156</v>
      </c>
      <c r="AO290" s="90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7"/>
      <c r="BA290" s="37"/>
      <c r="BB290" s="37"/>
      <c r="BC290" s="37"/>
      <c r="BD290" s="42"/>
      <c r="BE290" s="41"/>
      <c r="BF290" s="41"/>
      <c r="BG290" s="41"/>
      <c r="BH290" s="41"/>
      <c r="BI290" s="41"/>
      <c r="BJ290" s="41"/>
      <c r="BK290" s="41"/>
      <c r="BL290" s="41"/>
      <c r="BM290" s="41"/>
      <c r="BN290" s="41"/>
    </row>
    <row r="291" spans="1:66" s="5" customFormat="1" hidden="1" x14ac:dyDescent="0.25">
      <c r="A291" s="7"/>
      <c r="B291" s="5" t="str">
        <f t="array" ref="B291">IFERROR(INDEX(DemandSupply,MATCH(INDEX($R$1:R291,SMALL(ROW($R$1:R291)+(10000*($R$1:R291="")),COUNTA($R$1:R291))),Sectors,0)),"")</f>
        <v>Demand</v>
      </c>
      <c r="M291" s="7"/>
      <c r="N291" s="76"/>
      <c r="O291" s="77"/>
      <c r="P291" s="77"/>
      <c r="Q291" s="82"/>
      <c r="R291" s="77"/>
      <c r="S291" s="76"/>
      <c r="T291" s="79"/>
      <c r="U291" s="82"/>
      <c r="V291" s="77"/>
      <c r="W291" s="77"/>
      <c r="X291" s="76"/>
      <c r="Y291" s="77"/>
      <c r="Z291" s="77"/>
      <c r="AA291" s="77"/>
      <c r="AB291" s="76"/>
      <c r="AC291" s="77"/>
      <c r="AD291" s="76"/>
      <c r="AE291" s="77"/>
      <c r="AF291" s="76"/>
      <c r="AG291" s="77"/>
      <c r="AH291" s="76"/>
      <c r="AI291" s="7"/>
      <c r="AJ291" s="27" t="str">
        <f t="shared" si="27"/>
        <v/>
      </c>
      <c r="AK291" s="3" t="s">
        <v>51</v>
      </c>
      <c r="AL291" s="3"/>
      <c r="AM291" s="3" t="s">
        <v>17</v>
      </c>
      <c r="AN291" s="89" t="s">
        <v>156</v>
      </c>
      <c r="AO291" s="90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7"/>
      <c r="BA291" s="37"/>
      <c r="BB291" s="37"/>
      <c r="BC291" s="37"/>
      <c r="BD291" s="42"/>
      <c r="BE291" s="41"/>
      <c r="BF291" s="41"/>
      <c r="BG291" s="41"/>
      <c r="BH291" s="41"/>
      <c r="BI291" s="41"/>
      <c r="BJ291" s="41"/>
      <c r="BK291" s="41"/>
      <c r="BL291" s="41"/>
      <c r="BM291" s="41"/>
      <c r="BN291" s="41"/>
    </row>
    <row r="292" spans="1:66" s="5" customFormat="1" hidden="1" x14ac:dyDescent="0.25">
      <c r="A292" s="7"/>
      <c r="B292" s="5" t="str">
        <f t="array" ref="B292">IFERROR(INDEX(DemandSupply,MATCH(INDEX($R$1:R292,SMALL(ROW($R$1:R292)+(10000*($R$1:R292="")),COUNTA($R$1:R292))),Sectors,0)),"")</f>
        <v>Demand</v>
      </c>
      <c r="M292" s="7"/>
      <c r="N292" s="76"/>
      <c r="O292" s="77"/>
      <c r="P292" s="77"/>
      <c r="Q292" s="82"/>
      <c r="R292" s="77"/>
      <c r="S292" s="76"/>
      <c r="T292" s="79"/>
      <c r="U292" s="82"/>
      <c r="V292" s="77"/>
      <c r="W292" s="77"/>
      <c r="X292" s="76"/>
      <c r="Y292" s="77"/>
      <c r="Z292" s="77"/>
      <c r="AA292" s="77"/>
      <c r="AB292" s="76"/>
      <c r="AC292" s="77"/>
      <c r="AD292" s="76"/>
      <c r="AE292" s="77"/>
      <c r="AF292" s="76"/>
      <c r="AG292" s="77"/>
      <c r="AH292" s="76"/>
      <c r="AI292" s="7"/>
      <c r="AJ292" s="27" t="str">
        <f t="shared" si="27"/>
        <v/>
      </c>
      <c r="AK292" s="3" t="s">
        <v>95</v>
      </c>
      <c r="AL292" s="3"/>
      <c r="AM292" s="3" t="s">
        <v>17</v>
      </c>
      <c r="AN292" s="89" t="s">
        <v>156</v>
      </c>
      <c r="AO292" s="91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7"/>
      <c r="BA292" s="37"/>
      <c r="BB292" s="37"/>
      <c r="BC292" s="37"/>
      <c r="BD292" s="42"/>
      <c r="BE292" s="41"/>
      <c r="BF292" s="41"/>
      <c r="BG292" s="41"/>
      <c r="BH292" s="41"/>
      <c r="BI292" s="41"/>
      <c r="BJ292" s="41"/>
      <c r="BK292" s="41"/>
      <c r="BL292" s="41"/>
      <c r="BM292" s="41"/>
      <c r="BN292" s="41"/>
    </row>
    <row r="293" spans="1:66" s="5" customFormat="1" hidden="1" x14ac:dyDescent="0.25">
      <c r="A293" s="7"/>
      <c r="B293" s="5" t="str">
        <f t="array" ref="B293">IFERROR(INDEX(DemandSupply,MATCH(INDEX($R$1:R293,SMALL(ROW($R$1:R293)+(10000*($R$1:R293="")),COUNTA($R$1:R293))),Sectors,0)),"")</f>
        <v>Demand</v>
      </c>
      <c r="M293" s="7"/>
      <c r="N293" s="76"/>
      <c r="O293" s="77"/>
      <c r="P293" s="77"/>
      <c r="Q293" s="82"/>
      <c r="R293" s="77"/>
      <c r="S293" s="76"/>
      <c r="T293" s="79"/>
      <c r="U293" s="82"/>
      <c r="V293" s="77"/>
      <c r="W293" s="77"/>
      <c r="X293" s="76"/>
      <c r="Y293" s="77"/>
      <c r="Z293" s="77"/>
      <c r="AA293" s="77"/>
      <c r="AB293" s="76"/>
      <c r="AC293" s="77"/>
      <c r="AD293" s="76"/>
      <c r="AE293" s="77"/>
      <c r="AF293" s="76"/>
      <c r="AG293" s="77"/>
      <c r="AH293" s="76"/>
      <c r="AI293" s="7"/>
      <c r="AJ293" s="27" t="str">
        <f t="shared" si="27"/>
        <v/>
      </c>
      <c r="AK293" s="3" t="s">
        <v>146</v>
      </c>
      <c r="AL293" s="3" t="s">
        <v>164</v>
      </c>
      <c r="AM293" s="3"/>
      <c r="AN293" s="89" t="s">
        <v>156</v>
      </c>
      <c r="AO293" s="91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7"/>
      <c r="BA293" s="37"/>
      <c r="BB293" s="37"/>
      <c r="BC293" s="37"/>
      <c r="BD293" s="42"/>
      <c r="BE293" s="41"/>
      <c r="BF293" s="41"/>
      <c r="BG293" s="41"/>
      <c r="BH293" s="41"/>
      <c r="BI293" s="41"/>
      <c r="BJ293" s="41"/>
      <c r="BK293" s="41"/>
      <c r="BL293" s="41"/>
      <c r="BM293" s="41"/>
      <c r="BN293" s="41"/>
    </row>
    <row r="294" spans="1:66" s="5" customFormat="1" hidden="1" x14ac:dyDescent="0.25">
      <c r="A294" s="7"/>
      <c r="B294" s="5" t="str">
        <f t="array" ref="B294">IFERROR(INDEX(DemandSupply,MATCH(INDEX($R$1:R294,SMALL(ROW($R$1:R294)+(10000*($R$1:R294="")),COUNTA($R$1:R294))),Sectors,0)),"")</f>
        <v>Demand</v>
      </c>
      <c r="M294" s="7"/>
      <c r="N294" s="76"/>
      <c r="O294" s="77"/>
      <c r="P294" s="77"/>
      <c r="Q294" s="82"/>
      <c r="R294" s="77"/>
      <c r="S294" s="76"/>
      <c r="T294" s="79"/>
      <c r="U294" s="82"/>
      <c r="V294" s="77"/>
      <c r="W294" s="77"/>
      <c r="X294" s="76"/>
      <c r="Y294" s="77"/>
      <c r="Z294" s="77"/>
      <c r="AA294" s="77"/>
      <c r="AB294" s="76"/>
      <c r="AC294" s="77"/>
      <c r="AD294" s="76"/>
      <c r="AE294" s="77"/>
      <c r="AF294" s="76"/>
      <c r="AG294" s="77"/>
      <c r="AH294" s="76"/>
      <c r="AI294" s="7"/>
      <c r="AJ294" s="27" t="str">
        <f t="shared" si="27"/>
        <v/>
      </c>
      <c r="AK294" s="3" t="s">
        <v>146</v>
      </c>
      <c r="AL294" s="3" t="s">
        <v>165</v>
      </c>
      <c r="AM294" s="3"/>
      <c r="AN294" s="89" t="s">
        <v>156</v>
      </c>
      <c r="AO294" s="91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7"/>
      <c r="BA294" s="37"/>
      <c r="BB294" s="37"/>
      <c r="BC294" s="37"/>
      <c r="BD294" s="42"/>
      <c r="BE294" s="41"/>
      <c r="BF294" s="41"/>
      <c r="BG294" s="41"/>
      <c r="BH294" s="41"/>
      <c r="BI294" s="41"/>
      <c r="BJ294" s="41"/>
      <c r="BK294" s="41"/>
      <c r="BL294" s="41"/>
      <c r="BM294" s="41"/>
      <c r="BN294" s="41"/>
    </row>
    <row r="295" spans="1:66" s="5" customFormat="1" hidden="1" x14ac:dyDescent="0.25">
      <c r="A295" s="7"/>
      <c r="B295" s="5" t="str">
        <f t="array" ref="B295">IFERROR(INDEX(DemandSupply,MATCH(INDEX($R$1:R295,SMALL(ROW($R$1:R295)+(10000*($R$1:R295="")),COUNTA($R$1:R295))),Sectors,0)),"")</f>
        <v>Demand</v>
      </c>
      <c r="M295" s="7"/>
      <c r="N295" s="76"/>
      <c r="O295" s="77"/>
      <c r="P295" s="77"/>
      <c r="Q295" s="82"/>
      <c r="R295" s="77"/>
      <c r="S295" s="76"/>
      <c r="T295" s="79"/>
      <c r="U295" s="82"/>
      <c r="V295" s="77"/>
      <c r="W295" s="77"/>
      <c r="X295" s="76"/>
      <c r="Y295" s="77"/>
      <c r="Z295" s="77"/>
      <c r="AA295" s="77"/>
      <c r="AB295" s="76"/>
      <c r="AC295" s="77"/>
      <c r="AD295" s="76"/>
      <c r="AE295" s="77"/>
      <c r="AF295" s="76"/>
      <c r="AG295" s="77"/>
      <c r="AH295" s="76"/>
      <c r="AI295" s="7"/>
      <c r="AJ295" s="27" t="str">
        <f t="shared" si="27"/>
        <v/>
      </c>
      <c r="AK295" s="3" t="s">
        <v>146</v>
      </c>
      <c r="AL295" s="3" t="s">
        <v>163</v>
      </c>
      <c r="AM295" s="3"/>
      <c r="AN295" s="89" t="s">
        <v>156</v>
      </c>
      <c r="AO295" s="91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7"/>
      <c r="BA295" s="37"/>
      <c r="BB295" s="37"/>
      <c r="BC295" s="37"/>
      <c r="BD295" s="42"/>
      <c r="BE295" s="41"/>
      <c r="BF295" s="41"/>
      <c r="BG295" s="41"/>
      <c r="BH295" s="41"/>
      <c r="BI295" s="41"/>
      <c r="BJ295" s="41"/>
      <c r="BK295" s="41"/>
      <c r="BL295" s="41"/>
      <c r="BM295" s="41"/>
      <c r="BN295" s="41"/>
    </row>
    <row r="296" spans="1:66" s="5" customFormat="1" hidden="1" x14ac:dyDescent="0.25">
      <c r="A296" s="7"/>
      <c r="B296" s="5" t="str">
        <f t="array" ref="B296">IFERROR(INDEX(DemandSupply,MATCH(INDEX($R$1:R296,SMALL(ROW($R$1:R296)+(10000*($R$1:R296="")),COUNTA($R$1:R296))),Sectors,0)),"")</f>
        <v>Demand</v>
      </c>
      <c r="M296" s="7"/>
      <c r="N296" s="76"/>
      <c r="O296" s="77"/>
      <c r="P296" s="77"/>
      <c r="Q296" s="82"/>
      <c r="R296" s="77"/>
      <c r="S296" s="76"/>
      <c r="T296" s="79"/>
      <c r="U296" s="82"/>
      <c r="V296" s="77"/>
      <c r="W296" s="77"/>
      <c r="X296" s="76"/>
      <c r="Y296" s="77"/>
      <c r="Z296" s="77"/>
      <c r="AA296" s="77"/>
      <c r="AB296" s="76"/>
      <c r="AC296" s="77"/>
      <c r="AD296" s="76"/>
      <c r="AE296" s="77"/>
      <c r="AF296" s="76"/>
      <c r="AG296" s="77"/>
      <c r="AH296" s="76"/>
      <c r="AI296" s="7"/>
      <c r="AJ296" s="27" t="str">
        <f t="shared" si="27"/>
        <v/>
      </c>
      <c r="AK296" s="3" t="s">
        <v>47</v>
      </c>
      <c r="AL296" s="3"/>
      <c r="AM296" s="3" t="s">
        <v>118</v>
      </c>
      <c r="AN296" s="89" t="s">
        <v>156</v>
      </c>
      <c r="AO296" s="90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7"/>
      <c r="BA296" s="37"/>
      <c r="BB296" s="37"/>
      <c r="BC296" s="37"/>
      <c r="BD296" s="42"/>
      <c r="BE296" s="41"/>
      <c r="BF296" s="41"/>
      <c r="BG296" s="41"/>
      <c r="BH296" s="41"/>
      <c r="BI296" s="41"/>
      <c r="BJ296" s="41"/>
      <c r="BK296" s="41"/>
      <c r="BL296" s="41"/>
      <c r="BM296" s="41"/>
      <c r="BN296" s="41"/>
    </row>
    <row r="297" spans="1:66" s="5" customFormat="1" hidden="1" x14ac:dyDescent="0.25">
      <c r="A297" s="7"/>
      <c r="B297" s="5" t="str">
        <f t="array" ref="B297">IFERROR(INDEX(DemandSupply,MATCH(INDEX($R$1:R297,SMALL(ROW($R$1:R297)+(10000*($R$1:R297="")),COUNTA($R$1:R297))),Sectors,0)),"")</f>
        <v>Demand</v>
      </c>
      <c r="M297" s="7"/>
      <c r="N297" s="76"/>
      <c r="O297" s="77"/>
      <c r="P297" s="77"/>
      <c r="Q297" s="82"/>
      <c r="R297" s="77"/>
      <c r="S297" s="76"/>
      <c r="T297" s="79"/>
      <c r="U297" s="82"/>
      <c r="V297" s="77"/>
      <c r="W297" s="77"/>
      <c r="X297" s="76"/>
      <c r="Y297" s="77"/>
      <c r="Z297" s="77"/>
      <c r="AA297" s="77"/>
      <c r="AB297" s="76"/>
      <c r="AC297" s="77"/>
      <c r="AD297" s="76"/>
      <c r="AE297" s="77"/>
      <c r="AF297" s="76"/>
      <c r="AG297" s="77"/>
      <c r="AH297" s="76"/>
      <c r="AI297" s="7"/>
      <c r="AJ297" s="27" t="str">
        <f t="shared" si="27"/>
        <v/>
      </c>
      <c r="AK297" s="3" t="s">
        <v>48</v>
      </c>
      <c r="AL297" s="3"/>
      <c r="AM297" s="3" t="s">
        <v>118</v>
      </c>
      <c r="AN297" s="89" t="s">
        <v>156</v>
      </c>
      <c r="AO297" s="90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7"/>
      <c r="BA297" s="37"/>
      <c r="BB297" s="37"/>
      <c r="BC297" s="37"/>
      <c r="BD297" s="42"/>
      <c r="BE297" s="41"/>
      <c r="BF297" s="41"/>
      <c r="BG297" s="41"/>
      <c r="BH297" s="41"/>
      <c r="BI297" s="41"/>
      <c r="BJ297" s="41"/>
      <c r="BK297" s="41"/>
      <c r="BL297" s="41"/>
      <c r="BM297" s="41"/>
      <c r="BN297" s="41"/>
    </row>
    <row r="298" spans="1:66" s="5" customFormat="1" hidden="1" x14ac:dyDescent="0.25">
      <c r="A298" s="7"/>
      <c r="B298" s="5" t="str">
        <f t="array" ref="B298">IFERROR(INDEX(DemandSupply,MATCH(INDEX($R$1:R298,SMALL(ROW($R$1:R298)+(10000*($R$1:R298="")),COUNTA($R$1:R298))),Sectors,0)),"")</f>
        <v>Demand</v>
      </c>
      <c r="M298" s="7"/>
      <c r="N298" s="76"/>
      <c r="O298" s="77"/>
      <c r="P298" s="77"/>
      <c r="Q298" s="82"/>
      <c r="R298" s="77"/>
      <c r="S298" s="76"/>
      <c r="T298" s="79"/>
      <c r="U298" s="82"/>
      <c r="V298" s="77"/>
      <c r="W298" s="77"/>
      <c r="X298" s="76"/>
      <c r="Y298" s="77"/>
      <c r="Z298" s="77"/>
      <c r="AA298" s="77"/>
      <c r="AB298" s="76"/>
      <c r="AC298" s="77"/>
      <c r="AD298" s="76"/>
      <c r="AE298" s="77"/>
      <c r="AF298" s="76"/>
      <c r="AG298" s="77"/>
      <c r="AH298" s="76"/>
      <c r="AI298" s="7"/>
      <c r="AJ298" s="27" t="str">
        <f t="shared" si="27"/>
        <v/>
      </c>
      <c r="AK298" s="3" t="s">
        <v>94</v>
      </c>
      <c r="AL298" s="3"/>
      <c r="AM298" s="3" t="s">
        <v>57</v>
      </c>
      <c r="AN298" s="89" t="s">
        <v>156</v>
      </c>
      <c r="AO298" s="90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7"/>
      <c r="BA298" s="37"/>
      <c r="BB298" s="37"/>
      <c r="BC298" s="37"/>
      <c r="BD298" s="42"/>
      <c r="BE298" s="41"/>
      <c r="BF298" s="41"/>
      <c r="BG298" s="41"/>
      <c r="BH298" s="41"/>
      <c r="BI298" s="41"/>
      <c r="BJ298" s="41"/>
      <c r="BK298" s="41"/>
      <c r="BL298" s="41"/>
      <c r="BM298" s="41"/>
      <c r="BN298" s="41"/>
    </row>
    <row r="299" spans="1:66" s="5" customFormat="1" hidden="1" x14ac:dyDescent="0.25">
      <c r="A299" s="7"/>
      <c r="B299" s="5" t="str">
        <f t="array" ref="B299">IFERROR(INDEX(DemandSupply,MATCH(INDEX($R$1:R299,SMALL(ROW($R$1:R299)+(10000*($R$1:R299="")),COUNTA($R$1:R299))),Sectors,0)),"")</f>
        <v>Demand</v>
      </c>
      <c r="M299" s="7"/>
      <c r="N299" s="76"/>
      <c r="O299" s="77"/>
      <c r="P299" s="77"/>
      <c r="Q299" s="82"/>
      <c r="R299" s="77"/>
      <c r="S299" s="76"/>
      <c r="T299" s="79"/>
      <c r="U299" s="82"/>
      <c r="V299" s="77"/>
      <c r="W299" s="77"/>
      <c r="X299" s="76"/>
      <c r="Y299" s="77"/>
      <c r="Z299" s="77"/>
      <c r="AA299" s="77"/>
      <c r="AB299" s="76"/>
      <c r="AC299" s="77"/>
      <c r="AD299" s="76"/>
      <c r="AE299" s="77"/>
      <c r="AF299" s="76"/>
      <c r="AG299" s="77"/>
      <c r="AH299" s="76"/>
      <c r="AI299" s="7"/>
      <c r="AJ299" s="27" t="str">
        <f t="shared" si="27"/>
        <v/>
      </c>
      <c r="AK299" s="3" t="s">
        <v>91</v>
      </c>
      <c r="AL299" s="3"/>
      <c r="AM299" s="3" t="s">
        <v>118</v>
      </c>
      <c r="AN299" s="89" t="s">
        <v>156</v>
      </c>
      <c r="AO299" s="92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7"/>
      <c r="BA299" s="37"/>
      <c r="BB299" s="37"/>
      <c r="BC299" s="37"/>
      <c r="BD299" s="42"/>
      <c r="BE299" s="41"/>
      <c r="BF299" s="41"/>
      <c r="BG299" s="41"/>
      <c r="BH299" s="41"/>
      <c r="BI299" s="41"/>
      <c r="BJ299" s="41"/>
      <c r="BK299" s="41"/>
      <c r="BL299" s="41"/>
      <c r="BM299" s="41"/>
      <c r="BN299" s="41"/>
    </row>
    <row r="300" spans="1:66" s="5" customFormat="1" hidden="1" x14ac:dyDescent="0.25">
      <c r="A300" s="7"/>
      <c r="B300" s="5" t="str">
        <f t="array" ref="B300">IFERROR(INDEX(DemandSupply,MATCH(INDEX($R$1:R300,SMALL(ROW($R$1:R300)+(10000*($R$1:R300="")),COUNTA($R$1:R300))),Sectors,0)),"")</f>
        <v>Demand</v>
      </c>
      <c r="M300" s="7"/>
      <c r="N300" s="76"/>
      <c r="O300" s="77"/>
      <c r="P300" s="77"/>
      <c r="Q300" s="82"/>
      <c r="R300" s="77"/>
      <c r="S300" s="76"/>
      <c r="T300" s="79"/>
      <c r="U300" s="82"/>
      <c r="V300" s="77"/>
      <c r="W300" s="77"/>
      <c r="X300" s="76"/>
      <c r="Y300" s="77"/>
      <c r="Z300" s="77"/>
      <c r="AA300" s="77"/>
      <c r="AB300" s="76"/>
      <c r="AC300" s="77"/>
      <c r="AD300" s="76"/>
      <c r="AE300" s="77"/>
      <c r="AF300" s="76"/>
      <c r="AG300" s="77"/>
      <c r="AH300" s="76"/>
      <c r="AI300" s="7"/>
      <c r="AJ300" s="27" t="str">
        <f t="shared" si="27"/>
        <v/>
      </c>
      <c r="AK300" s="3" t="s">
        <v>63</v>
      </c>
      <c r="AL300" s="3"/>
      <c r="AM300" s="3"/>
      <c r="AN300" s="89" t="s">
        <v>155</v>
      </c>
      <c r="AO300" s="90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7"/>
      <c r="BA300" s="37"/>
      <c r="BB300" s="37"/>
      <c r="BC300" s="37"/>
      <c r="BD300" s="42"/>
      <c r="BE300" s="41"/>
      <c r="BF300" s="41"/>
      <c r="BG300" s="41"/>
      <c r="BH300" s="41"/>
      <c r="BI300" s="41"/>
      <c r="BJ300" s="41"/>
      <c r="BK300" s="41"/>
      <c r="BL300" s="41"/>
      <c r="BM300" s="41"/>
      <c r="BN300" s="41"/>
    </row>
    <row r="301" spans="1:66" s="5" customFormat="1" hidden="1" x14ac:dyDescent="0.25">
      <c r="A301" s="7"/>
      <c r="B301" s="5" t="str">
        <f t="array" ref="B301">IFERROR(INDEX(DemandSupply,MATCH(INDEX($R$1:R301,SMALL(ROW($R$1:R301)+(10000*($R$1:R301="")),COUNTA($R$1:R301))),Sectors,0)),"")</f>
        <v>Demand</v>
      </c>
      <c r="M301" s="7"/>
      <c r="N301" s="76"/>
      <c r="O301" s="77"/>
      <c r="P301" s="77"/>
      <c r="Q301" s="82"/>
      <c r="R301" s="77"/>
      <c r="S301" s="76"/>
      <c r="T301" s="79"/>
      <c r="U301" s="82"/>
      <c r="V301" s="77"/>
      <c r="W301" s="77"/>
      <c r="X301" s="76"/>
      <c r="Y301" s="77"/>
      <c r="Z301" s="77"/>
      <c r="AA301" s="77"/>
      <c r="AB301" s="76"/>
      <c r="AC301" s="77"/>
      <c r="AD301" s="76"/>
      <c r="AE301" s="77"/>
      <c r="AF301" s="76"/>
      <c r="AG301" s="77"/>
      <c r="AH301" s="76"/>
      <c r="AI301" s="7"/>
      <c r="AJ301" s="27" t="str">
        <f t="shared" si="27"/>
        <v/>
      </c>
      <c r="AK301" s="3" t="s">
        <v>41</v>
      </c>
      <c r="AL301" s="3"/>
      <c r="AM301" s="3" t="s">
        <v>43</v>
      </c>
      <c r="AN301" s="89" t="s">
        <v>155</v>
      </c>
      <c r="AO301" s="90">
        <v>2000</v>
      </c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7"/>
      <c r="BA301" s="37"/>
      <c r="BB301" s="37"/>
      <c r="BC301" s="37"/>
      <c r="BD301" s="42"/>
      <c r="BE301" s="41"/>
      <c r="BF301" s="41"/>
      <c r="BG301" s="41"/>
      <c r="BH301" s="41"/>
      <c r="BI301" s="41"/>
      <c r="BJ301" s="41"/>
      <c r="BK301" s="41"/>
      <c r="BL301" s="41"/>
      <c r="BM301" s="41"/>
      <c r="BN301" s="41"/>
    </row>
    <row r="302" spans="1:66" s="5" customFormat="1" hidden="1" x14ac:dyDescent="0.25">
      <c r="A302" s="7"/>
      <c r="B302" s="5" t="str">
        <f t="array" ref="B302">IFERROR(INDEX(DemandSupply,MATCH(INDEX($R$1:R302,SMALL(ROW($R$1:R302)+(10000*($R$1:R302="")),COUNTA($R$1:R302))),Sectors,0)),"")</f>
        <v>Demand</v>
      </c>
      <c r="M302" s="7"/>
      <c r="N302" s="76"/>
      <c r="O302" s="77"/>
      <c r="P302" s="77"/>
      <c r="Q302" s="82"/>
      <c r="R302" s="77"/>
      <c r="S302" s="76"/>
      <c r="T302" s="79"/>
      <c r="U302" s="82"/>
      <c r="V302" s="77"/>
      <c r="W302" s="77"/>
      <c r="X302" s="76"/>
      <c r="Y302" s="77"/>
      <c r="Z302" s="77"/>
      <c r="AA302" s="77"/>
      <c r="AB302" s="76"/>
      <c r="AC302" s="77"/>
      <c r="AD302" s="76"/>
      <c r="AE302" s="77"/>
      <c r="AF302" s="76"/>
      <c r="AG302" s="77"/>
      <c r="AH302" s="76"/>
      <c r="AI302" s="7"/>
      <c r="AJ302" s="27" t="str">
        <f t="shared" si="27"/>
        <v/>
      </c>
      <c r="AK302" s="3" t="s">
        <v>40</v>
      </c>
      <c r="AL302" s="3"/>
      <c r="AM302" s="3" t="s">
        <v>43</v>
      </c>
      <c r="AN302" s="89" t="s">
        <v>155</v>
      </c>
      <c r="AO302" s="90">
        <v>2020</v>
      </c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7"/>
      <c r="BA302" s="37"/>
      <c r="BB302" s="37"/>
      <c r="BC302" s="37"/>
      <c r="BD302" s="42"/>
      <c r="BE302" s="41"/>
      <c r="BF302" s="41"/>
      <c r="BG302" s="41"/>
      <c r="BH302" s="41"/>
      <c r="BI302" s="41"/>
      <c r="BJ302" s="41"/>
      <c r="BK302" s="41"/>
      <c r="BL302" s="41"/>
      <c r="BM302" s="41"/>
      <c r="BN302" s="41"/>
    </row>
    <row r="303" spans="1:66" s="5" customFormat="1" hidden="1" x14ac:dyDescent="0.25">
      <c r="A303" s="7"/>
      <c r="B303" s="5" t="str">
        <f t="array" ref="B303">IFERROR(INDEX(DemandSupply,MATCH(INDEX($R$1:R303,SMALL(ROW($R$1:R303)+(10000*($R$1:R303="")),COUNTA($R$1:R303))),Sectors,0)),"")</f>
        <v>Demand</v>
      </c>
      <c r="M303" s="7"/>
      <c r="N303" s="76"/>
      <c r="O303" s="77"/>
      <c r="P303" s="77"/>
      <c r="Q303" s="82"/>
      <c r="R303" s="77"/>
      <c r="S303" s="76"/>
      <c r="T303" s="79"/>
      <c r="U303" s="82"/>
      <c r="V303" s="77"/>
      <c r="W303" s="77"/>
      <c r="X303" s="76"/>
      <c r="Y303" s="77"/>
      <c r="Z303" s="77"/>
      <c r="AA303" s="77"/>
      <c r="AB303" s="76"/>
      <c r="AC303" s="77"/>
      <c r="AD303" s="76"/>
      <c r="AE303" s="77"/>
      <c r="AF303" s="76"/>
      <c r="AG303" s="77"/>
      <c r="AH303" s="76"/>
      <c r="AI303" s="7"/>
      <c r="AJ303" s="27" t="str">
        <f t="shared" si="27"/>
        <v/>
      </c>
      <c r="AK303" s="3" t="s">
        <v>42</v>
      </c>
      <c r="AL303" s="3"/>
      <c r="AM303" s="3" t="s">
        <v>10</v>
      </c>
      <c r="AN303" s="89" t="s">
        <v>155</v>
      </c>
      <c r="AO303" s="90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7"/>
      <c r="BA303" s="37"/>
      <c r="BB303" s="37"/>
      <c r="BC303" s="37"/>
      <c r="BD303" s="42"/>
      <c r="BE303" s="41"/>
      <c r="BF303" s="41"/>
      <c r="BG303" s="41"/>
      <c r="BH303" s="41"/>
      <c r="BI303" s="41"/>
      <c r="BJ303" s="41"/>
      <c r="BK303" s="41"/>
      <c r="BL303" s="41"/>
      <c r="BM303" s="41"/>
      <c r="BN303" s="41"/>
    </row>
    <row r="304" spans="1:66" s="5" customFormat="1" hidden="1" x14ac:dyDescent="0.25">
      <c r="A304" s="7"/>
      <c r="B304" s="5" t="str">
        <f t="array" ref="B304">IFERROR(INDEX(DemandSupply,MATCH(INDEX($R$1:R304,SMALL(ROW($R$1:R304)+(10000*($R$1:R304="")),COUNTA($R$1:R304))),Sectors,0)),"")</f>
        <v>Demand</v>
      </c>
      <c r="M304" s="7"/>
      <c r="N304" s="76"/>
      <c r="O304" s="77"/>
      <c r="P304" s="77"/>
      <c r="Q304" s="82"/>
      <c r="R304" s="77"/>
      <c r="S304" s="76"/>
      <c r="T304" s="79"/>
      <c r="U304" s="82"/>
      <c r="V304" s="77"/>
      <c r="W304" s="77"/>
      <c r="X304" s="76"/>
      <c r="Y304" s="77"/>
      <c r="Z304" s="77"/>
      <c r="AA304" s="77"/>
      <c r="AB304" s="76"/>
      <c r="AC304" s="77"/>
      <c r="AD304" s="76"/>
      <c r="AE304" s="77"/>
      <c r="AF304" s="76"/>
      <c r="AG304" s="77"/>
      <c r="AH304" s="76"/>
      <c r="AI304" s="7"/>
      <c r="AJ304" s="27" t="str">
        <f t="shared" si="27"/>
        <v/>
      </c>
      <c r="AK304" s="3" t="s">
        <v>67</v>
      </c>
      <c r="AL304" s="3"/>
      <c r="AM304" s="3" t="s">
        <v>118</v>
      </c>
      <c r="AN304" s="89" t="s">
        <v>155</v>
      </c>
      <c r="AO304" s="90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7"/>
      <c r="BA304" s="37"/>
      <c r="BB304" s="37"/>
      <c r="BC304" s="37"/>
      <c r="BD304" s="42"/>
      <c r="BE304" s="41"/>
      <c r="BF304" s="41"/>
      <c r="BG304" s="41"/>
      <c r="BH304" s="41"/>
      <c r="BI304" s="41"/>
      <c r="BJ304" s="41"/>
      <c r="BK304" s="41"/>
      <c r="BL304" s="41"/>
      <c r="BM304" s="41"/>
      <c r="BN304" s="41"/>
    </row>
    <row r="305" spans="1:66" s="5" customFormat="1" hidden="1" x14ac:dyDescent="0.25">
      <c r="A305" s="7"/>
      <c r="B305" s="5" t="str">
        <f t="array" ref="B305">IFERROR(INDEX(DemandSupply,MATCH(INDEX($R$1:R305,SMALL(ROW($R$1:R305)+(10000*($R$1:R305="")),COUNTA($R$1:R305))),Sectors,0)),"")</f>
        <v>Demand</v>
      </c>
      <c r="M305" s="7"/>
      <c r="N305" s="76"/>
      <c r="O305" s="77"/>
      <c r="P305" s="77"/>
      <c r="Q305" s="82"/>
      <c r="R305" s="77"/>
      <c r="S305" s="76"/>
      <c r="T305" s="79"/>
      <c r="U305" s="82"/>
      <c r="V305" s="77"/>
      <c r="W305" s="77"/>
      <c r="X305" s="76"/>
      <c r="Y305" s="77"/>
      <c r="Z305" s="77"/>
      <c r="AA305" s="77"/>
      <c r="AB305" s="76"/>
      <c r="AC305" s="77"/>
      <c r="AD305" s="76"/>
      <c r="AE305" s="77"/>
      <c r="AF305" s="76"/>
      <c r="AG305" s="77"/>
      <c r="AH305" s="76"/>
      <c r="AI305" s="7"/>
      <c r="AJ305" s="27" t="str">
        <f t="shared" si="27"/>
        <v/>
      </c>
      <c r="AK305" s="3" t="s">
        <v>38</v>
      </c>
      <c r="AL305" s="3"/>
      <c r="AM305" s="3" t="s">
        <v>17</v>
      </c>
      <c r="AN305" s="89" t="s">
        <v>155</v>
      </c>
      <c r="AO305" s="90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7"/>
      <c r="BA305" s="37"/>
      <c r="BB305" s="37"/>
      <c r="BC305" s="37"/>
      <c r="BD305" s="42"/>
      <c r="BE305" s="41"/>
      <c r="BF305" s="41"/>
      <c r="BG305" s="41"/>
      <c r="BH305" s="41"/>
      <c r="BI305" s="41"/>
      <c r="BJ305" s="41"/>
      <c r="BK305" s="41"/>
      <c r="BL305" s="41"/>
      <c r="BM305" s="41"/>
      <c r="BN305" s="41"/>
    </row>
    <row r="306" spans="1:66" s="5" customFormat="1" hidden="1" x14ac:dyDescent="0.25">
      <c r="A306" s="7"/>
      <c r="B306" s="5" t="str">
        <f t="array" ref="B306">IFERROR(INDEX(DemandSupply,MATCH(INDEX($R$1:R306,SMALL(ROW($R$1:R306)+(10000*($R$1:R306="")),COUNTA($R$1:R306))),Sectors,0)),"")</f>
        <v>Demand</v>
      </c>
      <c r="M306" s="7"/>
      <c r="N306" s="76"/>
      <c r="O306" s="77"/>
      <c r="P306" s="77"/>
      <c r="Q306" s="82"/>
      <c r="R306" s="77"/>
      <c r="S306" s="76"/>
      <c r="T306" s="79"/>
      <c r="U306" s="82"/>
      <c r="V306" s="77"/>
      <c r="W306" s="77"/>
      <c r="X306" s="76"/>
      <c r="Y306" s="77"/>
      <c r="Z306" s="77"/>
      <c r="AA306" s="77"/>
      <c r="AB306" s="76"/>
      <c r="AC306" s="77"/>
      <c r="AD306" s="76"/>
      <c r="AE306" s="77"/>
      <c r="AF306" s="76"/>
      <c r="AG306" s="77"/>
      <c r="AH306" s="76"/>
      <c r="AI306" s="7"/>
      <c r="AJ306" s="27" t="str">
        <f t="shared" si="27"/>
        <v/>
      </c>
      <c r="AK306" s="3" t="s">
        <v>44</v>
      </c>
      <c r="AL306" s="3"/>
      <c r="AM306" s="3" t="s">
        <v>17</v>
      </c>
      <c r="AN306" s="89" t="s">
        <v>155</v>
      </c>
      <c r="AO306" s="90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7"/>
      <c r="BA306" s="37"/>
      <c r="BB306" s="37"/>
      <c r="BC306" s="37"/>
      <c r="BD306" s="42"/>
      <c r="BE306" s="41"/>
      <c r="BF306" s="41"/>
      <c r="BG306" s="41"/>
      <c r="BH306" s="41"/>
      <c r="BI306" s="41"/>
      <c r="BJ306" s="41"/>
      <c r="BK306" s="41"/>
      <c r="BL306" s="41"/>
      <c r="BM306" s="41"/>
      <c r="BN306" s="41"/>
    </row>
    <row r="307" spans="1:66" s="5" customFormat="1" hidden="1" x14ac:dyDescent="0.25">
      <c r="A307" s="7"/>
      <c r="B307" s="5" t="str">
        <f t="array" ref="B307">IFERROR(INDEX(DemandSupply,MATCH(INDEX($R$1:R307,SMALL(ROW($R$1:R307)+(10000*($R$1:R307="")),COUNTA($R$1:R307))),Sectors,0)),"")</f>
        <v>Demand</v>
      </c>
      <c r="M307" s="7"/>
      <c r="N307" s="76"/>
      <c r="O307" s="77"/>
      <c r="P307" s="77"/>
      <c r="Q307" s="82"/>
      <c r="R307" s="77"/>
      <c r="S307" s="76"/>
      <c r="T307" s="79"/>
      <c r="U307" s="82"/>
      <c r="V307" s="77"/>
      <c r="W307" s="77"/>
      <c r="X307" s="76"/>
      <c r="Y307" s="77"/>
      <c r="Z307" s="77"/>
      <c r="AA307" s="77"/>
      <c r="AB307" s="76"/>
      <c r="AC307" s="77"/>
      <c r="AD307" s="76"/>
      <c r="AE307" s="77"/>
      <c r="AF307" s="76"/>
      <c r="AG307" s="77"/>
      <c r="AH307" s="76"/>
      <c r="AI307" s="7"/>
      <c r="AJ307" s="27" t="str">
        <f t="shared" si="27"/>
        <v/>
      </c>
      <c r="AK307" s="3" t="s">
        <v>51</v>
      </c>
      <c r="AL307" s="3"/>
      <c r="AM307" s="3" t="s">
        <v>17</v>
      </c>
      <c r="AN307" s="89" t="s">
        <v>155</v>
      </c>
      <c r="AO307" s="90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7"/>
      <c r="BA307" s="37"/>
      <c r="BB307" s="37"/>
      <c r="BC307" s="37"/>
      <c r="BD307" s="42"/>
      <c r="BE307" s="41"/>
      <c r="BF307" s="41"/>
      <c r="BG307" s="41"/>
      <c r="BH307" s="41"/>
      <c r="BI307" s="41"/>
      <c r="BJ307" s="41"/>
      <c r="BK307" s="41"/>
      <c r="BL307" s="41"/>
      <c r="BM307" s="41"/>
      <c r="BN307" s="41"/>
    </row>
    <row r="308" spans="1:66" s="5" customFormat="1" hidden="1" x14ac:dyDescent="0.25">
      <c r="A308" s="7"/>
      <c r="B308" s="5" t="str">
        <f t="array" ref="B308">IFERROR(INDEX(DemandSupply,MATCH(INDEX($R$1:R308,SMALL(ROW($R$1:R308)+(10000*($R$1:R308="")),COUNTA($R$1:R308))),Sectors,0)),"")</f>
        <v>Demand</v>
      </c>
      <c r="M308" s="7"/>
      <c r="N308" s="76"/>
      <c r="O308" s="77"/>
      <c r="P308" s="77"/>
      <c r="Q308" s="82"/>
      <c r="R308" s="77"/>
      <c r="S308" s="76"/>
      <c r="T308" s="79"/>
      <c r="U308" s="82"/>
      <c r="V308" s="77"/>
      <c r="W308" s="77"/>
      <c r="X308" s="76"/>
      <c r="Y308" s="77"/>
      <c r="Z308" s="77"/>
      <c r="AA308" s="77"/>
      <c r="AB308" s="76"/>
      <c r="AC308" s="77"/>
      <c r="AD308" s="76"/>
      <c r="AE308" s="77"/>
      <c r="AF308" s="76"/>
      <c r="AG308" s="77"/>
      <c r="AH308" s="76"/>
      <c r="AI308" s="7"/>
      <c r="AJ308" s="27" t="str">
        <f t="shared" si="27"/>
        <v/>
      </c>
      <c r="AK308" s="3" t="s">
        <v>95</v>
      </c>
      <c r="AL308" s="3"/>
      <c r="AM308" s="3" t="s">
        <v>17</v>
      </c>
      <c r="AN308" s="89" t="s">
        <v>155</v>
      </c>
      <c r="AO308" s="91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7"/>
      <c r="BA308" s="37"/>
      <c r="BB308" s="37"/>
      <c r="BC308" s="37"/>
      <c r="BD308" s="42"/>
      <c r="BE308" s="41"/>
      <c r="BF308" s="41"/>
      <c r="BG308" s="41"/>
      <c r="BH308" s="41"/>
      <c r="BI308" s="41"/>
      <c r="BJ308" s="41"/>
      <c r="BK308" s="41"/>
      <c r="BL308" s="41"/>
      <c r="BM308" s="41"/>
      <c r="BN308" s="41"/>
    </row>
    <row r="309" spans="1:66" s="5" customFormat="1" hidden="1" x14ac:dyDescent="0.25">
      <c r="A309" s="7"/>
      <c r="B309" s="5" t="str">
        <f t="array" ref="B309">IFERROR(INDEX(DemandSupply,MATCH(INDEX($R$1:R309,SMALL(ROW($R$1:R309)+(10000*($R$1:R309="")),COUNTA($R$1:R309))),Sectors,0)),"")</f>
        <v>Demand</v>
      </c>
      <c r="M309" s="7"/>
      <c r="N309" s="76"/>
      <c r="O309" s="77"/>
      <c r="P309" s="77"/>
      <c r="Q309" s="82"/>
      <c r="R309" s="77"/>
      <c r="S309" s="76"/>
      <c r="T309" s="79"/>
      <c r="U309" s="82"/>
      <c r="V309" s="77"/>
      <c r="W309" s="77"/>
      <c r="X309" s="76"/>
      <c r="Y309" s="77"/>
      <c r="Z309" s="77"/>
      <c r="AA309" s="77"/>
      <c r="AB309" s="76"/>
      <c r="AC309" s="77"/>
      <c r="AD309" s="76"/>
      <c r="AE309" s="77"/>
      <c r="AF309" s="76"/>
      <c r="AG309" s="77"/>
      <c r="AH309" s="76"/>
      <c r="AI309" s="7"/>
      <c r="AJ309" s="27" t="str">
        <f t="shared" si="27"/>
        <v/>
      </c>
      <c r="AK309" s="3" t="s">
        <v>146</v>
      </c>
      <c r="AL309" s="3" t="s">
        <v>164</v>
      </c>
      <c r="AM309" s="3"/>
      <c r="AN309" s="89" t="s">
        <v>155</v>
      </c>
      <c r="AO309" s="91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7"/>
      <c r="BA309" s="37"/>
      <c r="BB309" s="37"/>
      <c r="BC309" s="37"/>
      <c r="BD309" s="42"/>
      <c r="BE309" s="41"/>
      <c r="BF309" s="41"/>
      <c r="BG309" s="41"/>
      <c r="BH309" s="41"/>
      <c r="BI309" s="41"/>
      <c r="BJ309" s="41"/>
      <c r="BK309" s="41"/>
      <c r="BL309" s="41"/>
      <c r="BM309" s="41"/>
      <c r="BN309" s="41"/>
    </row>
    <row r="310" spans="1:66" s="5" customFormat="1" hidden="1" x14ac:dyDescent="0.25">
      <c r="A310" s="7"/>
      <c r="B310" s="5" t="str">
        <f t="array" ref="B310">IFERROR(INDEX(DemandSupply,MATCH(INDEX($R$1:R310,SMALL(ROW($R$1:R310)+(10000*($R$1:R310="")),COUNTA($R$1:R310))),Sectors,0)),"")</f>
        <v>Demand</v>
      </c>
      <c r="M310" s="7"/>
      <c r="N310" s="76"/>
      <c r="O310" s="77"/>
      <c r="P310" s="77"/>
      <c r="Q310" s="82"/>
      <c r="R310" s="77"/>
      <c r="S310" s="76"/>
      <c r="T310" s="79"/>
      <c r="U310" s="82"/>
      <c r="V310" s="77"/>
      <c r="W310" s="77"/>
      <c r="X310" s="76"/>
      <c r="Y310" s="77"/>
      <c r="Z310" s="77"/>
      <c r="AA310" s="77"/>
      <c r="AB310" s="76"/>
      <c r="AC310" s="77"/>
      <c r="AD310" s="76"/>
      <c r="AE310" s="77"/>
      <c r="AF310" s="76"/>
      <c r="AG310" s="77"/>
      <c r="AH310" s="76"/>
      <c r="AI310" s="7"/>
      <c r="AJ310" s="27" t="str">
        <f t="shared" si="27"/>
        <v/>
      </c>
      <c r="AK310" s="3" t="s">
        <v>146</v>
      </c>
      <c r="AL310" s="3" t="s">
        <v>165</v>
      </c>
      <c r="AM310" s="3"/>
      <c r="AN310" s="89" t="s">
        <v>155</v>
      </c>
      <c r="AO310" s="91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7"/>
      <c r="BA310" s="37"/>
      <c r="BB310" s="37"/>
      <c r="BC310" s="37"/>
      <c r="BD310" s="42"/>
      <c r="BE310" s="41"/>
      <c r="BF310" s="41"/>
      <c r="BG310" s="41"/>
      <c r="BH310" s="41"/>
      <c r="BI310" s="41"/>
      <c r="BJ310" s="41"/>
      <c r="BK310" s="41"/>
      <c r="BL310" s="41"/>
      <c r="BM310" s="41"/>
      <c r="BN310" s="41"/>
    </row>
    <row r="311" spans="1:66" s="5" customFormat="1" hidden="1" x14ac:dyDescent="0.25">
      <c r="A311" s="7"/>
      <c r="B311" s="5" t="str">
        <f t="array" ref="B311">IFERROR(INDEX(DemandSupply,MATCH(INDEX($R$1:R311,SMALL(ROW($R$1:R311)+(10000*($R$1:R311="")),COUNTA($R$1:R311))),Sectors,0)),"")</f>
        <v>Demand</v>
      </c>
      <c r="M311" s="7"/>
      <c r="N311" s="76"/>
      <c r="O311" s="77"/>
      <c r="P311" s="77"/>
      <c r="Q311" s="82"/>
      <c r="R311" s="77"/>
      <c r="S311" s="76"/>
      <c r="T311" s="79"/>
      <c r="U311" s="82"/>
      <c r="V311" s="77"/>
      <c r="W311" s="77"/>
      <c r="X311" s="76"/>
      <c r="Y311" s="77"/>
      <c r="Z311" s="77"/>
      <c r="AA311" s="77"/>
      <c r="AB311" s="76"/>
      <c r="AC311" s="77"/>
      <c r="AD311" s="76"/>
      <c r="AE311" s="77"/>
      <c r="AF311" s="76"/>
      <c r="AG311" s="77"/>
      <c r="AH311" s="76"/>
      <c r="AI311" s="7"/>
      <c r="AJ311" s="27" t="str">
        <f t="shared" si="27"/>
        <v/>
      </c>
      <c r="AK311" s="3" t="s">
        <v>146</v>
      </c>
      <c r="AL311" s="3" t="s">
        <v>163</v>
      </c>
      <c r="AM311" s="3"/>
      <c r="AN311" s="89" t="s">
        <v>155</v>
      </c>
      <c r="AO311" s="91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7"/>
      <c r="BA311" s="37"/>
      <c r="BB311" s="37"/>
      <c r="BC311" s="37"/>
      <c r="BD311" s="42"/>
      <c r="BE311" s="41"/>
      <c r="BF311" s="41"/>
      <c r="BG311" s="41"/>
      <c r="BH311" s="41"/>
      <c r="BI311" s="41"/>
      <c r="BJ311" s="41"/>
      <c r="BK311" s="41"/>
      <c r="BL311" s="41"/>
      <c r="BM311" s="41"/>
      <c r="BN311" s="41"/>
    </row>
    <row r="312" spans="1:66" s="5" customFormat="1" hidden="1" x14ac:dyDescent="0.25">
      <c r="A312" s="7"/>
      <c r="B312" s="5" t="str">
        <f t="array" ref="B312">IFERROR(INDEX(DemandSupply,MATCH(INDEX($R$1:R312,SMALL(ROW($R$1:R312)+(10000*($R$1:R312="")),COUNTA($R$1:R312))),Sectors,0)),"")</f>
        <v>Demand</v>
      </c>
      <c r="M312" s="7"/>
      <c r="N312" s="76"/>
      <c r="O312" s="77"/>
      <c r="P312" s="77"/>
      <c r="Q312" s="82"/>
      <c r="R312" s="77"/>
      <c r="S312" s="76"/>
      <c r="T312" s="79"/>
      <c r="U312" s="82"/>
      <c r="V312" s="77"/>
      <c r="W312" s="77"/>
      <c r="X312" s="76"/>
      <c r="Y312" s="77"/>
      <c r="Z312" s="77"/>
      <c r="AA312" s="77"/>
      <c r="AB312" s="76"/>
      <c r="AC312" s="77"/>
      <c r="AD312" s="76"/>
      <c r="AE312" s="77"/>
      <c r="AF312" s="76"/>
      <c r="AG312" s="77"/>
      <c r="AH312" s="76"/>
      <c r="AI312" s="7"/>
      <c r="AJ312" s="27" t="str">
        <f t="shared" si="27"/>
        <v/>
      </c>
      <c r="AK312" s="3" t="s">
        <v>47</v>
      </c>
      <c r="AL312" s="3"/>
      <c r="AM312" s="3" t="s">
        <v>118</v>
      </c>
      <c r="AN312" s="89" t="s">
        <v>155</v>
      </c>
      <c r="AO312" s="90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7"/>
      <c r="BA312" s="37"/>
      <c r="BB312" s="37"/>
      <c r="BC312" s="37"/>
      <c r="BD312" s="42"/>
      <c r="BE312" s="41"/>
      <c r="BF312" s="41"/>
      <c r="BG312" s="41"/>
      <c r="BH312" s="41"/>
      <c r="BI312" s="41"/>
      <c r="BJ312" s="41"/>
      <c r="BK312" s="41"/>
      <c r="BL312" s="41"/>
      <c r="BM312" s="41"/>
      <c r="BN312" s="41"/>
    </row>
    <row r="313" spans="1:66" s="5" customFormat="1" hidden="1" x14ac:dyDescent="0.25">
      <c r="A313" s="7"/>
      <c r="B313" s="5" t="str">
        <f t="array" ref="B313">IFERROR(INDEX(DemandSupply,MATCH(INDEX($R$1:R313,SMALL(ROW($R$1:R313)+(10000*($R$1:R313="")),COUNTA($R$1:R313))),Sectors,0)),"")</f>
        <v>Demand</v>
      </c>
      <c r="M313" s="7"/>
      <c r="N313" s="76"/>
      <c r="O313" s="77"/>
      <c r="P313" s="77"/>
      <c r="Q313" s="82"/>
      <c r="R313" s="77"/>
      <c r="S313" s="76"/>
      <c r="T313" s="79"/>
      <c r="U313" s="82"/>
      <c r="V313" s="77"/>
      <c r="W313" s="77"/>
      <c r="X313" s="76"/>
      <c r="Y313" s="77"/>
      <c r="Z313" s="77"/>
      <c r="AA313" s="77"/>
      <c r="AB313" s="76"/>
      <c r="AC313" s="77"/>
      <c r="AD313" s="76"/>
      <c r="AE313" s="77"/>
      <c r="AF313" s="76"/>
      <c r="AG313" s="77"/>
      <c r="AH313" s="76"/>
      <c r="AI313" s="7"/>
      <c r="AJ313" s="27" t="str">
        <f t="shared" si="27"/>
        <v/>
      </c>
      <c r="AK313" s="3" t="s">
        <v>48</v>
      </c>
      <c r="AL313" s="3"/>
      <c r="AM313" s="3" t="s">
        <v>118</v>
      </c>
      <c r="AN313" s="89" t="s">
        <v>155</v>
      </c>
      <c r="AO313" s="90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7"/>
      <c r="BA313" s="37"/>
      <c r="BB313" s="37"/>
      <c r="BC313" s="37"/>
      <c r="BD313" s="42"/>
      <c r="BE313" s="41"/>
      <c r="BF313" s="41"/>
      <c r="BG313" s="41"/>
      <c r="BH313" s="41"/>
      <c r="BI313" s="41"/>
      <c r="BJ313" s="41"/>
      <c r="BK313" s="41"/>
      <c r="BL313" s="41"/>
      <c r="BM313" s="41"/>
      <c r="BN313" s="41"/>
    </row>
    <row r="314" spans="1:66" s="5" customFormat="1" hidden="1" x14ac:dyDescent="0.25">
      <c r="A314" s="7"/>
      <c r="B314" s="5" t="str">
        <f t="array" ref="B314">IFERROR(INDEX(DemandSupply,MATCH(INDEX($R$1:R314,SMALL(ROW($R$1:R314)+(10000*($R$1:R314="")),COUNTA($R$1:R314))),Sectors,0)),"")</f>
        <v>Demand</v>
      </c>
      <c r="M314" s="7"/>
      <c r="N314" s="76"/>
      <c r="O314" s="77"/>
      <c r="P314" s="77"/>
      <c r="Q314" s="82"/>
      <c r="R314" s="77"/>
      <c r="S314" s="76"/>
      <c r="T314" s="79"/>
      <c r="U314" s="82"/>
      <c r="V314" s="77"/>
      <c r="W314" s="77"/>
      <c r="X314" s="76"/>
      <c r="Y314" s="77"/>
      <c r="Z314" s="77"/>
      <c r="AA314" s="77"/>
      <c r="AB314" s="76"/>
      <c r="AC314" s="77"/>
      <c r="AD314" s="76"/>
      <c r="AE314" s="77"/>
      <c r="AF314" s="76"/>
      <c r="AG314" s="77"/>
      <c r="AH314" s="76"/>
      <c r="AI314" s="7"/>
      <c r="AJ314" s="27" t="str">
        <f t="shared" si="27"/>
        <v/>
      </c>
      <c r="AK314" s="3" t="s">
        <v>94</v>
      </c>
      <c r="AL314" s="3"/>
      <c r="AM314" s="3" t="s">
        <v>57</v>
      </c>
      <c r="AN314" s="89" t="s">
        <v>155</v>
      </c>
      <c r="AO314" s="90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7"/>
      <c r="BA314" s="37"/>
      <c r="BB314" s="37"/>
      <c r="BC314" s="37"/>
      <c r="BD314" s="42"/>
      <c r="BE314" s="41"/>
      <c r="BF314" s="41"/>
      <c r="BG314" s="41"/>
      <c r="BH314" s="41"/>
      <c r="BI314" s="41"/>
      <c r="BJ314" s="41"/>
      <c r="BK314" s="41"/>
      <c r="BL314" s="41"/>
      <c r="BM314" s="41"/>
      <c r="BN314" s="41"/>
    </row>
    <row r="315" spans="1:66" s="5" customFormat="1" hidden="1" x14ac:dyDescent="0.25">
      <c r="A315" s="7"/>
      <c r="B315" s="5" t="str">
        <f t="array" ref="B315">IFERROR(INDEX(DemandSupply,MATCH(INDEX($R$1:R315,SMALL(ROW($R$1:R315)+(10000*($R$1:R315="")),COUNTA($R$1:R315))),Sectors,0)),"")</f>
        <v>Demand</v>
      </c>
      <c r="M315" s="7"/>
      <c r="N315" s="76"/>
      <c r="O315" s="77"/>
      <c r="P315" s="77"/>
      <c r="Q315" s="82"/>
      <c r="R315" s="77"/>
      <c r="S315" s="76"/>
      <c r="T315" s="79"/>
      <c r="U315" s="82"/>
      <c r="V315" s="77"/>
      <c r="W315" s="77"/>
      <c r="X315" s="76"/>
      <c r="Y315" s="77"/>
      <c r="Z315" s="77"/>
      <c r="AA315" s="77"/>
      <c r="AB315" s="76"/>
      <c r="AC315" s="77"/>
      <c r="AD315" s="76"/>
      <c r="AE315" s="77"/>
      <c r="AF315" s="76"/>
      <c r="AG315" s="77"/>
      <c r="AH315" s="76"/>
      <c r="AI315" s="7"/>
      <c r="AJ315" s="27" t="str">
        <f t="shared" si="27"/>
        <v/>
      </c>
      <c r="AK315" s="3" t="s">
        <v>91</v>
      </c>
      <c r="AL315" s="3"/>
      <c r="AM315" s="3" t="s">
        <v>118</v>
      </c>
      <c r="AN315" s="89" t="s">
        <v>155</v>
      </c>
      <c r="AO315" s="92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7"/>
      <c r="BA315" s="37"/>
      <c r="BB315" s="37"/>
      <c r="BC315" s="37"/>
      <c r="BD315" s="42"/>
      <c r="BE315" s="41"/>
      <c r="BF315" s="41"/>
      <c r="BG315" s="41"/>
      <c r="BH315" s="41"/>
      <c r="BI315" s="41"/>
      <c r="BJ315" s="41"/>
      <c r="BK315" s="41"/>
      <c r="BL315" s="41"/>
      <c r="BM315" s="41"/>
      <c r="BN315" s="41"/>
    </row>
    <row r="316" spans="1:66" s="5" customFormat="1" hidden="1" x14ac:dyDescent="0.25">
      <c r="A316" s="7"/>
      <c r="B316" s="5" t="str">
        <f t="array" ref="B316">IFERROR(INDEX(DemandSupply,MATCH(INDEX($R$1:R316,SMALL(ROW($R$1:R316)+(10000*($R$1:R316="")),COUNTA($R$1:R316))),Sectors,0)),"")</f>
        <v>Demand</v>
      </c>
      <c r="M316" s="7"/>
      <c r="N316" s="76"/>
      <c r="O316" s="77"/>
      <c r="P316" s="77"/>
      <c r="Q316" s="82"/>
      <c r="R316" s="77"/>
      <c r="S316" s="76"/>
      <c r="T316" s="79"/>
      <c r="U316" s="82"/>
      <c r="V316" s="77"/>
      <c r="W316" s="77"/>
      <c r="X316" s="76"/>
      <c r="Y316" s="77"/>
      <c r="Z316" s="77"/>
      <c r="AA316" s="77"/>
      <c r="AB316" s="76"/>
      <c r="AC316" s="77"/>
      <c r="AD316" s="76"/>
      <c r="AE316" s="77"/>
      <c r="AF316" s="76"/>
      <c r="AG316" s="77"/>
      <c r="AH316" s="76"/>
      <c r="AI316" s="7"/>
      <c r="AJ316" s="27" t="str">
        <f t="shared" si="27"/>
        <v/>
      </c>
      <c r="AK316" s="3" t="s">
        <v>63</v>
      </c>
      <c r="AL316" s="3"/>
      <c r="AM316" s="3"/>
      <c r="AN316" s="89" t="s">
        <v>157</v>
      </c>
      <c r="AO316" s="90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7"/>
      <c r="BA316" s="37"/>
      <c r="BB316" s="37"/>
      <c r="BC316" s="37"/>
      <c r="BD316" s="42"/>
      <c r="BE316" s="41"/>
      <c r="BF316" s="41"/>
      <c r="BG316" s="41"/>
      <c r="BH316" s="41"/>
      <c r="BI316" s="41"/>
      <c r="BJ316" s="41"/>
      <c r="BK316" s="41"/>
      <c r="BL316" s="41"/>
      <c r="BM316" s="41"/>
      <c r="BN316" s="41"/>
    </row>
    <row r="317" spans="1:66" s="5" customFormat="1" hidden="1" x14ac:dyDescent="0.25">
      <c r="A317" s="7"/>
      <c r="B317" s="5" t="str">
        <f t="array" ref="B317">IFERROR(INDEX(DemandSupply,MATCH(INDEX($R$1:R317,SMALL(ROW($R$1:R317)+(10000*($R$1:R317="")),COUNTA($R$1:R317))),Sectors,0)),"")</f>
        <v>Demand</v>
      </c>
      <c r="M317" s="7"/>
      <c r="N317" s="76"/>
      <c r="O317" s="77"/>
      <c r="P317" s="77"/>
      <c r="Q317" s="82"/>
      <c r="R317" s="77"/>
      <c r="S317" s="76"/>
      <c r="T317" s="79"/>
      <c r="U317" s="82"/>
      <c r="V317" s="77"/>
      <c r="W317" s="77"/>
      <c r="X317" s="76"/>
      <c r="Y317" s="77"/>
      <c r="Z317" s="77"/>
      <c r="AA317" s="77"/>
      <c r="AB317" s="76"/>
      <c r="AC317" s="77"/>
      <c r="AD317" s="76"/>
      <c r="AE317" s="77"/>
      <c r="AF317" s="76"/>
      <c r="AG317" s="77"/>
      <c r="AH317" s="76"/>
      <c r="AI317" s="7"/>
      <c r="AJ317" s="27" t="str">
        <f t="shared" si="27"/>
        <v/>
      </c>
      <c r="AK317" s="3" t="s">
        <v>41</v>
      </c>
      <c r="AL317" s="3"/>
      <c r="AM317" s="3" t="s">
        <v>43</v>
      </c>
      <c r="AN317" s="89" t="s">
        <v>157</v>
      </c>
      <c r="AO317" s="90">
        <v>2000</v>
      </c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7"/>
      <c r="BA317" s="37"/>
      <c r="BB317" s="37"/>
      <c r="BC317" s="37"/>
      <c r="BD317" s="42"/>
      <c r="BE317" s="41"/>
      <c r="BF317" s="41"/>
      <c r="BG317" s="41"/>
      <c r="BH317" s="41"/>
      <c r="BI317" s="41"/>
      <c r="BJ317" s="41"/>
      <c r="BK317" s="41"/>
      <c r="BL317" s="41"/>
      <c r="BM317" s="41"/>
      <c r="BN317" s="41"/>
    </row>
    <row r="318" spans="1:66" s="5" customFormat="1" hidden="1" x14ac:dyDescent="0.25">
      <c r="A318" s="7"/>
      <c r="B318" s="5" t="str">
        <f t="array" ref="B318">IFERROR(INDEX(DemandSupply,MATCH(INDEX($R$1:R318,SMALL(ROW($R$1:R318)+(10000*($R$1:R318="")),COUNTA($R$1:R318))),Sectors,0)),"")</f>
        <v>Demand</v>
      </c>
      <c r="M318" s="7"/>
      <c r="N318" s="76"/>
      <c r="O318" s="77"/>
      <c r="P318" s="77"/>
      <c r="Q318" s="82"/>
      <c r="R318" s="77"/>
      <c r="S318" s="76"/>
      <c r="T318" s="79"/>
      <c r="U318" s="82"/>
      <c r="V318" s="77"/>
      <c r="W318" s="77"/>
      <c r="X318" s="76"/>
      <c r="Y318" s="77"/>
      <c r="Z318" s="77"/>
      <c r="AA318" s="77"/>
      <c r="AB318" s="76"/>
      <c r="AC318" s="77"/>
      <c r="AD318" s="76"/>
      <c r="AE318" s="77"/>
      <c r="AF318" s="76"/>
      <c r="AG318" s="77"/>
      <c r="AH318" s="76"/>
      <c r="AI318" s="7"/>
      <c r="AJ318" s="27" t="str">
        <f t="shared" si="27"/>
        <v/>
      </c>
      <c r="AK318" s="3" t="s">
        <v>40</v>
      </c>
      <c r="AL318" s="3"/>
      <c r="AM318" s="3" t="s">
        <v>43</v>
      </c>
      <c r="AN318" s="89" t="s">
        <v>157</v>
      </c>
      <c r="AO318" s="90">
        <v>2020</v>
      </c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7"/>
      <c r="BA318" s="37"/>
      <c r="BB318" s="37"/>
      <c r="BC318" s="37"/>
      <c r="BD318" s="42"/>
      <c r="BE318" s="41"/>
      <c r="BF318" s="41"/>
      <c r="BG318" s="41"/>
      <c r="BH318" s="41"/>
      <c r="BI318" s="41"/>
      <c r="BJ318" s="41"/>
      <c r="BK318" s="41"/>
      <c r="BL318" s="41"/>
      <c r="BM318" s="41"/>
      <c r="BN318" s="41"/>
    </row>
    <row r="319" spans="1:66" s="5" customFormat="1" hidden="1" x14ac:dyDescent="0.25">
      <c r="A319" s="7"/>
      <c r="B319" s="5" t="str">
        <f t="array" ref="B319">IFERROR(INDEX(DemandSupply,MATCH(INDEX($R$1:R319,SMALL(ROW($R$1:R319)+(10000*($R$1:R319="")),COUNTA($R$1:R319))),Sectors,0)),"")</f>
        <v>Demand</v>
      </c>
      <c r="M319" s="7"/>
      <c r="N319" s="76"/>
      <c r="O319" s="77"/>
      <c r="P319" s="77"/>
      <c r="Q319" s="82"/>
      <c r="R319" s="77"/>
      <c r="S319" s="76"/>
      <c r="T319" s="79"/>
      <c r="U319" s="82"/>
      <c r="V319" s="77"/>
      <c r="W319" s="77"/>
      <c r="X319" s="76"/>
      <c r="Y319" s="77"/>
      <c r="Z319" s="77"/>
      <c r="AA319" s="77"/>
      <c r="AB319" s="76"/>
      <c r="AC319" s="77"/>
      <c r="AD319" s="76"/>
      <c r="AE319" s="77"/>
      <c r="AF319" s="76"/>
      <c r="AG319" s="77"/>
      <c r="AH319" s="76"/>
      <c r="AI319" s="7"/>
      <c r="AJ319" s="27" t="str">
        <f t="shared" si="27"/>
        <v/>
      </c>
      <c r="AK319" s="3" t="s">
        <v>42</v>
      </c>
      <c r="AL319" s="3"/>
      <c r="AM319" s="3" t="s">
        <v>10</v>
      </c>
      <c r="AN319" s="89" t="s">
        <v>157</v>
      </c>
      <c r="AO319" s="90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7"/>
      <c r="BA319" s="37"/>
      <c r="BB319" s="37"/>
      <c r="BC319" s="37"/>
      <c r="BD319" s="42"/>
      <c r="BE319" s="41"/>
      <c r="BF319" s="41"/>
      <c r="BG319" s="41"/>
      <c r="BH319" s="41"/>
      <c r="BI319" s="41"/>
      <c r="BJ319" s="41"/>
      <c r="BK319" s="41"/>
      <c r="BL319" s="41"/>
      <c r="BM319" s="41"/>
      <c r="BN319" s="41"/>
    </row>
    <row r="320" spans="1:66" s="5" customFormat="1" hidden="1" x14ac:dyDescent="0.25">
      <c r="A320" s="7"/>
      <c r="B320" s="5" t="str">
        <f t="array" ref="B320">IFERROR(INDEX(DemandSupply,MATCH(INDEX($R$1:R320,SMALL(ROW($R$1:R320)+(10000*($R$1:R320="")),COUNTA($R$1:R320))),Sectors,0)),"")</f>
        <v>Demand</v>
      </c>
      <c r="M320" s="7"/>
      <c r="N320" s="76"/>
      <c r="O320" s="77"/>
      <c r="P320" s="77"/>
      <c r="Q320" s="82"/>
      <c r="R320" s="77"/>
      <c r="S320" s="76"/>
      <c r="T320" s="79"/>
      <c r="U320" s="82"/>
      <c r="V320" s="77"/>
      <c r="W320" s="77"/>
      <c r="X320" s="76"/>
      <c r="Y320" s="77"/>
      <c r="Z320" s="77"/>
      <c r="AA320" s="77"/>
      <c r="AB320" s="76"/>
      <c r="AC320" s="77"/>
      <c r="AD320" s="76"/>
      <c r="AE320" s="77"/>
      <c r="AF320" s="76"/>
      <c r="AG320" s="77"/>
      <c r="AH320" s="76"/>
      <c r="AI320" s="7"/>
      <c r="AJ320" s="27" t="str">
        <f t="shared" si="27"/>
        <v/>
      </c>
      <c r="AK320" s="3" t="s">
        <v>67</v>
      </c>
      <c r="AL320" s="3"/>
      <c r="AM320" s="3" t="s">
        <v>118</v>
      </c>
      <c r="AN320" s="89" t="s">
        <v>157</v>
      </c>
      <c r="AO320" s="90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7"/>
      <c r="BA320" s="37"/>
      <c r="BB320" s="37"/>
      <c r="BC320" s="37"/>
      <c r="BD320" s="42"/>
      <c r="BE320" s="41"/>
      <c r="BF320" s="41"/>
      <c r="BG320" s="41"/>
      <c r="BH320" s="41"/>
      <c r="BI320" s="41"/>
      <c r="BJ320" s="41"/>
      <c r="BK320" s="41"/>
      <c r="BL320" s="41"/>
      <c r="BM320" s="41"/>
      <c r="BN320" s="41"/>
    </row>
    <row r="321" spans="1:66" s="5" customFormat="1" hidden="1" x14ac:dyDescent="0.25">
      <c r="A321" s="7"/>
      <c r="B321" s="5" t="str">
        <f t="array" ref="B321">IFERROR(INDEX(DemandSupply,MATCH(INDEX($R$1:R321,SMALL(ROW($R$1:R321)+(10000*($R$1:R321="")),COUNTA($R$1:R321))),Sectors,0)),"")</f>
        <v>Demand</v>
      </c>
      <c r="M321" s="7"/>
      <c r="N321" s="76"/>
      <c r="O321" s="77"/>
      <c r="P321" s="77"/>
      <c r="Q321" s="82"/>
      <c r="R321" s="77"/>
      <c r="S321" s="76"/>
      <c r="T321" s="79"/>
      <c r="U321" s="82"/>
      <c r="V321" s="77"/>
      <c r="W321" s="77"/>
      <c r="X321" s="76"/>
      <c r="Y321" s="77"/>
      <c r="Z321" s="77"/>
      <c r="AA321" s="77"/>
      <c r="AB321" s="76"/>
      <c r="AC321" s="77"/>
      <c r="AD321" s="76"/>
      <c r="AE321" s="77"/>
      <c r="AF321" s="76"/>
      <c r="AG321" s="77"/>
      <c r="AH321" s="76"/>
      <c r="AI321" s="7"/>
      <c r="AJ321" s="27" t="str">
        <f t="shared" si="27"/>
        <v/>
      </c>
      <c r="AK321" s="3" t="s">
        <v>38</v>
      </c>
      <c r="AL321" s="3"/>
      <c r="AM321" s="3" t="s">
        <v>17</v>
      </c>
      <c r="AN321" s="89" t="s">
        <v>157</v>
      </c>
      <c r="AO321" s="90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7"/>
      <c r="BA321" s="37"/>
      <c r="BB321" s="37"/>
      <c r="BC321" s="37"/>
      <c r="BD321" s="42"/>
      <c r="BE321" s="41"/>
      <c r="BF321" s="41"/>
      <c r="BG321" s="41"/>
      <c r="BH321" s="41"/>
      <c r="BI321" s="41"/>
      <c r="BJ321" s="41"/>
      <c r="BK321" s="41"/>
      <c r="BL321" s="41"/>
      <c r="BM321" s="41"/>
      <c r="BN321" s="41"/>
    </row>
    <row r="322" spans="1:66" s="5" customFormat="1" hidden="1" x14ac:dyDescent="0.25">
      <c r="A322" s="7"/>
      <c r="B322" s="5" t="str">
        <f t="array" ref="B322">IFERROR(INDEX(DemandSupply,MATCH(INDEX($R$1:R322,SMALL(ROW($R$1:R322)+(10000*($R$1:R322="")),COUNTA($R$1:R322))),Sectors,0)),"")</f>
        <v>Demand</v>
      </c>
      <c r="M322" s="7"/>
      <c r="N322" s="76"/>
      <c r="O322" s="77"/>
      <c r="P322" s="77"/>
      <c r="Q322" s="82"/>
      <c r="R322" s="77"/>
      <c r="S322" s="76"/>
      <c r="T322" s="79"/>
      <c r="U322" s="82"/>
      <c r="V322" s="77"/>
      <c r="W322" s="77"/>
      <c r="X322" s="76"/>
      <c r="Y322" s="77"/>
      <c r="Z322" s="77"/>
      <c r="AA322" s="77"/>
      <c r="AB322" s="76"/>
      <c r="AC322" s="77"/>
      <c r="AD322" s="76"/>
      <c r="AE322" s="77"/>
      <c r="AF322" s="76"/>
      <c r="AG322" s="77"/>
      <c r="AH322" s="76"/>
      <c r="AI322" s="7"/>
      <c r="AJ322" s="27" t="str">
        <f t="shared" si="27"/>
        <v/>
      </c>
      <c r="AK322" s="3" t="s">
        <v>44</v>
      </c>
      <c r="AL322" s="3"/>
      <c r="AM322" s="3" t="s">
        <v>17</v>
      </c>
      <c r="AN322" s="89" t="s">
        <v>157</v>
      </c>
      <c r="AO322" s="90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7"/>
      <c r="BA322" s="37"/>
      <c r="BB322" s="37"/>
      <c r="BC322" s="37"/>
      <c r="BD322" s="42"/>
      <c r="BE322" s="41"/>
      <c r="BF322" s="41"/>
      <c r="BG322" s="41"/>
      <c r="BH322" s="41"/>
      <c r="BI322" s="41"/>
      <c r="BJ322" s="41"/>
      <c r="BK322" s="41"/>
      <c r="BL322" s="41"/>
      <c r="BM322" s="41"/>
      <c r="BN322" s="41"/>
    </row>
    <row r="323" spans="1:66" s="5" customFormat="1" hidden="1" x14ac:dyDescent="0.25">
      <c r="A323" s="7"/>
      <c r="B323" s="5" t="str">
        <f t="array" ref="B323">IFERROR(INDEX(DemandSupply,MATCH(INDEX($R$1:R323,SMALL(ROW($R$1:R323)+(10000*($R$1:R323="")),COUNTA($R$1:R323))),Sectors,0)),"")</f>
        <v>Demand</v>
      </c>
      <c r="M323" s="7"/>
      <c r="N323" s="76"/>
      <c r="O323" s="77"/>
      <c r="P323" s="77"/>
      <c r="Q323" s="82"/>
      <c r="R323" s="77"/>
      <c r="S323" s="76"/>
      <c r="T323" s="79"/>
      <c r="U323" s="82"/>
      <c r="V323" s="77"/>
      <c r="W323" s="77"/>
      <c r="X323" s="76"/>
      <c r="Y323" s="77"/>
      <c r="Z323" s="77"/>
      <c r="AA323" s="77"/>
      <c r="AB323" s="76"/>
      <c r="AC323" s="77"/>
      <c r="AD323" s="76"/>
      <c r="AE323" s="77"/>
      <c r="AF323" s="76"/>
      <c r="AG323" s="77"/>
      <c r="AH323" s="76"/>
      <c r="AI323" s="7"/>
      <c r="AJ323" s="27" t="str">
        <f t="shared" ref="AJ323:AJ414" si="28">IFERROR(INDEX($N323:$AH323,MATCH(TRUE,INDEX(($N323:$AH323&lt;&gt;0),0),0)),"")</f>
        <v/>
      </c>
      <c r="AK323" s="3" t="s">
        <v>51</v>
      </c>
      <c r="AL323" s="3"/>
      <c r="AM323" s="3" t="s">
        <v>17</v>
      </c>
      <c r="AN323" s="89" t="s">
        <v>157</v>
      </c>
      <c r="AO323" s="90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7"/>
      <c r="BA323" s="37"/>
      <c r="BB323" s="37"/>
      <c r="BC323" s="37"/>
      <c r="BD323" s="42"/>
      <c r="BE323" s="41"/>
      <c r="BF323" s="41"/>
      <c r="BG323" s="41"/>
      <c r="BH323" s="41"/>
      <c r="BI323" s="41"/>
      <c r="BJ323" s="41"/>
      <c r="BK323" s="41"/>
      <c r="BL323" s="41"/>
      <c r="BM323" s="41"/>
      <c r="BN323" s="41"/>
    </row>
    <row r="324" spans="1:66" s="5" customFormat="1" hidden="1" x14ac:dyDescent="0.25">
      <c r="A324" s="7"/>
      <c r="B324" s="5" t="str">
        <f t="array" ref="B324">IFERROR(INDEX(DemandSupply,MATCH(INDEX($R$1:R324,SMALL(ROW($R$1:R324)+(10000*($R$1:R324="")),COUNTA($R$1:R324))),Sectors,0)),"")</f>
        <v>Demand</v>
      </c>
      <c r="M324" s="7"/>
      <c r="N324" s="76"/>
      <c r="O324" s="77"/>
      <c r="P324" s="77"/>
      <c r="Q324" s="82"/>
      <c r="R324" s="77"/>
      <c r="S324" s="76"/>
      <c r="T324" s="79"/>
      <c r="U324" s="82"/>
      <c r="V324" s="77"/>
      <c r="W324" s="77"/>
      <c r="X324" s="76"/>
      <c r="Y324" s="77"/>
      <c r="Z324" s="77"/>
      <c r="AA324" s="77"/>
      <c r="AB324" s="76"/>
      <c r="AC324" s="77"/>
      <c r="AD324" s="76"/>
      <c r="AE324" s="77"/>
      <c r="AF324" s="76"/>
      <c r="AG324" s="77"/>
      <c r="AH324" s="76"/>
      <c r="AI324" s="7"/>
      <c r="AJ324" s="27" t="str">
        <f t="shared" si="28"/>
        <v/>
      </c>
      <c r="AK324" s="3" t="s">
        <v>95</v>
      </c>
      <c r="AL324" s="3"/>
      <c r="AM324" s="3" t="s">
        <v>17</v>
      </c>
      <c r="AN324" s="89" t="s">
        <v>157</v>
      </c>
      <c r="AO324" s="91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7"/>
      <c r="BA324" s="37"/>
      <c r="BB324" s="37"/>
      <c r="BC324" s="37"/>
      <c r="BD324" s="42"/>
      <c r="BE324" s="41"/>
      <c r="BF324" s="41"/>
      <c r="BG324" s="41"/>
      <c r="BH324" s="41"/>
      <c r="BI324" s="41"/>
      <c r="BJ324" s="41"/>
      <c r="BK324" s="41"/>
      <c r="BL324" s="41"/>
      <c r="BM324" s="41"/>
      <c r="BN324" s="41"/>
    </row>
    <row r="325" spans="1:66" s="5" customFormat="1" hidden="1" x14ac:dyDescent="0.25">
      <c r="A325" s="7"/>
      <c r="B325" s="5" t="str">
        <f t="array" ref="B325">IFERROR(INDEX(DemandSupply,MATCH(INDEX($R$1:R325,SMALL(ROW($R$1:R325)+(10000*($R$1:R325="")),COUNTA($R$1:R325))),Sectors,0)),"")</f>
        <v>Demand</v>
      </c>
      <c r="M325" s="7"/>
      <c r="N325" s="76"/>
      <c r="O325" s="77"/>
      <c r="P325" s="77"/>
      <c r="Q325" s="82"/>
      <c r="R325" s="77"/>
      <c r="S325" s="76"/>
      <c r="T325" s="79"/>
      <c r="U325" s="82"/>
      <c r="V325" s="77"/>
      <c r="W325" s="77"/>
      <c r="X325" s="76"/>
      <c r="Y325" s="77"/>
      <c r="Z325" s="77"/>
      <c r="AA325" s="77"/>
      <c r="AB325" s="76"/>
      <c r="AC325" s="77"/>
      <c r="AD325" s="76"/>
      <c r="AE325" s="77"/>
      <c r="AF325" s="76"/>
      <c r="AG325" s="77"/>
      <c r="AH325" s="76"/>
      <c r="AI325" s="7"/>
      <c r="AJ325" s="27" t="str">
        <f t="shared" si="28"/>
        <v/>
      </c>
      <c r="AK325" s="3" t="s">
        <v>146</v>
      </c>
      <c r="AL325" s="3" t="s">
        <v>164</v>
      </c>
      <c r="AM325" s="3"/>
      <c r="AN325" s="89" t="s">
        <v>157</v>
      </c>
      <c r="AO325" s="91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7"/>
      <c r="BA325" s="37"/>
      <c r="BB325" s="37"/>
      <c r="BC325" s="37"/>
      <c r="BD325" s="42"/>
      <c r="BE325" s="41"/>
      <c r="BF325" s="41"/>
      <c r="BG325" s="41"/>
      <c r="BH325" s="41"/>
      <c r="BI325" s="41"/>
      <c r="BJ325" s="41"/>
      <c r="BK325" s="41"/>
      <c r="BL325" s="41"/>
      <c r="BM325" s="41"/>
      <c r="BN325" s="41"/>
    </row>
    <row r="326" spans="1:66" s="5" customFormat="1" hidden="1" x14ac:dyDescent="0.25">
      <c r="A326" s="7"/>
      <c r="B326" s="5" t="str">
        <f t="array" ref="B326">IFERROR(INDEX(DemandSupply,MATCH(INDEX($R$1:R326,SMALL(ROW($R$1:R326)+(10000*($R$1:R326="")),COUNTA($R$1:R326))),Sectors,0)),"")</f>
        <v>Demand</v>
      </c>
      <c r="M326" s="7"/>
      <c r="N326" s="76"/>
      <c r="O326" s="77"/>
      <c r="P326" s="77"/>
      <c r="Q326" s="82"/>
      <c r="R326" s="77"/>
      <c r="S326" s="76"/>
      <c r="T326" s="79"/>
      <c r="U326" s="82"/>
      <c r="V326" s="77"/>
      <c r="W326" s="77"/>
      <c r="X326" s="76"/>
      <c r="Y326" s="77"/>
      <c r="Z326" s="77"/>
      <c r="AA326" s="77"/>
      <c r="AB326" s="76"/>
      <c r="AC326" s="77"/>
      <c r="AD326" s="76"/>
      <c r="AE326" s="77"/>
      <c r="AF326" s="76"/>
      <c r="AG326" s="77"/>
      <c r="AH326" s="76"/>
      <c r="AI326" s="7"/>
      <c r="AJ326" s="27" t="str">
        <f t="shared" si="28"/>
        <v/>
      </c>
      <c r="AK326" s="3" t="s">
        <v>146</v>
      </c>
      <c r="AL326" s="3" t="s">
        <v>165</v>
      </c>
      <c r="AM326" s="3"/>
      <c r="AN326" s="89" t="s">
        <v>157</v>
      </c>
      <c r="AO326" s="91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7"/>
      <c r="BA326" s="37"/>
      <c r="BB326" s="37"/>
      <c r="BC326" s="37"/>
      <c r="BD326" s="42"/>
      <c r="BE326" s="41"/>
      <c r="BF326" s="41"/>
      <c r="BG326" s="41"/>
      <c r="BH326" s="41"/>
      <c r="BI326" s="41"/>
      <c r="BJ326" s="41"/>
      <c r="BK326" s="41"/>
      <c r="BL326" s="41"/>
      <c r="BM326" s="41"/>
      <c r="BN326" s="41"/>
    </row>
    <row r="327" spans="1:66" s="5" customFormat="1" hidden="1" x14ac:dyDescent="0.25">
      <c r="A327" s="7"/>
      <c r="B327" s="5" t="str">
        <f t="array" ref="B327">IFERROR(INDEX(DemandSupply,MATCH(INDEX($R$1:R327,SMALL(ROW($R$1:R327)+(10000*($R$1:R327="")),COUNTA($R$1:R327))),Sectors,0)),"")</f>
        <v>Demand</v>
      </c>
      <c r="M327" s="7"/>
      <c r="N327" s="76"/>
      <c r="O327" s="77"/>
      <c r="P327" s="77"/>
      <c r="Q327" s="82"/>
      <c r="R327" s="77"/>
      <c r="S327" s="76"/>
      <c r="T327" s="79"/>
      <c r="U327" s="82"/>
      <c r="V327" s="77"/>
      <c r="W327" s="77"/>
      <c r="X327" s="76"/>
      <c r="Y327" s="77"/>
      <c r="Z327" s="77"/>
      <c r="AA327" s="77"/>
      <c r="AB327" s="76"/>
      <c r="AC327" s="77"/>
      <c r="AD327" s="76"/>
      <c r="AE327" s="77"/>
      <c r="AF327" s="76"/>
      <c r="AG327" s="77"/>
      <c r="AH327" s="76"/>
      <c r="AI327" s="7"/>
      <c r="AJ327" s="27" t="str">
        <f t="shared" si="28"/>
        <v/>
      </c>
      <c r="AK327" s="3" t="s">
        <v>146</v>
      </c>
      <c r="AL327" s="3" t="s">
        <v>163</v>
      </c>
      <c r="AM327" s="3"/>
      <c r="AN327" s="89" t="s">
        <v>157</v>
      </c>
      <c r="AO327" s="91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7"/>
      <c r="BA327" s="37"/>
      <c r="BB327" s="37"/>
      <c r="BC327" s="37"/>
      <c r="BD327" s="42"/>
      <c r="BE327" s="41"/>
      <c r="BF327" s="41"/>
      <c r="BG327" s="41"/>
      <c r="BH327" s="41"/>
      <c r="BI327" s="41"/>
      <c r="BJ327" s="41"/>
      <c r="BK327" s="41"/>
      <c r="BL327" s="41"/>
      <c r="BM327" s="41"/>
      <c r="BN327" s="41"/>
    </row>
    <row r="328" spans="1:66" s="5" customFormat="1" hidden="1" x14ac:dyDescent="0.25">
      <c r="A328" s="7"/>
      <c r="B328" s="5" t="str">
        <f t="array" ref="B328">IFERROR(INDEX(DemandSupply,MATCH(INDEX($R$1:R328,SMALL(ROW($R$1:R328)+(10000*($R$1:R328="")),COUNTA($R$1:R328))),Sectors,0)),"")</f>
        <v>Demand</v>
      </c>
      <c r="M328" s="7"/>
      <c r="N328" s="76"/>
      <c r="O328" s="77"/>
      <c r="P328" s="77"/>
      <c r="Q328" s="82"/>
      <c r="R328" s="77"/>
      <c r="S328" s="76"/>
      <c r="T328" s="79"/>
      <c r="U328" s="82"/>
      <c r="V328" s="77"/>
      <c r="W328" s="77"/>
      <c r="X328" s="76"/>
      <c r="Y328" s="77"/>
      <c r="Z328" s="77"/>
      <c r="AA328" s="77"/>
      <c r="AB328" s="76"/>
      <c r="AC328" s="77"/>
      <c r="AD328" s="76"/>
      <c r="AE328" s="77"/>
      <c r="AF328" s="76"/>
      <c r="AG328" s="77"/>
      <c r="AH328" s="76"/>
      <c r="AI328" s="7"/>
      <c r="AJ328" s="27" t="str">
        <f t="shared" si="28"/>
        <v/>
      </c>
      <c r="AK328" s="3" t="s">
        <v>47</v>
      </c>
      <c r="AL328" s="3"/>
      <c r="AM328" s="3" t="s">
        <v>118</v>
      </c>
      <c r="AN328" s="89" t="s">
        <v>157</v>
      </c>
      <c r="AO328" s="90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7"/>
      <c r="BA328" s="37"/>
      <c r="BB328" s="37"/>
      <c r="BC328" s="37"/>
      <c r="BD328" s="42"/>
      <c r="BE328" s="41"/>
      <c r="BF328" s="41"/>
      <c r="BG328" s="41"/>
      <c r="BH328" s="41"/>
      <c r="BI328" s="41"/>
      <c r="BJ328" s="41"/>
      <c r="BK328" s="41"/>
      <c r="BL328" s="41"/>
      <c r="BM328" s="41"/>
      <c r="BN328" s="41"/>
    </row>
    <row r="329" spans="1:66" s="5" customFormat="1" hidden="1" x14ac:dyDescent="0.25">
      <c r="A329" s="7"/>
      <c r="B329" s="5" t="str">
        <f t="array" ref="B329">IFERROR(INDEX(DemandSupply,MATCH(INDEX($R$1:R329,SMALL(ROW($R$1:R329)+(10000*($R$1:R329="")),COUNTA($R$1:R329))),Sectors,0)),"")</f>
        <v>Demand</v>
      </c>
      <c r="M329" s="7"/>
      <c r="N329" s="76"/>
      <c r="O329" s="77"/>
      <c r="P329" s="77"/>
      <c r="Q329" s="82"/>
      <c r="R329" s="77"/>
      <c r="S329" s="76"/>
      <c r="T329" s="79"/>
      <c r="U329" s="82"/>
      <c r="V329" s="77"/>
      <c r="W329" s="77"/>
      <c r="X329" s="76"/>
      <c r="Y329" s="77"/>
      <c r="Z329" s="77"/>
      <c r="AA329" s="77"/>
      <c r="AB329" s="76"/>
      <c r="AC329" s="77"/>
      <c r="AD329" s="76"/>
      <c r="AE329" s="77"/>
      <c r="AF329" s="76"/>
      <c r="AG329" s="77"/>
      <c r="AH329" s="76"/>
      <c r="AI329" s="7"/>
      <c r="AJ329" s="27" t="str">
        <f t="shared" si="28"/>
        <v/>
      </c>
      <c r="AK329" s="3" t="s">
        <v>48</v>
      </c>
      <c r="AL329" s="3"/>
      <c r="AM329" s="3" t="s">
        <v>118</v>
      </c>
      <c r="AN329" s="89" t="s">
        <v>157</v>
      </c>
      <c r="AO329" s="90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7"/>
      <c r="BA329" s="37"/>
      <c r="BB329" s="37"/>
      <c r="BC329" s="37"/>
      <c r="BD329" s="42"/>
      <c r="BE329" s="41"/>
      <c r="BF329" s="41"/>
      <c r="BG329" s="41"/>
      <c r="BH329" s="41"/>
      <c r="BI329" s="41"/>
      <c r="BJ329" s="41"/>
      <c r="BK329" s="41"/>
      <c r="BL329" s="41"/>
      <c r="BM329" s="41"/>
      <c r="BN329" s="41"/>
    </row>
    <row r="330" spans="1:66" s="5" customFormat="1" hidden="1" x14ac:dyDescent="0.25">
      <c r="A330" s="7"/>
      <c r="B330" s="5" t="str">
        <f t="array" ref="B330">IFERROR(INDEX(DemandSupply,MATCH(INDEX($R$1:R330,SMALL(ROW($R$1:R330)+(10000*($R$1:R330="")),COUNTA($R$1:R330))),Sectors,0)),"")</f>
        <v>Demand</v>
      </c>
      <c r="M330" s="7"/>
      <c r="N330" s="76"/>
      <c r="O330" s="77"/>
      <c r="P330" s="77"/>
      <c r="Q330" s="82"/>
      <c r="R330" s="77"/>
      <c r="S330" s="76"/>
      <c r="T330" s="79"/>
      <c r="U330" s="82"/>
      <c r="V330" s="77"/>
      <c r="W330" s="77"/>
      <c r="X330" s="76"/>
      <c r="Y330" s="77"/>
      <c r="Z330" s="77"/>
      <c r="AA330" s="77"/>
      <c r="AB330" s="76"/>
      <c r="AC330" s="77"/>
      <c r="AD330" s="76"/>
      <c r="AE330" s="77"/>
      <c r="AF330" s="76"/>
      <c r="AG330" s="77"/>
      <c r="AH330" s="76"/>
      <c r="AI330" s="7"/>
      <c r="AJ330" s="27" t="str">
        <f t="shared" si="28"/>
        <v/>
      </c>
      <c r="AK330" s="3" t="s">
        <v>94</v>
      </c>
      <c r="AL330" s="3"/>
      <c r="AM330" s="3" t="s">
        <v>57</v>
      </c>
      <c r="AN330" s="89" t="s">
        <v>157</v>
      </c>
      <c r="AO330" s="90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7"/>
      <c r="BA330" s="37"/>
      <c r="BB330" s="37"/>
      <c r="BC330" s="37"/>
      <c r="BD330" s="42"/>
      <c r="BE330" s="41"/>
      <c r="BF330" s="41"/>
      <c r="BG330" s="41"/>
      <c r="BH330" s="41"/>
      <c r="BI330" s="41"/>
      <c r="BJ330" s="41"/>
      <c r="BK330" s="41"/>
      <c r="BL330" s="41"/>
      <c r="BM330" s="41"/>
      <c r="BN330" s="41"/>
    </row>
    <row r="331" spans="1:66" s="5" customFormat="1" hidden="1" x14ac:dyDescent="0.25">
      <c r="A331" s="7"/>
      <c r="B331" s="5" t="str">
        <f t="array" ref="B331">IFERROR(INDEX(DemandSupply,MATCH(INDEX($R$1:R331,SMALL(ROW($R$1:R331)+(10000*($R$1:R331="")),COUNTA($R$1:R331))),Sectors,0)),"")</f>
        <v>Demand</v>
      </c>
      <c r="M331" s="7"/>
      <c r="N331" s="76"/>
      <c r="O331" s="77"/>
      <c r="P331" s="77"/>
      <c r="Q331" s="82"/>
      <c r="R331" s="77"/>
      <c r="S331" s="76"/>
      <c r="T331" s="79"/>
      <c r="U331" s="82"/>
      <c r="V331" s="77"/>
      <c r="W331" s="77"/>
      <c r="X331" s="76"/>
      <c r="Y331" s="77"/>
      <c r="Z331" s="77"/>
      <c r="AA331" s="77"/>
      <c r="AB331" s="76"/>
      <c r="AC331" s="77"/>
      <c r="AD331" s="76"/>
      <c r="AE331" s="77"/>
      <c r="AF331" s="76"/>
      <c r="AG331" s="77"/>
      <c r="AH331" s="76"/>
      <c r="AI331" s="7"/>
      <c r="AJ331" s="27" t="str">
        <f t="shared" si="28"/>
        <v/>
      </c>
      <c r="AK331" s="3" t="s">
        <v>91</v>
      </c>
      <c r="AL331" s="3"/>
      <c r="AM331" s="3" t="s">
        <v>118</v>
      </c>
      <c r="AN331" s="89" t="s">
        <v>157</v>
      </c>
      <c r="AO331" s="92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7"/>
      <c r="BA331" s="37"/>
      <c r="BB331" s="37"/>
      <c r="BC331" s="37"/>
      <c r="BD331" s="42"/>
      <c r="BE331" s="41"/>
      <c r="BF331" s="41"/>
      <c r="BG331" s="41"/>
      <c r="BH331" s="41"/>
      <c r="BI331" s="41"/>
      <c r="BJ331" s="41"/>
      <c r="BK331" s="41"/>
      <c r="BL331" s="41"/>
      <c r="BM331" s="41"/>
      <c r="BN331" s="41"/>
    </row>
    <row r="332" spans="1:66" s="5" customFormat="1" x14ac:dyDescent="0.25">
      <c r="A332" s="7"/>
      <c r="B332" s="5" t="str">
        <f t="array" ref="B332">IFERROR(INDEX(DemandSupply,MATCH(INDEX($R$1:R332,SMALL(ROW($R$1:R332)+(10000*($R$1:R332="")),COUNTA($R$1:R332))),Sectors,0)),"")</f>
        <v>Demand</v>
      </c>
      <c r="M332" s="7"/>
      <c r="N332" s="76"/>
      <c r="O332" s="77"/>
      <c r="P332" s="77"/>
      <c r="Q332" s="82"/>
      <c r="R332" s="77"/>
      <c r="S332" s="76"/>
      <c r="T332" s="79"/>
      <c r="U332" s="82"/>
      <c r="V332" s="76"/>
      <c r="W332" s="77"/>
      <c r="X332" s="77"/>
      <c r="Y332" s="77"/>
      <c r="Z332" s="77"/>
      <c r="AA332" s="77"/>
      <c r="AB332" s="76"/>
      <c r="AC332" s="77"/>
      <c r="AD332" s="76"/>
      <c r="AE332" s="77"/>
      <c r="AF332" s="76"/>
      <c r="AG332" s="77"/>
      <c r="AH332" s="76"/>
      <c r="AI332" s="7"/>
      <c r="AJ332" s="27" t="str">
        <f t="shared" si="28"/>
        <v/>
      </c>
      <c r="AK332" s="6"/>
      <c r="AL332" s="6"/>
      <c r="AM332" s="6"/>
      <c r="AN332" s="11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7"/>
      <c r="BA332" s="15"/>
      <c r="BB332" s="15"/>
      <c r="BC332" s="15"/>
      <c r="BD332" s="41"/>
      <c r="BE332" s="41"/>
      <c r="BF332" s="41"/>
      <c r="BG332" s="41"/>
      <c r="BH332" s="41"/>
      <c r="BI332" s="41"/>
      <c r="BJ332" s="41"/>
      <c r="BK332" s="41"/>
      <c r="BL332" s="41"/>
      <c r="BM332" s="41"/>
      <c r="BN332" s="41"/>
    </row>
    <row r="333" spans="1:66" s="5" customFormat="1" x14ac:dyDescent="0.25">
      <c r="A333" s="7"/>
      <c r="B333" s="5" t="str">
        <f t="array" ref="B333">IFERROR(INDEX(DemandSupply,MATCH(INDEX($R$1:R333,SMALL(ROW($R$1:R333)+(10000*($R$1:R333="")),COUNTA($R$1:R333))),Sectors,0)),"")</f>
        <v>Demand</v>
      </c>
      <c r="M333" s="7"/>
      <c r="N333" s="76"/>
      <c r="O333" s="77"/>
      <c r="P333" s="77"/>
      <c r="Q333" s="82"/>
      <c r="R333" s="77"/>
      <c r="S333" s="76"/>
      <c r="T333" s="79"/>
      <c r="U333" s="83"/>
      <c r="V333" s="76"/>
      <c r="W333" s="77"/>
      <c r="X333" s="77"/>
      <c r="Y333" s="77"/>
      <c r="Z333" s="77"/>
      <c r="AA333" s="77"/>
      <c r="AB333" s="76"/>
      <c r="AC333" s="77"/>
      <c r="AD333" s="76"/>
      <c r="AE333" s="77"/>
      <c r="AF333" s="76"/>
      <c r="AG333" s="77"/>
      <c r="AH333" s="76"/>
      <c r="AI333" s="7"/>
      <c r="AJ333" s="27" t="str">
        <f t="shared" si="28"/>
        <v/>
      </c>
      <c r="AK333" s="6"/>
      <c r="AL333" s="6"/>
      <c r="AM333" s="6"/>
      <c r="AN333" s="11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7"/>
      <c r="BA333" s="15"/>
      <c r="BB333" s="15"/>
      <c r="BC333" s="15"/>
      <c r="BD333" s="41"/>
      <c r="BE333" s="41"/>
      <c r="BF333" s="41"/>
      <c r="BG333" s="41"/>
      <c r="BH333" s="41"/>
      <c r="BI333" s="41"/>
      <c r="BJ333" s="41"/>
      <c r="BK333" s="41"/>
      <c r="BL333" s="41"/>
      <c r="BM333" s="41"/>
      <c r="BN333" s="41"/>
    </row>
    <row r="334" spans="1:66" s="5" customFormat="1" x14ac:dyDescent="0.25">
      <c r="A334" s="7"/>
      <c r="B334" s="5" t="str">
        <f t="array" ref="B334">IFERROR(INDEX(DemandSupply,MATCH(INDEX($R$1:R334,SMALL(ROW($R$1:R334)+(10000*($R$1:R334="")),COUNTA($R$1:R334))),Sectors,0)),"")</f>
        <v>Demand</v>
      </c>
      <c r="M334" s="7"/>
      <c r="N334" s="76"/>
      <c r="O334" s="77"/>
      <c r="P334" s="77"/>
      <c r="Q334" s="82"/>
      <c r="R334" s="77"/>
      <c r="S334" s="76"/>
      <c r="T334" s="77"/>
      <c r="U334" s="81"/>
      <c r="V334" s="32" t="s">
        <v>135</v>
      </c>
      <c r="W334" s="82"/>
      <c r="X334" s="76"/>
      <c r="Y334" s="77"/>
      <c r="Z334" s="76"/>
      <c r="AA334" s="77"/>
      <c r="AB334" s="76"/>
      <c r="AC334" s="77"/>
      <c r="AD334" s="76"/>
      <c r="AE334" s="77"/>
      <c r="AF334" s="76"/>
      <c r="AG334" s="77"/>
      <c r="AH334" s="76"/>
      <c r="AI334" s="7"/>
      <c r="AJ334" s="28" t="str">
        <f t="shared" si="28"/>
        <v>Dishwashing</v>
      </c>
      <c r="AK334" s="6"/>
      <c r="AL334" s="6"/>
      <c r="AM334" s="6"/>
      <c r="AN334" s="11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7"/>
      <c r="BA334" s="15"/>
      <c r="BB334" s="15"/>
      <c r="BC334" s="15"/>
      <c r="BD334" s="41"/>
      <c r="BE334" s="41"/>
      <c r="BF334" s="41"/>
      <c r="BG334" s="41"/>
      <c r="BH334" s="41"/>
      <c r="BI334" s="41"/>
      <c r="BJ334" s="41"/>
      <c r="BK334" s="41"/>
      <c r="BL334" s="41"/>
      <c r="BM334" s="41"/>
      <c r="BN334" s="41"/>
    </row>
    <row r="335" spans="1:66" s="5" customFormat="1" hidden="1" x14ac:dyDescent="0.25">
      <c r="A335" s="7"/>
      <c r="B335" s="5" t="str">
        <f t="array" ref="B335">IFERROR(INDEX(DemandSupply,MATCH(INDEX($R$1:R335,SMALL(ROW($R$1:R335)+(10000*($R$1:R335="")),COUNTA($R$1:R335))),Sectors,0)),"")</f>
        <v>Demand</v>
      </c>
      <c r="M335" s="7"/>
      <c r="N335" s="76"/>
      <c r="O335" s="77"/>
      <c r="P335" s="77"/>
      <c r="Q335" s="82"/>
      <c r="R335" s="77"/>
      <c r="S335" s="76"/>
      <c r="T335" s="77"/>
      <c r="U335" s="82"/>
      <c r="V335" s="102"/>
      <c r="W335" s="77"/>
      <c r="X335" s="76"/>
      <c r="Y335" s="77"/>
      <c r="Z335" s="76"/>
      <c r="AA335" s="77"/>
      <c r="AB335" s="76"/>
      <c r="AC335" s="77"/>
      <c r="AD335" s="76"/>
      <c r="AE335" s="77"/>
      <c r="AF335" s="76"/>
      <c r="AG335" s="77"/>
      <c r="AH335" s="76"/>
      <c r="AI335" s="7"/>
      <c r="AJ335" s="28" t="str">
        <f t="shared" si="28"/>
        <v/>
      </c>
      <c r="AK335" s="6" t="s">
        <v>93</v>
      </c>
      <c r="AL335" s="3" t="s">
        <v>158</v>
      </c>
      <c r="AM335" s="3"/>
      <c r="AN335" s="18" t="s">
        <v>36</v>
      </c>
      <c r="AO335" s="3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7"/>
      <c r="BA335" s="15"/>
      <c r="BB335" s="15"/>
      <c r="BC335" s="15"/>
      <c r="BD335" s="41"/>
      <c r="BE335" s="41"/>
      <c r="BF335" s="41"/>
      <c r="BG335" s="41"/>
      <c r="BH335" s="41"/>
      <c r="BI335" s="41"/>
      <c r="BJ335" s="41"/>
      <c r="BK335" s="41"/>
      <c r="BL335" s="41"/>
      <c r="BM335" s="41"/>
      <c r="BN335" s="41"/>
    </row>
    <row r="336" spans="1:66" s="5" customFormat="1" hidden="1" x14ac:dyDescent="0.25">
      <c r="A336" s="7"/>
      <c r="B336" s="5" t="str">
        <f t="array" ref="B336">IFERROR(INDEX(DemandSupply,MATCH(INDEX($R$1:R336,SMALL(ROW($R$1:R336)+(10000*($R$1:R336="")),COUNTA($R$1:R336))),Sectors,0)),"")</f>
        <v>Demand</v>
      </c>
      <c r="M336" s="7"/>
      <c r="N336" s="76"/>
      <c r="O336" s="77"/>
      <c r="P336" s="77"/>
      <c r="Q336" s="82"/>
      <c r="R336" s="77"/>
      <c r="S336" s="76"/>
      <c r="T336" s="77"/>
      <c r="U336" s="82"/>
      <c r="V336" s="102"/>
      <c r="W336" s="77"/>
      <c r="X336" s="76"/>
      <c r="Y336" s="77"/>
      <c r="Z336" s="76"/>
      <c r="AA336" s="77"/>
      <c r="AB336" s="76"/>
      <c r="AC336" s="77"/>
      <c r="AD336" s="76"/>
      <c r="AE336" s="77"/>
      <c r="AF336" s="76"/>
      <c r="AG336" s="77"/>
      <c r="AH336" s="76"/>
      <c r="AI336" s="7"/>
      <c r="AJ336" s="28" t="str">
        <f t="shared" si="28"/>
        <v/>
      </c>
      <c r="AK336" s="3" t="s">
        <v>58</v>
      </c>
      <c r="AL336" s="3"/>
      <c r="AM336" s="3"/>
      <c r="AN336" s="18" t="s">
        <v>23</v>
      </c>
      <c r="AO336" s="3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7"/>
      <c r="BA336" s="15"/>
      <c r="BB336" s="15"/>
      <c r="BC336" s="15"/>
      <c r="BD336" s="41"/>
      <c r="BE336" s="41"/>
      <c r="BF336" s="41"/>
      <c r="BG336" s="41"/>
      <c r="BH336" s="41"/>
      <c r="BI336" s="41"/>
      <c r="BJ336" s="41"/>
      <c r="BK336" s="41"/>
      <c r="BL336" s="41"/>
      <c r="BM336" s="41"/>
      <c r="BN336" s="41"/>
    </row>
    <row r="337" spans="1:66" s="5" customFormat="1" hidden="1" x14ac:dyDescent="0.25">
      <c r="A337" s="7"/>
      <c r="B337" s="5" t="str">
        <f t="array" ref="B337">IFERROR(INDEX(DemandSupply,MATCH(INDEX($R$1:R337,SMALL(ROW($R$1:R337)+(10000*($R$1:R337="")),COUNTA($R$1:R337))),Sectors,0)),"")</f>
        <v>Demand</v>
      </c>
      <c r="M337" s="7"/>
      <c r="N337" s="76"/>
      <c r="O337" s="77"/>
      <c r="P337" s="77"/>
      <c r="Q337" s="82"/>
      <c r="R337" s="77"/>
      <c r="S337" s="76"/>
      <c r="T337" s="77"/>
      <c r="U337" s="82"/>
      <c r="V337" s="102"/>
      <c r="W337" s="77"/>
      <c r="X337" s="76"/>
      <c r="Y337" s="77"/>
      <c r="Z337" s="76"/>
      <c r="AA337" s="77"/>
      <c r="AB337" s="76"/>
      <c r="AC337" s="77"/>
      <c r="AD337" s="76"/>
      <c r="AE337" s="77"/>
      <c r="AF337" s="76"/>
      <c r="AG337" s="77"/>
      <c r="AH337" s="76"/>
      <c r="AI337" s="7"/>
      <c r="AJ337" s="28" t="str">
        <f t="shared" si="28"/>
        <v/>
      </c>
      <c r="AK337" s="3" t="s">
        <v>80</v>
      </c>
      <c r="AL337" s="3"/>
      <c r="AM337" s="3"/>
      <c r="AN337" s="18" t="s">
        <v>37</v>
      </c>
      <c r="AO337" s="3">
        <v>10</v>
      </c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7"/>
      <c r="BA337" s="15"/>
      <c r="BB337" s="15"/>
      <c r="BC337" s="15"/>
      <c r="BD337" s="41"/>
      <c r="BE337" s="41"/>
      <c r="BF337" s="41"/>
      <c r="BG337" s="41"/>
      <c r="BH337" s="41"/>
      <c r="BI337" s="41"/>
      <c r="BJ337" s="41"/>
      <c r="BK337" s="41"/>
      <c r="BL337" s="41"/>
      <c r="BM337" s="41"/>
      <c r="BN337" s="41"/>
    </row>
    <row r="338" spans="1:66" s="5" customFormat="1" hidden="1" x14ac:dyDescent="0.25">
      <c r="A338" s="7"/>
      <c r="B338" s="5" t="str">
        <f t="array" ref="B338">IFERROR(INDEX(DemandSupply,MATCH(INDEX($R$1:R338,SMALL(ROW($R$1:R338)+(10000*($R$1:R338="")),COUNTA($R$1:R338))),Sectors,0)),"")</f>
        <v>Demand</v>
      </c>
      <c r="M338" s="7"/>
      <c r="N338" s="76"/>
      <c r="O338" s="77"/>
      <c r="P338" s="77"/>
      <c r="Q338" s="82"/>
      <c r="R338" s="77"/>
      <c r="S338" s="76"/>
      <c r="T338" s="77"/>
      <c r="U338" s="82"/>
      <c r="V338" s="102"/>
      <c r="W338" s="77"/>
      <c r="X338" s="76"/>
      <c r="Y338" s="77"/>
      <c r="Z338" s="76"/>
      <c r="AA338" s="77"/>
      <c r="AB338" s="76"/>
      <c r="AC338" s="77"/>
      <c r="AD338" s="76"/>
      <c r="AE338" s="77"/>
      <c r="AF338" s="76"/>
      <c r="AG338" s="77"/>
      <c r="AH338" s="76"/>
      <c r="AI338" s="7"/>
      <c r="AJ338" s="28" t="str">
        <f t="shared" si="28"/>
        <v/>
      </c>
      <c r="AK338" s="3" t="s">
        <v>63</v>
      </c>
      <c r="AL338" s="3"/>
      <c r="AM338" s="3"/>
      <c r="AN338" s="18" t="s">
        <v>34</v>
      </c>
      <c r="AO338" s="3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7"/>
      <c r="BA338" s="15"/>
      <c r="BB338" s="15"/>
      <c r="BC338" s="15"/>
      <c r="BD338" s="41"/>
      <c r="BE338" s="41"/>
      <c r="BF338" s="41"/>
      <c r="BG338" s="41"/>
      <c r="BH338" s="41"/>
      <c r="BI338" s="41"/>
      <c r="BJ338" s="41"/>
      <c r="BK338" s="41"/>
      <c r="BL338" s="41"/>
      <c r="BM338" s="41"/>
      <c r="BN338" s="41"/>
    </row>
    <row r="339" spans="1:66" s="5" customFormat="1" hidden="1" x14ac:dyDescent="0.25">
      <c r="A339" s="7"/>
      <c r="B339" s="5" t="str">
        <f t="array" ref="B339">IFERROR(INDEX(DemandSupply,MATCH(INDEX($R$1:R339,SMALL(ROW($R$1:R339)+(10000*($R$1:R339="")),COUNTA($R$1:R339))),Sectors,0)),"")</f>
        <v>Demand</v>
      </c>
      <c r="M339" s="7"/>
      <c r="N339" s="76"/>
      <c r="O339" s="77"/>
      <c r="P339" s="77"/>
      <c r="Q339" s="82"/>
      <c r="R339" s="77"/>
      <c r="S339" s="76"/>
      <c r="T339" s="77"/>
      <c r="U339" s="82"/>
      <c r="V339" s="102"/>
      <c r="W339" s="77"/>
      <c r="X339" s="76"/>
      <c r="Y339" s="77"/>
      <c r="Z339" s="76"/>
      <c r="AA339" s="77"/>
      <c r="AB339" s="76"/>
      <c r="AC339" s="77"/>
      <c r="AD339" s="76"/>
      <c r="AE339" s="77"/>
      <c r="AF339" s="76"/>
      <c r="AG339" s="77"/>
      <c r="AH339" s="76"/>
      <c r="AI339" s="7"/>
      <c r="AJ339" s="28" t="str">
        <f t="shared" si="28"/>
        <v/>
      </c>
      <c r="AK339" s="3" t="s">
        <v>41</v>
      </c>
      <c r="AL339" s="3"/>
      <c r="AM339" s="3" t="s">
        <v>43</v>
      </c>
      <c r="AN339" s="18" t="s">
        <v>34</v>
      </c>
      <c r="AO339" s="3">
        <v>1990</v>
      </c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7"/>
      <c r="BA339" s="15"/>
      <c r="BB339" s="15"/>
      <c r="BC339" s="15"/>
      <c r="BD339" s="41"/>
      <c r="BE339" s="41"/>
      <c r="BF339" s="41"/>
      <c r="BG339" s="41"/>
      <c r="BH339" s="41"/>
      <c r="BI339" s="41"/>
      <c r="BJ339" s="41"/>
      <c r="BK339" s="41"/>
      <c r="BL339" s="41"/>
      <c r="BM339" s="41"/>
      <c r="BN339" s="41"/>
    </row>
    <row r="340" spans="1:66" s="5" customFormat="1" hidden="1" x14ac:dyDescent="0.25">
      <c r="A340" s="7"/>
      <c r="B340" s="5" t="str">
        <f t="array" ref="B340">IFERROR(INDEX(DemandSupply,MATCH(INDEX($R$1:R340,SMALL(ROW($R$1:R340)+(10000*($R$1:R340="")),COUNTA($R$1:R340))),Sectors,0)),"")</f>
        <v>Demand</v>
      </c>
      <c r="M340" s="7"/>
      <c r="N340" s="76"/>
      <c r="O340" s="77"/>
      <c r="P340" s="77"/>
      <c r="Q340" s="82"/>
      <c r="R340" s="77"/>
      <c r="S340" s="76"/>
      <c r="T340" s="77"/>
      <c r="U340" s="82"/>
      <c r="V340" s="102"/>
      <c r="W340" s="77"/>
      <c r="X340" s="76"/>
      <c r="Y340" s="77"/>
      <c r="Z340" s="76"/>
      <c r="AA340" s="77"/>
      <c r="AB340" s="76"/>
      <c r="AC340" s="77"/>
      <c r="AD340" s="76"/>
      <c r="AE340" s="77"/>
      <c r="AF340" s="76"/>
      <c r="AG340" s="77"/>
      <c r="AH340" s="76"/>
      <c r="AI340" s="7"/>
      <c r="AJ340" s="28" t="str">
        <f t="shared" si="28"/>
        <v/>
      </c>
      <c r="AK340" s="3" t="s">
        <v>40</v>
      </c>
      <c r="AL340" s="3"/>
      <c r="AM340" s="3" t="s">
        <v>43</v>
      </c>
      <c r="AN340" s="18" t="s">
        <v>34</v>
      </c>
      <c r="AO340" s="3">
        <v>2100</v>
      </c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7"/>
      <c r="BA340" s="15"/>
      <c r="BB340" s="15"/>
      <c r="BC340" s="15"/>
      <c r="BD340" s="41"/>
      <c r="BE340" s="41"/>
      <c r="BF340" s="41"/>
      <c r="BG340" s="41"/>
      <c r="BH340" s="41"/>
      <c r="BI340" s="41"/>
      <c r="BJ340" s="41"/>
      <c r="BK340" s="41"/>
      <c r="BL340" s="41"/>
      <c r="BM340" s="41"/>
      <c r="BN340" s="41"/>
    </row>
    <row r="341" spans="1:66" s="5" customFormat="1" hidden="1" x14ac:dyDescent="0.25">
      <c r="A341" s="7"/>
      <c r="B341" s="5" t="str">
        <f t="array" ref="B341">IFERROR(INDEX(DemandSupply,MATCH(INDEX($R$1:R341,SMALL(ROW($R$1:R341)+(10000*($R$1:R341="")),COUNTA($R$1:R341))),Sectors,0)),"")</f>
        <v>Demand</v>
      </c>
      <c r="M341" s="7"/>
      <c r="N341" s="76"/>
      <c r="O341" s="77"/>
      <c r="P341" s="77"/>
      <c r="Q341" s="82"/>
      <c r="R341" s="77"/>
      <c r="S341" s="76"/>
      <c r="T341" s="77"/>
      <c r="U341" s="82"/>
      <c r="V341" s="102"/>
      <c r="W341" s="77"/>
      <c r="X341" s="76"/>
      <c r="Y341" s="77"/>
      <c r="Z341" s="76"/>
      <c r="AA341" s="77"/>
      <c r="AB341" s="76"/>
      <c r="AC341" s="77"/>
      <c r="AD341" s="76"/>
      <c r="AE341" s="77"/>
      <c r="AF341" s="76"/>
      <c r="AG341" s="77"/>
      <c r="AH341" s="76"/>
      <c r="AI341" s="7"/>
      <c r="AJ341" s="28" t="str">
        <f t="shared" si="28"/>
        <v/>
      </c>
      <c r="AK341" s="3" t="s">
        <v>42</v>
      </c>
      <c r="AL341" s="3"/>
      <c r="AM341" s="3" t="s">
        <v>10</v>
      </c>
      <c r="AN341" s="18" t="s">
        <v>34</v>
      </c>
      <c r="AO341" s="3">
        <v>25</v>
      </c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7"/>
      <c r="BA341" s="15"/>
      <c r="BB341" s="15"/>
      <c r="BC341" s="15"/>
      <c r="BD341" s="41"/>
      <c r="BE341" s="41"/>
      <c r="BF341" s="41"/>
      <c r="BG341" s="41"/>
      <c r="BH341" s="41"/>
      <c r="BI341" s="41"/>
      <c r="BJ341" s="41"/>
      <c r="BK341" s="41"/>
      <c r="BL341" s="41"/>
      <c r="BM341" s="41"/>
      <c r="BN341" s="41"/>
    </row>
    <row r="342" spans="1:66" s="5" customFormat="1" hidden="1" x14ac:dyDescent="0.25">
      <c r="A342" s="7"/>
      <c r="B342" s="5" t="str">
        <f t="array" ref="B342">IFERROR(INDEX(DemandSupply,MATCH(INDEX($R$1:R342,SMALL(ROW($R$1:R342)+(10000*($R$1:R342="")),COUNTA($R$1:R342))),Sectors,0)),"")</f>
        <v>Demand</v>
      </c>
      <c r="M342" s="7"/>
      <c r="N342" s="76"/>
      <c r="O342" s="77"/>
      <c r="P342" s="77"/>
      <c r="Q342" s="82"/>
      <c r="R342" s="77"/>
      <c r="S342" s="76"/>
      <c r="T342" s="77"/>
      <c r="U342" s="82"/>
      <c r="V342" s="102"/>
      <c r="W342" s="77"/>
      <c r="X342" s="76"/>
      <c r="Y342" s="77"/>
      <c r="Z342" s="76"/>
      <c r="AA342" s="77"/>
      <c r="AB342" s="76"/>
      <c r="AC342" s="77"/>
      <c r="AD342" s="76"/>
      <c r="AE342" s="77"/>
      <c r="AF342" s="76"/>
      <c r="AG342" s="77"/>
      <c r="AH342" s="76"/>
      <c r="AI342" s="7"/>
      <c r="AJ342" s="28" t="str">
        <f t="shared" si="28"/>
        <v/>
      </c>
      <c r="AK342" s="3" t="s">
        <v>67</v>
      </c>
      <c r="AL342" s="3"/>
      <c r="AM342" s="3" t="s">
        <v>118</v>
      </c>
      <c r="AN342" s="18" t="s">
        <v>34</v>
      </c>
      <c r="AO342" s="3">
        <v>0.25</v>
      </c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7"/>
      <c r="BA342" s="15"/>
      <c r="BB342" s="15"/>
      <c r="BC342" s="15"/>
      <c r="BD342" s="41"/>
      <c r="BE342" s="41"/>
      <c r="BF342" s="41"/>
      <c r="BG342" s="41"/>
      <c r="BH342" s="41"/>
      <c r="BI342" s="41"/>
      <c r="BJ342" s="41"/>
      <c r="BK342" s="41"/>
      <c r="BL342" s="41"/>
      <c r="BM342" s="41"/>
      <c r="BN342" s="41"/>
    </row>
    <row r="343" spans="1:66" s="5" customFormat="1" hidden="1" x14ac:dyDescent="0.25">
      <c r="A343" s="7"/>
      <c r="B343" s="5" t="str">
        <f t="array" ref="B343">IFERROR(INDEX(DemandSupply,MATCH(INDEX($R$1:R343,SMALL(ROW($R$1:R343)+(10000*($R$1:R343="")),COUNTA($R$1:R343))),Sectors,0)),"")</f>
        <v>Demand</v>
      </c>
      <c r="M343" s="7"/>
      <c r="N343" s="76"/>
      <c r="O343" s="77"/>
      <c r="P343" s="77"/>
      <c r="Q343" s="82"/>
      <c r="R343" s="77"/>
      <c r="S343" s="76"/>
      <c r="T343" s="77"/>
      <c r="U343" s="82"/>
      <c r="V343" s="102"/>
      <c r="W343" s="77"/>
      <c r="X343" s="76"/>
      <c r="Y343" s="77"/>
      <c r="Z343" s="76"/>
      <c r="AA343" s="77"/>
      <c r="AB343" s="76"/>
      <c r="AC343" s="77"/>
      <c r="AD343" s="76"/>
      <c r="AE343" s="77"/>
      <c r="AF343" s="76"/>
      <c r="AG343" s="77"/>
      <c r="AH343" s="76"/>
      <c r="AI343" s="7"/>
      <c r="AJ343" s="28" t="str">
        <f t="shared" si="28"/>
        <v/>
      </c>
      <c r="AK343" s="3" t="s">
        <v>38</v>
      </c>
      <c r="AL343" s="3"/>
      <c r="AM343" s="3" t="s">
        <v>17</v>
      </c>
      <c r="AN343" s="18" t="s">
        <v>34</v>
      </c>
      <c r="AO343" s="3">
        <v>15</v>
      </c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7"/>
      <c r="BA343" s="15"/>
      <c r="BB343" s="15"/>
      <c r="BC343" s="15"/>
      <c r="BD343" s="41"/>
      <c r="BE343" s="41"/>
      <c r="BF343" s="41"/>
      <c r="BG343" s="41"/>
      <c r="BH343" s="41"/>
      <c r="BI343" s="41"/>
      <c r="BJ343" s="41"/>
      <c r="BK343" s="41"/>
      <c r="BL343" s="41"/>
      <c r="BM343" s="41"/>
      <c r="BN343" s="41"/>
    </row>
    <row r="344" spans="1:66" s="5" customFormat="1" hidden="1" x14ac:dyDescent="0.25">
      <c r="A344" s="7"/>
      <c r="B344" s="5" t="str">
        <f t="array" ref="B344">IFERROR(INDEX(DemandSupply,MATCH(INDEX($R$1:R344,SMALL(ROW($R$1:R344)+(10000*($R$1:R344="")),COUNTA($R$1:R344))),Sectors,0)),"")</f>
        <v>Demand</v>
      </c>
      <c r="M344" s="7"/>
      <c r="N344" s="76"/>
      <c r="O344" s="77"/>
      <c r="P344" s="77"/>
      <c r="Q344" s="82"/>
      <c r="R344" s="77"/>
      <c r="S344" s="76"/>
      <c r="T344" s="77"/>
      <c r="U344" s="82"/>
      <c r="V344" s="102"/>
      <c r="W344" s="77"/>
      <c r="X344" s="76"/>
      <c r="Y344" s="77"/>
      <c r="Z344" s="76"/>
      <c r="AA344" s="77"/>
      <c r="AB344" s="76"/>
      <c r="AC344" s="77"/>
      <c r="AD344" s="76"/>
      <c r="AE344" s="77"/>
      <c r="AF344" s="76"/>
      <c r="AG344" s="77"/>
      <c r="AH344" s="76"/>
      <c r="AI344" s="7"/>
      <c r="AJ344" s="28" t="str">
        <f t="shared" si="28"/>
        <v/>
      </c>
      <c r="AK344" s="3" t="s">
        <v>44</v>
      </c>
      <c r="AL344" s="3"/>
      <c r="AM344" s="3" t="s">
        <v>17</v>
      </c>
      <c r="AN344" s="18" t="s">
        <v>34</v>
      </c>
      <c r="AO344" s="3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7"/>
      <c r="BA344" s="15"/>
      <c r="BB344" s="15"/>
      <c r="BC344" s="15"/>
      <c r="BD344" s="41"/>
      <c r="BE344" s="41"/>
      <c r="BF344" s="41"/>
      <c r="BG344" s="41"/>
      <c r="BH344" s="41"/>
      <c r="BI344" s="41"/>
      <c r="BJ344" s="41"/>
      <c r="BK344" s="41"/>
      <c r="BL344" s="41"/>
      <c r="BM344" s="41"/>
      <c r="BN344" s="41"/>
    </row>
    <row r="345" spans="1:66" s="5" customFormat="1" hidden="1" x14ac:dyDescent="0.25">
      <c r="A345" s="7"/>
      <c r="B345" s="5" t="str">
        <f t="array" ref="B345">IFERROR(INDEX(DemandSupply,MATCH(INDEX($R$1:R345,SMALL(ROW($R$1:R345)+(10000*($R$1:R345="")),COUNTA($R$1:R345))),Sectors,0)),"")</f>
        <v>Demand</v>
      </c>
      <c r="M345" s="7"/>
      <c r="N345" s="76"/>
      <c r="O345" s="77"/>
      <c r="P345" s="77"/>
      <c r="Q345" s="82"/>
      <c r="R345" s="77"/>
      <c r="S345" s="76"/>
      <c r="T345" s="77"/>
      <c r="U345" s="82"/>
      <c r="V345" s="102"/>
      <c r="W345" s="77"/>
      <c r="X345" s="76"/>
      <c r="Y345" s="77"/>
      <c r="Z345" s="76"/>
      <c r="AA345" s="77"/>
      <c r="AB345" s="76"/>
      <c r="AC345" s="77"/>
      <c r="AD345" s="76"/>
      <c r="AE345" s="77"/>
      <c r="AF345" s="76"/>
      <c r="AG345" s="77"/>
      <c r="AH345" s="76"/>
      <c r="AI345" s="7"/>
      <c r="AJ345" s="28" t="str">
        <f t="shared" si="28"/>
        <v/>
      </c>
      <c r="AK345" s="3" t="s">
        <v>51</v>
      </c>
      <c r="AL345" s="3"/>
      <c r="AM345" s="3" t="s">
        <v>17</v>
      </c>
      <c r="AN345" s="18" t="s">
        <v>34</v>
      </c>
      <c r="AO345" s="3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7"/>
      <c r="BA345" s="15"/>
      <c r="BB345" s="15"/>
      <c r="BC345" s="15"/>
      <c r="BD345" s="41"/>
      <c r="BE345" s="41"/>
      <c r="BF345" s="41"/>
      <c r="BG345" s="41"/>
      <c r="BH345" s="41"/>
      <c r="BI345" s="41"/>
      <c r="BJ345" s="41"/>
      <c r="BK345" s="41"/>
      <c r="BL345" s="41"/>
      <c r="BM345" s="41"/>
      <c r="BN345" s="41"/>
    </row>
    <row r="346" spans="1:66" s="5" customFormat="1" hidden="1" x14ac:dyDescent="0.25">
      <c r="A346" s="7"/>
      <c r="B346" s="5" t="str">
        <f t="array" ref="B346">IFERROR(INDEX(DemandSupply,MATCH(INDEX($R$1:R346,SMALL(ROW($R$1:R346)+(10000*($R$1:R346="")),COUNTA($R$1:R346))),Sectors,0)),"")</f>
        <v>Demand</v>
      </c>
      <c r="M346" s="7"/>
      <c r="N346" s="76"/>
      <c r="O346" s="77"/>
      <c r="P346" s="77"/>
      <c r="Q346" s="82"/>
      <c r="R346" s="77"/>
      <c r="S346" s="76"/>
      <c r="T346" s="77"/>
      <c r="U346" s="82"/>
      <c r="V346" s="102"/>
      <c r="W346" s="77"/>
      <c r="X346" s="76"/>
      <c r="Y346" s="77"/>
      <c r="Z346" s="76"/>
      <c r="AA346" s="77"/>
      <c r="AB346" s="76"/>
      <c r="AC346" s="77"/>
      <c r="AD346" s="76"/>
      <c r="AE346" s="77"/>
      <c r="AF346" s="76"/>
      <c r="AG346" s="77"/>
      <c r="AH346" s="76"/>
      <c r="AI346" s="7"/>
      <c r="AJ346" s="28" t="str">
        <f t="shared" si="28"/>
        <v/>
      </c>
      <c r="AK346" s="3" t="s">
        <v>95</v>
      </c>
      <c r="AL346" s="3" t="s">
        <v>143</v>
      </c>
      <c r="AM346" s="3" t="s">
        <v>17</v>
      </c>
      <c r="AN346" s="18" t="s">
        <v>34</v>
      </c>
      <c r="AO346" s="23">
        <f>AO351*$AO$24</f>
        <v>22</v>
      </c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7"/>
      <c r="BA346" s="15"/>
      <c r="BB346" s="15"/>
      <c r="BC346" s="15"/>
      <c r="BD346" s="41"/>
      <c r="BE346" s="41"/>
      <c r="BF346" s="41"/>
      <c r="BG346" s="41"/>
      <c r="BH346" s="41"/>
      <c r="BI346" s="41"/>
      <c r="BJ346" s="41"/>
      <c r="BK346" s="41"/>
      <c r="BL346" s="41"/>
      <c r="BM346" s="41"/>
      <c r="BN346" s="41"/>
    </row>
    <row r="347" spans="1:66" s="5" customFormat="1" hidden="1" x14ac:dyDescent="0.25">
      <c r="A347" s="7"/>
      <c r="B347" s="5" t="str">
        <f t="array" ref="B347">IFERROR(INDEX(DemandSupply,MATCH(INDEX($R$1:R347,SMALL(ROW($R$1:R347)+(10000*($R$1:R347="")),COUNTA($R$1:R347))),Sectors,0)),"")</f>
        <v>Demand</v>
      </c>
      <c r="M347" s="7"/>
      <c r="N347" s="76"/>
      <c r="O347" s="77"/>
      <c r="P347" s="77"/>
      <c r="Q347" s="82"/>
      <c r="R347" s="77"/>
      <c r="S347" s="76"/>
      <c r="T347" s="77"/>
      <c r="U347" s="82"/>
      <c r="V347" s="102"/>
      <c r="W347" s="77"/>
      <c r="X347" s="76"/>
      <c r="Y347" s="77"/>
      <c r="Z347" s="76"/>
      <c r="AA347" s="77"/>
      <c r="AB347" s="76"/>
      <c r="AC347" s="77"/>
      <c r="AD347" s="76"/>
      <c r="AE347" s="77"/>
      <c r="AF347" s="76"/>
      <c r="AG347" s="77"/>
      <c r="AH347" s="76"/>
      <c r="AI347" s="7"/>
      <c r="AJ347" s="28" t="str">
        <f t="shared" si="28"/>
        <v/>
      </c>
      <c r="AK347" s="3" t="s">
        <v>47</v>
      </c>
      <c r="AL347" s="3"/>
      <c r="AM347" s="3" t="s">
        <v>118</v>
      </c>
      <c r="AN347" s="18" t="s">
        <v>34</v>
      </c>
      <c r="AO347" s="3">
        <v>1</v>
      </c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7"/>
      <c r="BA347" s="15"/>
      <c r="BB347" s="15"/>
      <c r="BC347" s="15"/>
      <c r="BD347" s="41"/>
      <c r="BE347" s="41"/>
      <c r="BF347" s="41"/>
      <c r="BG347" s="41"/>
      <c r="BH347" s="41"/>
      <c r="BI347" s="41"/>
      <c r="BJ347" s="41"/>
      <c r="BK347" s="41"/>
      <c r="BL347" s="41"/>
      <c r="BM347" s="41"/>
      <c r="BN347" s="41"/>
    </row>
    <row r="348" spans="1:66" s="5" customFormat="1" hidden="1" x14ac:dyDescent="0.25">
      <c r="A348" s="7"/>
      <c r="B348" s="5" t="str">
        <f t="array" ref="B348">IFERROR(INDEX(DemandSupply,MATCH(INDEX($R$1:R348,SMALL(ROW($R$1:R348)+(10000*($R$1:R348="")),COUNTA($R$1:R348))),Sectors,0)),"")</f>
        <v>Demand</v>
      </c>
      <c r="M348" s="7"/>
      <c r="N348" s="76"/>
      <c r="O348" s="77"/>
      <c r="P348" s="77"/>
      <c r="Q348" s="82"/>
      <c r="R348" s="77"/>
      <c r="S348" s="76"/>
      <c r="T348" s="77"/>
      <c r="U348" s="82"/>
      <c r="V348" s="102"/>
      <c r="W348" s="77"/>
      <c r="X348" s="76"/>
      <c r="Y348" s="77"/>
      <c r="Z348" s="76"/>
      <c r="AA348" s="77"/>
      <c r="AB348" s="76"/>
      <c r="AC348" s="77"/>
      <c r="AD348" s="76"/>
      <c r="AE348" s="77"/>
      <c r="AF348" s="76"/>
      <c r="AG348" s="77"/>
      <c r="AH348" s="76"/>
      <c r="AI348" s="7"/>
      <c r="AJ348" s="28" t="str">
        <f t="shared" si="28"/>
        <v/>
      </c>
      <c r="AK348" s="3" t="s">
        <v>48</v>
      </c>
      <c r="AL348" s="3"/>
      <c r="AM348" s="3" t="s">
        <v>118</v>
      </c>
      <c r="AN348" s="18" t="s">
        <v>34</v>
      </c>
      <c r="AO348" s="3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7"/>
      <c r="BA348" s="15"/>
      <c r="BB348" s="15"/>
      <c r="BC348" s="15"/>
      <c r="BD348" s="41"/>
      <c r="BE348" s="41"/>
      <c r="BF348" s="41"/>
      <c r="BG348" s="41"/>
      <c r="BH348" s="41"/>
      <c r="BI348" s="41"/>
      <c r="BJ348" s="41"/>
      <c r="BK348" s="41"/>
      <c r="BL348" s="41"/>
      <c r="BM348" s="41"/>
      <c r="BN348" s="41"/>
    </row>
    <row r="349" spans="1:66" s="5" customFormat="1" hidden="1" x14ac:dyDescent="0.25">
      <c r="A349" s="7"/>
      <c r="B349" s="5" t="str">
        <f t="array" ref="B349">IFERROR(INDEX(DemandSupply,MATCH(INDEX($R$1:R349,SMALL(ROW($R$1:R349)+(10000*($R$1:R349="")),COUNTA($R$1:R349))),Sectors,0)),"")</f>
        <v>Demand</v>
      </c>
      <c r="M349" s="7"/>
      <c r="N349" s="76"/>
      <c r="O349" s="77"/>
      <c r="P349" s="77"/>
      <c r="Q349" s="82"/>
      <c r="R349" s="77"/>
      <c r="S349" s="76"/>
      <c r="T349" s="77"/>
      <c r="U349" s="82"/>
      <c r="V349" s="102"/>
      <c r="W349" s="77"/>
      <c r="X349" s="76"/>
      <c r="Y349" s="77"/>
      <c r="Z349" s="76"/>
      <c r="AA349" s="77"/>
      <c r="AB349" s="76"/>
      <c r="AC349" s="77"/>
      <c r="AD349" s="76"/>
      <c r="AE349" s="77"/>
      <c r="AF349" s="76"/>
      <c r="AG349" s="77"/>
      <c r="AH349" s="76"/>
      <c r="AI349" s="7"/>
      <c r="AJ349" s="28" t="str">
        <f t="shared" si="28"/>
        <v/>
      </c>
      <c r="AK349" s="3" t="s">
        <v>49</v>
      </c>
      <c r="AL349" s="3"/>
      <c r="AM349" s="3" t="s">
        <v>118</v>
      </c>
      <c r="AN349" s="18" t="s">
        <v>34</v>
      </c>
      <c r="AO349" s="3">
        <v>1</v>
      </c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7"/>
      <c r="BA349" s="15"/>
      <c r="BB349" s="15"/>
      <c r="BC349" s="15"/>
      <c r="BD349" s="41"/>
      <c r="BE349" s="41"/>
      <c r="BF349" s="41"/>
      <c r="BG349" s="41"/>
      <c r="BH349" s="41"/>
      <c r="BI349" s="41"/>
      <c r="BJ349" s="41"/>
      <c r="BK349" s="41"/>
      <c r="BL349" s="41"/>
      <c r="BM349" s="41"/>
      <c r="BN349" s="41"/>
    </row>
    <row r="350" spans="1:66" s="5" customFormat="1" hidden="1" x14ac:dyDescent="0.25">
      <c r="A350" s="7"/>
      <c r="B350" s="5" t="str">
        <f t="array" ref="B350">IFERROR(INDEX(DemandSupply,MATCH(INDEX($R$1:R350,SMALL(ROW($R$1:R350)+(10000*($R$1:R350="")),COUNTA($R$1:R350))),Sectors,0)),"")</f>
        <v>Demand</v>
      </c>
      <c r="M350" s="7"/>
      <c r="N350" s="76"/>
      <c r="O350" s="77"/>
      <c r="P350" s="77"/>
      <c r="Q350" s="82"/>
      <c r="R350" s="77"/>
      <c r="S350" s="76"/>
      <c r="T350" s="77"/>
      <c r="U350" s="82"/>
      <c r="V350" s="102"/>
      <c r="W350" s="77"/>
      <c r="X350" s="76"/>
      <c r="Y350" s="77"/>
      <c r="Z350" s="76"/>
      <c r="AA350" s="77"/>
      <c r="AB350" s="76"/>
      <c r="AC350" s="77"/>
      <c r="AD350" s="76"/>
      <c r="AE350" s="77"/>
      <c r="AF350" s="76"/>
      <c r="AG350" s="77"/>
      <c r="AH350" s="76"/>
      <c r="AI350" s="7"/>
      <c r="AJ350" s="28" t="str">
        <f t="shared" si="28"/>
        <v/>
      </c>
      <c r="AK350" s="3" t="s">
        <v>50</v>
      </c>
      <c r="AL350" s="3"/>
      <c r="AM350" s="3" t="s">
        <v>118</v>
      </c>
      <c r="AN350" s="18" t="s">
        <v>34</v>
      </c>
      <c r="AO350" s="3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7"/>
      <c r="BA350" s="15"/>
      <c r="BB350" s="15"/>
      <c r="BC350" s="15"/>
      <c r="BD350" s="41"/>
      <c r="BE350" s="41"/>
      <c r="BF350" s="41"/>
      <c r="BG350" s="41"/>
      <c r="BH350" s="41"/>
      <c r="BI350" s="41"/>
      <c r="BJ350" s="41"/>
      <c r="BK350" s="41"/>
      <c r="BL350" s="41"/>
      <c r="BM350" s="41"/>
      <c r="BN350" s="41"/>
    </row>
    <row r="351" spans="1:66" s="5" customFormat="1" hidden="1" x14ac:dyDescent="0.25">
      <c r="A351" s="7"/>
      <c r="B351" s="5" t="str">
        <f t="array" ref="B351">IFERROR(INDEX(DemandSupply,MATCH(INDEX($R$1:R351,SMALL(ROW($R$1:R351)+(10000*($R$1:R351="")),COUNTA($R$1:R351))),Sectors,0)),"")</f>
        <v>Demand</v>
      </c>
      <c r="M351" s="7"/>
      <c r="N351" s="76"/>
      <c r="O351" s="77"/>
      <c r="P351" s="77"/>
      <c r="Q351" s="82"/>
      <c r="R351" s="77"/>
      <c r="S351" s="76"/>
      <c r="T351" s="77"/>
      <c r="U351" s="82"/>
      <c r="V351" s="102"/>
      <c r="W351" s="77"/>
      <c r="X351" s="76"/>
      <c r="Y351" s="77"/>
      <c r="Z351" s="76"/>
      <c r="AA351" s="77"/>
      <c r="AB351" s="76"/>
      <c r="AC351" s="77"/>
      <c r="AD351" s="76"/>
      <c r="AE351" s="77"/>
      <c r="AF351" s="76"/>
      <c r="AG351" s="77"/>
      <c r="AH351" s="76"/>
      <c r="AI351" s="7"/>
      <c r="AJ351" s="28" t="str">
        <f t="shared" si="28"/>
        <v/>
      </c>
      <c r="AK351" s="3" t="s">
        <v>94</v>
      </c>
      <c r="AL351" s="3" t="s">
        <v>143</v>
      </c>
      <c r="AM351" s="3" t="s">
        <v>57</v>
      </c>
      <c r="AN351" s="18" t="s">
        <v>34</v>
      </c>
      <c r="AO351" s="22">
        <v>1</v>
      </c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7"/>
      <c r="BA351" s="15"/>
      <c r="BB351" s="15"/>
      <c r="BC351" s="15"/>
      <c r="BD351" s="41"/>
      <c r="BE351" s="41"/>
      <c r="BF351" s="41"/>
      <c r="BG351" s="41"/>
      <c r="BH351" s="41"/>
      <c r="BI351" s="41"/>
      <c r="BJ351" s="41"/>
      <c r="BK351" s="41"/>
      <c r="BL351" s="41"/>
      <c r="BM351" s="41"/>
      <c r="BN351" s="41"/>
    </row>
    <row r="352" spans="1:66" s="5" customFormat="1" hidden="1" x14ac:dyDescent="0.25">
      <c r="A352" s="7"/>
      <c r="B352" s="5" t="str">
        <f t="array" ref="B352">IFERROR(INDEX(DemandSupply,MATCH(INDEX($R$1:R352,SMALL(ROW($R$1:R352)+(10000*($R$1:R352="")),COUNTA($R$1:R352))),Sectors,0)),"")</f>
        <v>Demand</v>
      </c>
      <c r="M352" s="7"/>
      <c r="N352" s="76"/>
      <c r="O352" s="77"/>
      <c r="P352" s="77"/>
      <c r="Q352" s="82"/>
      <c r="R352" s="77"/>
      <c r="S352" s="76"/>
      <c r="T352" s="77"/>
      <c r="U352" s="82"/>
      <c r="V352" s="102"/>
      <c r="W352" s="77"/>
      <c r="X352" s="76"/>
      <c r="Y352" s="77"/>
      <c r="Z352" s="76"/>
      <c r="AA352" s="77"/>
      <c r="AB352" s="76"/>
      <c r="AC352" s="77"/>
      <c r="AD352" s="76"/>
      <c r="AE352" s="77"/>
      <c r="AF352" s="76"/>
      <c r="AG352" s="77"/>
      <c r="AH352" s="76"/>
      <c r="AI352" s="7"/>
      <c r="AJ352" s="28" t="str">
        <f t="shared" si="28"/>
        <v/>
      </c>
      <c r="AK352" s="3" t="s">
        <v>91</v>
      </c>
      <c r="AL352" s="3"/>
      <c r="AM352" s="3" t="s">
        <v>118</v>
      </c>
      <c r="AN352" s="18" t="s">
        <v>34</v>
      </c>
      <c r="AO352" s="22">
        <v>5.5303779999999999E-3</v>
      </c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7"/>
      <c r="BA352" s="15"/>
      <c r="BB352" s="15"/>
      <c r="BC352" s="15"/>
      <c r="BD352" s="41"/>
      <c r="BE352" s="41"/>
      <c r="BF352" s="41"/>
      <c r="BG352" s="41"/>
      <c r="BH352" s="41"/>
      <c r="BI352" s="41"/>
      <c r="BJ352" s="41"/>
      <c r="BK352" s="41"/>
      <c r="BL352" s="41"/>
      <c r="BM352" s="41"/>
      <c r="BN352" s="41"/>
    </row>
    <row r="353" spans="1:66" s="5" customFormat="1" hidden="1" x14ac:dyDescent="0.25">
      <c r="A353" s="7"/>
      <c r="B353" s="5" t="str">
        <f t="array" ref="B353">IFERROR(INDEX(DemandSupply,MATCH(INDEX($R$1:R353,SMALL(ROW($R$1:R353)+(10000*($R$1:R353="")),COUNTA($R$1:R353))),Sectors,0)),"")</f>
        <v>Demand</v>
      </c>
      <c r="M353" s="7"/>
      <c r="N353" s="76"/>
      <c r="O353" s="77"/>
      <c r="P353" s="77"/>
      <c r="Q353" s="82"/>
      <c r="R353" s="77"/>
      <c r="S353" s="76"/>
      <c r="T353" s="77"/>
      <c r="U353" s="82"/>
      <c r="V353" s="102"/>
      <c r="W353" s="77"/>
      <c r="X353" s="76"/>
      <c r="Y353" s="77"/>
      <c r="Z353" s="76"/>
      <c r="AA353" s="77"/>
      <c r="AB353" s="76"/>
      <c r="AC353" s="77"/>
      <c r="AD353" s="76"/>
      <c r="AE353" s="77"/>
      <c r="AF353" s="76"/>
      <c r="AG353" s="77"/>
      <c r="AH353" s="76"/>
      <c r="AI353" s="7"/>
      <c r="AJ353" s="28" t="str">
        <f t="shared" si="28"/>
        <v/>
      </c>
      <c r="AK353" s="3" t="s">
        <v>63</v>
      </c>
      <c r="AL353" s="3"/>
      <c r="AM353" s="3"/>
      <c r="AN353" s="18" t="s">
        <v>35</v>
      </c>
      <c r="AO353" s="3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7"/>
      <c r="BA353" s="15"/>
      <c r="BB353" s="15"/>
      <c r="BC353" s="15"/>
      <c r="BD353" s="41"/>
      <c r="BE353" s="41"/>
      <c r="BF353" s="41"/>
      <c r="BG353" s="41"/>
      <c r="BH353" s="41"/>
      <c r="BI353" s="41"/>
      <c r="BJ353" s="41"/>
      <c r="BK353" s="41"/>
      <c r="BL353" s="41"/>
      <c r="BM353" s="41"/>
      <c r="BN353" s="41"/>
    </row>
    <row r="354" spans="1:66" s="5" customFormat="1" hidden="1" x14ac:dyDescent="0.25">
      <c r="A354" s="7"/>
      <c r="B354" s="5" t="str">
        <f t="array" ref="B354">IFERROR(INDEX(DemandSupply,MATCH(INDEX($R$1:R354,SMALL(ROW($R$1:R354)+(10000*($R$1:R354="")),COUNTA($R$1:R354))),Sectors,0)),"")</f>
        <v>Demand</v>
      </c>
      <c r="M354" s="7"/>
      <c r="N354" s="76"/>
      <c r="O354" s="77"/>
      <c r="P354" s="77"/>
      <c r="Q354" s="82"/>
      <c r="R354" s="77"/>
      <c r="S354" s="76"/>
      <c r="T354" s="77"/>
      <c r="U354" s="82"/>
      <c r="V354" s="102"/>
      <c r="W354" s="77"/>
      <c r="X354" s="76"/>
      <c r="Y354" s="77"/>
      <c r="Z354" s="76"/>
      <c r="AA354" s="77"/>
      <c r="AB354" s="76"/>
      <c r="AC354" s="77"/>
      <c r="AD354" s="76"/>
      <c r="AE354" s="77"/>
      <c r="AF354" s="76"/>
      <c r="AG354" s="77"/>
      <c r="AH354" s="76"/>
      <c r="AI354" s="7"/>
      <c r="AJ354" s="28" t="str">
        <f t="shared" si="28"/>
        <v/>
      </c>
      <c r="AK354" s="3" t="s">
        <v>95</v>
      </c>
      <c r="AL354" s="3" t="s">
        <v>152</v>
      </c>
      <c r="AM354" s="3" t="s">
        <v>17</v>
      </c>
      <c r="AN354" s="18" t="s">
        <v>35</v>
      </c>
      <c r="AO354" s="23" t="e">
        <f>AO359*SUM(AO361:AO362)*AO368+SUM(AO374:AO377)*AO381+SUM(AO415:AO463)*#REF!+SUM(#REF!)*#REF!</f>
        <v>#REF!</v>
      </c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7"/>
      <c r="BA354" s="15"/>
      <c r="BB354" s="15"/>
      <c r="BC354" s="15"/>
      <c r="BD354" s="41"/>
      <c r="BE354" s="41"/>
      <c r="BF354" s="41"/>
      <c r="BG354" s="41"/>
      <c r="BH354" s="41"/>
      <c r="BI354" s="41"/>
      <c r="BJ354" s="41"/>
      <c r="BK354" s="41"/>
      <c r="BL354" s="41"/>
      <c r="BM354" s="41"/>
      <c r="BN354" s="41"/>
    </row>
    <row r="355" spans="1:66" s="5" customFormat="1" hidden="1" x14ac:dyDescent="0.25">
      <c r="A355" s="7"/>
      <c r="B355" s="5" t="str">
        <f t="array" ref="B355">IFERROR(INDEX(DemandSupply,MATCH(INDEX($R$1:R355,SMALL(ROW($R$1:R355)+(10000*($R$1:R355="")),COUNTA($R$1:R355))),Sectors,0)),"")</f>
        <v>Demand</v>
      </c>
      <c r="M355" s="7"/>
      <c r="N355" s="76"/>
      <c r="O355" s="77"/>
      <c r="P355" s="77"/>
      <c r="Q355" s="82"/>
      <c r="R355" s="77"/>
      <c r="S355" s="76"/>
      <c r="T355" s="77"/>
      <c r="U355" s="82"/>
      <c r="V355" s="102"/>
      <c r="W355" s="77"/>
      <c r="X355" s="76"/>
      <c r="Y355" s="77"/>
      <c r="Z355" s="76"/>
      <c r="AA355" s="77"/>
      <c r="AB355" s="76"/>
      <c r="AC355" s="77"/>
      <c r="AD355" s="76"/>
      <c r="AE355" s="77"/>
      <c r="AF355" s="76"/>
      <c r="AG355" s="77"/>
      <c r="AH355" s="76"/>
      <c r="AI355" s="7"/>
      <c r="AJ355" s="28" t="str">
        <f t="shared" si="28"/>
        <v/>
      </c>
      <c r="AK355" s="3" t="s">
        <v>47</v>
      </c>
      <c r="AL355" s="3"/>
      <c r="AM355" s="3" t="s">
        <v>118</v>
      </c>
      <c r="AN355" s="18" t="s">
        <v>35</v>
      </c>
      <c r="AO355" s="3">
        <v>1</v>
      </c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7"/>
      <c r="BA355" s="15"/>
      <c r="BB355" s="15"/>
      <c r="BC355" s="15"/>
      <c r="BD355" s="41"/>
      <c r="BE355" s="41"/>
      <c r="BF355" s="41"/>
      <c r="BG355" s="41"/>
      <c r="BH355" s="41"/>
      <c r="BI355" s="41"/>
      <c r="BJ355" s="41"/>
      <c r="BK355" s="41"/>
      <c r="BL355" s="41"/>
      <c r="BM355" s="41"/>
      <c r="BN355" s="41"/>
    </row>
    <row r="356" spans="1:66" s="5" customFormat="1" hidden="1" x14ac:dyDescent="0.25">
      <c r="A356" s="7"/>
      <c r="B356" s="5" t="str">
        <f t="array" ref="B356">IFERROR(INDEX(DemandSupply,MATCH(INDEX($R$1:R356,SMALL(ROW($R$1:R356)+(10000*($R$1:R356="")),COUNTA($R$1:R356))),Sectors,0)),"")</f>
        <v>Demand</v>
      </c>
      <c r="M356" s="7"/>
      <c r="N356" s="76"/>
      <c r="O356" s="77"/>
      <c r="P356" s="77"/>
      <c r="Q356" s="82"/>
      <c r="R356" s="77"/>
      <c r="S356" s="76"/>
      <c r="T356" s="77"/>
      <c r="U356" s="82"/>
      <c r="V356" s="102"/>
      <c r="W356" s="77"/>
      <c r="X356" s="76"/>
      <c r="Y356" s="77"/>
      <c r="Z356" s="76"/>
      <c r="AA356" s="77"/>
      <c r="AB356" s="76"/>
      <c r="AC356" s="77"/>
      <c r="AD356" s="76"/>
      <c r="AE356" s="77"/>
      <c r="AF356" s="76"/>
      <c r="AG356" s="77"/>
      <c r="AH356" s="76"/>
      <c r="AI356" s="7"/>
      <c r="AJ356" s="28" t="str">
        <f t="shared" si="28"/>
        <v/>
      </c>
      <c r="AK356" s="3" t="s">
        <v>48</v>
      </c>
      <c r="AL356" s="3"/>
      <c r="AM356" s="3" t="s">
        <v>118</v>
      </c>
      <c r="AN356" s="18" t="s">
        <v>35</v>
      </c>
      <c r="AO356" s="3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7"/>
      <c r="BA356" s="15"/>
      <c r="BB356" s="15"/>
      <c r="BC356" s="15"/>
      <c r="BD356" s="41"/>
      <c r="BE356" s="41"/>
      <c r="BF356" s="41"/>
      <c r="BG356" s="41"/>
      <c r="BH356" s="41"/>
      <c r="BI356" s="41"/>
      <c r="BJ356" s="41"/>
      <c r="BK356" s="41"/>
      <c r="BL356" s="41"/>
      <c r="BM356" s="41"/>
      <c r="BN356" s="41"/>
    </row>
    <row r="357" spans="1:66" s="5" customFormat="1" hidden="1" x14ac:dyDescent="0.25">
      <c r="A357" s="7"/>
      <c r="B357" s="5" t="str">
        <f t="array" ref="B357">IFERROR(INDEX(DemandSupply,MATCH(INDEX($R$1:R357,SMALL(ROW($R$1:R357)+(10000*($R$1:R357="")),COUNTA($R$1:R357))),Sectors,0)),"")</f>
        <v>Demand</v>
      </c>
      <c r="M357" s="7"/>
      <c r="N357" s="76"/>
      <c r="O357" s="77"/>
      <c r="P357" s="77"/>
      <c r="Q357" s="82"/>
      <c r="R357" s="77"/>
      <c r="S357" s="76"/>
      <c r="T357" s="77"/>
      <c r="U357" s="82"/>
      <c r="V357" s="102"/>
      <c r="W357" s="77"/>
      <c r="X357" s="76"/>
      <c r="Y357" s="77"/>
      <c r="Z357" s="76"/>
      <c r="AA357" s="77"/>
      <c r="AB357" s="76"/>
      <c r="AC357" s="77"/>
      <c r="AD357" s="76"/>
      <c r="AE357" s="77"/>
      <c r="AF357" s="76"/>
      <c r="AG357" s="77"/>
      <c r="AH357" s="76"/>
      <c r="AI357" s="7"/>
      <c r="AJ357" s="28" t="str">
        <f t="shared" si="28"/>
        <v/>
      </c>
      <c r="AK357" s="3" t="s">
        <v>49</v>
      </c>
      <c r="AL357" s="3"/>
      <c r="AM357" s="3" t="s">
        <v>118</v>
      </c>
      <c r="AN357" s="18" t="s">
        <v>35</v>
      </c>
      <c r="AO357" s="3">
        <v>1</v>
      </c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7"/>
      <c r="BA357" s="15"/>
      <c r="BB357" s="15"/>
      <c r="BC357" s="15"/>
      <c r="BD357" s="41"/>
      <c r="BE357" s="41"/>
      <c r="BF357" s="41"/>
      <c r="BG357" s="41"/>
      <c r="BH357" s="41"/>
      <c r="BI357" s="41"/>
      <c r="BJ357" s="41"/>
      <c r="BK357" s="41"/>
      <c r="BL357" s="41"/>
      <c r="BM357" s="41"/>
      <c r="BN357" s="41"/>
    </row>
    <row r="358" spans="1:66" s="5" customFormat="1" hidden="1" x14ac:dyDescent="0.25">
      <c r="A358" s="7"/>
      <c r="B358" s="5" t="str">
        <f t="array" ref="B358">IFERROR(INDEX(DemandSupply,MATCH(INDEX($R$1:R358,SMALL(ROW($R$1:R358)+(10000*($R$1:R358="")),COUNTA($R$1:R358))),Sectors,0)),"")</f>
        <v>Demand</v>
      </c>
      <c r="M358" s="7"/>
      <c r="N358" s="76"/>
      <c r="O358" s="77"/>
      <c r="P358" s="77"/>
      <c r="Q358" s="82"/>
      <c r="R358" s="77"/>
      <c r="S358" s="76"/>
      <c r="T358" s="77"/>
      <c r="U358" s="82"/>
      <c r="V358" s="102"/>
      <c r="W358" s="77"/>
      <c r="X358" s="76"/>
      <c r="Y358" s="77"/>
      <c r="Z358" s="76"/>
      <c r="AA358" s="77"/>
      <c r="AB358" s="76"/>
      <c r="AC358" s="77"/>
      <c r="AD358" s="76"/>
      <c r="AE358" s="77"/>
      <c r="AF358" s="76"/>
      <c r="AG358" s="77"/>
      <c r="AH358" s="76"/>
      <c r="AI358" s="7"/>
      <c r="AJ358" s="28" t="str">
        <f t="shared" si="28"/>
        <v/>
      </c>
      <c r="AK358" s="3" t="s">
        <v>50</v>
      </c>
      <c r="AL358" s="3"/>
      <c r="AM358" s="3" t="s">
        <v>118</v>
      </c>
      <c r="AN358" s="18" t="s">
        <v>35</v>
      </c>
      <c r="AO358" s="3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7"/>
      <c r="BA358" s="15"/>
      <c r="BB358" s="15"/>
      <c r="BC358" s="15"/>
      <c r="BD358" s="41"/>
      <c r="BE358" s="41"/>
      <c r="BF358" s="41"/>
      <c r="BG358" s="41"/>
      <c r="BH358" s="41"/>
      <c r="BI358" s="41"/>
      <c r="BJ358" s="41"/>
      <c r="BK358" s="41"/>
      <c r="BL358" s="41"/>
      <c r="BM358" s="41"/>
      <c r="BN358" s="41"/>
    </row>
    <row r="359" spans="1:66" s="5" customFormat="1" hidden="1" x14ac:dyDescent="0.25">
      <c r="A359" s="7"/>
      <c r="B359" s="5" t="str">
        <f t="array" ref="B359">IFERROR(INDEX(DemandSupply,MATCH(INDEX($R$1:R359,SMALL(ROW($R$1:R359)+(10000*($R$1:R359="")),COUNTA($R$1:R359))),Sectors,0)),"")</f>
        <v>Demand</v>
      </c>
      <c r="M359" s="7"/>
      <c r="N359" s="76"/>
      <c r="O359" s="77"/>
      <c r="P359" s="77"/>
      <c r="Q359" s="82"/>
      <c r="R359" s="77"/>
      <c r="S359" s="76"/>
      <c r="T359" s="77"/>
      <c r="U359" s="82"/>
      <c r="V359" s="102"/>
      <c r="W359" s="77"/>
      <c r="X359" s="76"/>
      <c r="Y359" s="77"/>
      <c r="Z359" s="76"/>
      <c r="AA359" s="77"/>
      <c r="AB359" s="76"/>
      <c r="AC359" s="77"/>
      <c r="AD359" s="76"/>
      <c r="AE359" s="77"/>
      <c r="AF359" s="76"/>
      <c r="AG359" s="77"/>
      <c r="AH359" s="76"/>
      <c r="AI359" s="7"/>
      <c r="AJ359" s="28" t="str">
        <f t="shared" si="28"/>
        <v/>
      </c>
      <c r="AK359" s="3" t="s">
        <v>94</v>
      </c>
      <c r="AL359" s="3" t="s">
        <v>152</v>
      </c>
      <c r="AM359" s="3" t="s">
        <v>57</v>
      </c>
      <c r="AN359" s="18" t="s">
        <v>35</v>
      </c>
      <c r="AO359" s="22">
        <v>1</v>
      </c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7"/>
      <c r="BA359" s="15"/>
      <c r="BB359" s="15"/>
      <c r="BC359" s="15"/>
      <c r="BD359" s="41"/>
      <c r="BE359" s="41"/>
      <c r="BF359" s="41"/>
      <c r="BG359" s="41"/>
      <c r="BH359" s="41"/>
      <c r="BI359" s="41"/>
      <c r="BJ359" s="41"/>
      <c r="BK359" s="41"/>
      <c r="BL359" s="41"/>
      <c r="BM359" s="41"/>
      <c r="BN359" s="41"/>
    </row>
    <row r="360" spans="1:66" s="5" customFormat="1" hidden="1" x14ac:dyDescent="0.25">
      <c r="A360" s="7"/>
      <c r="B360" s="5" t="str">
        <f t="array" ref="B360">IFERROR(INDEX(DemandSupply,MATCH(INDEX($R$1:R360,SMALL(ROW($R$1:R360)+(10000*($R$1:R360="")),COUNTA($R$1:R360))),Sectors,0)),"")</f>
        <v>Demand</v>
      </c>
      <c r="M360" s="7"/>
      <c r="N360" s="76"/>
      <c r="O360" s="77"/>
      <c r="P360" s="77"/>
      <c r="Q360" s="82"/>
      <c r="R360" s="77"/>
      <c r="S360" s="76"/>
      <c r="T360" s="77"/>
      <c r="U360" s="82"/>
      <c r="V360" s="102"/>
      <c r="W360" s="77"/>
      <c r="X360" s="76"/>
      <c r="Y360" s="77"/>
      <c r="Z360" s="76"/>
      <c r="AA360" s="77"/>
      <c r="AB360" s="76"/>
      <c r="AC360" s="77"/>
      <c r="AD360" s="76"/>
      <c r="AE360" s="77"/>
      <c r="AF360" s="76"/>
      <c r="AG360" s="77"/>
      <c r="AH360" s="76"/>
      <c r="AI360" s="7"/>
      <c r="AJ360" s="28" t="str">
        <f t="shared" si="28"/>
        <v/>
      </c>
      <c r="AK360" s="3" t="s">
        <v>91</v>
      </c>
      <c r="AL360" s="3"/>
      <c r="AM360" s="3" t="s">
        <v>118</v>
      </c>
      <c r="AN360" s="18" t="s">
        <v>35</v>
      </c>
      <c r="AO360" s="22">
        <f>1-AO352</f>
        <v>0.994469622</v>
      </c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7"/>
      <c r="BA360" s="15"/>
      <c r="BB360" s="15"/>
      <c r="BC360" s="15"/>
      <c r="BD360" s="41"/>
      <c r="BE360" s="41"/>
      <c r="BF360" s="41"/>
      <c r="BG360" s="41"/>
      <c r="BH360" s="41"/>
      <c r="BI360" s="41"/>
      <c r="BJ360" s="41"/>
      <c r="BK360" s="41"/>
      <c r="BL360" s="41"/>
      <c r="BM360" s="41"/>
      <c r="BN360" s="41"/>
    </row>
    <row r="361" spans="1:66" s="5" customFormat="1" x14ac:dyDescent="0.25">
      <c r="A361" s="7"/>
      <c r="B361" s="5" t="str">
        <f t="array" ref="B361">IFERROR(INDEX(DemandSupply,MATCH(INDEX($R$1:R361,SMALL(ROW($R$1:R361)+(10000*($R$1:R361="")),COUNTA($R$1:R361))),Sectors,0)),"")</f>
        <v>Demand</v>
      </c>
      <c r="M361" s="7"/>
      <c r="N361" s="76"/>
      <c r="O361" s="77"/>
      <c r="P361" s="77"/>
      <c r="Q361" s="82"/>
      <c r="R361" s="77"/>
      <c r="S361" s="76"/>
      <c r="T361" s="79"/>
      <c r="U361" s="82"/>
      <c r="V361" s="77"/>
      <c r="W361" s="77"/>
      <c r="X361" s="76"/>
      <c r="Y361" s="77"/>
      <c r="Z361" s="76"/>
      <c r="AA361" s="77"/>
      <c r="AB361" s="76"/>
      <c r="AC361" s="77"/>
      <c r="AD361" s="76"/>
      <c r="AE361" s="77"/>
      <c r="AF361" s="76"/>
      <c r="AG361" s="77"/>
      <c r="AH361" s="76"/>
      <c r="AI361" s="7"/>
      <c r="AJ361" s="27" t="str">
        <f t="shared" si="28"/>
        <v/>
      </c>
      <c r="AK361" s="6"/>
      <c r="AL361" s="6"/>
      <c r="AM361" s="6"/>
      <c r="AN361" s="11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7"/>
      <c r="BA361" s="15"/>
      <c r="BB361" s="15"/>
      <c r="BC361" s="15"/>
      <c r="BD361" s="41"/>
      <c r="BE361" s="41"/>
      <c r="BF361" s="41"/>
      <c r="BG361" s="41"/>
      <c r="BH361" s="41"/>
      <c r="BI361" s="41"/>
      <c r="BJ361" s="41"/>
      <c r="BK361" s="41"/>
      <c r="BL361" s="41"/>
      <c r="BM361" s="41"/>
      <c r="BN361" s="41"/>
    </row>
    <row r="362" spans="1:66" s="5" customFormat="1" x14ac:dyDescent="0.25">
      <c r="A362" s="7"/>
      <c r="B362" s="5" t="str">
        <f t="array" ref="B362">IFERROR(INDEX(DemandSupply,MATCH(INDEX($R$1:R362,SMALL(ROW($R$1:R362)+(10000*($R$1:R362="")),COUNTA($R$1:R362))),Sectors,0)),"")</f>
        <v>Demand</v>
      </c>
      <c r="M362" s="7"/>
      <c r="N362" s="76"/>
      <c r="O362" s="77"/>
      <c r="P362" s="77"/>
      <c r="Q362" s="82"/>
      <c r="R362" s="77"/>
      <c r="S362" s="76"/>
      <c r="T362" s="77"/>
      <c r="U362" s="80"/>
      <c r="V362" s="31" t="s">
        <v>84</v>
      </c>
      <c r="W362" s="77"/>
      <c r="X362" s="76"/>
      <c r="Y362" s="77"/>
      <c r="Z362" s="76"/>
      <c r="AA362" s="77"/>
      <c r="AB362" s="76"/>
      <c r="AC362" s="77"/>
      <c r="AD362" s="76"/>
      <c r="AE362" s="77"/>
      <c r="AF362" s="76"/>
      <c r="AG362" s="77"/>
      <c r="AH362" s="76"/>
      <c r="AI362" s="7"/>
      <c r="AJ362" s="33" t="str">
        <f t="shared" si="28"/>
        <v>Clothes washing</v>
      </c>
      <c r="AN362" s="11"/>
      <c r="AZ362" s="7"/>
      <c r="BA362" s="15"/>
      <c r="BB362" s="15"/>
      <c r="BC362" s="15"/>
      <c r="BD362" s="41"/>
      <c r="BE362" s="41"/>
      <c r="BF362" s="41"/>
      <c r="BG362" s="41"/>
      <c r="BH362" s="41"/>
      <c r="BI362" s="41"/>
      <c r="BJ362" s="41"/>
      <c r="BK362" s="41"/>
      <c r="BL362" s="41"/>
      <c r="BM362" s="41"/>
      <c r="BN362" s="41"/>
    </row>
    <row r="363" spans="1:66" s="5" customFormat="1" x14ac:dyDescent="0.25">
      <c r="A363" s="7"/>
      <c r="B363" s="5" t="str">
        <f t="array" ref="B363">IFERROR(INDEX(DemandSupply,MATCH(INDEX($R$1:R363,SMALL(ROW($R$1:R363)+(10000*($R$1:R363="")),COUNTA($R$1:R363))),Sectors,0)),"")</f>
        <v>Demand</v>
      </c>
      <c r="M363" s="7"/>
      <c r="N363" s="76"/>
      <c r="O363" s="77"/>
      <c r="P363" s="77"/>
      <c r="Q363" s="82"/>
      <c r="R363" s="77"/>
      <c r="S363" s="76"/>
      <c r="T363" s="77"/>
      <c r="U363" s="76"/>
      <c r="V363" s="76"/>
      <c r="W363" s="77"/>
      <c r="X363" s="77"/>
      <c r="Y363" s="77"/>
      <c r="Z363" s="76"/>
      <c r="AA363" s="77"/>
      <c r="AB363" s="76"/>
      <c r="AC363" s="77"/>
      <c r="AD363" s="76"/>
      <c r="AE363" s="77"/>
      <c r="AF363" s="76"/>
      <c r="AG363" s="77"/>
      <c r="AH363" s="76"/>
      <c r="AI363" s="7"/>
      <c r="AJ363" s="29" t="str">
        <f t="shared" si="28"/>
        <v/>
      </c>
      <c r="AN363" s="11"/>
      <c r="AZ363" s="7"/>
      <c r="BA363" s="15"/>
      <c r="BB363" s="15"/>
      <c r="BC363" s="15"/>
      <c r="BD363" s="41"/>
      <c r="BE363" s="41"/>
      <c r="BF363" s="41"/>
      <c r="BG363" s="41"/>
      <c r="BH363" s="41"/>
      <c r="BI363" s="41"/>
      <c r="BJ363" s="41"/>
      <c r="BK363" s="41"/>
      <c r="BL363" s="41"/>
      <c r="BM363" s="41"/>
      <c r="BN363" s="41"/>
    </row>
    <row r="364" spans="1:66" s="5" customFormat="1" x14ac:dyDescent="0.25">
      <c r="A364" s="7"/>
      <c r="B364" s="5" t="str">
        <f t="array" ref="B364">IFERROR(INDEX(DemandSupply,MATCH(INDEX($R$1:R364,SMALL(ROW($R$1:R364)+(10000*($R$1:R364="")),COUNTA($R$1:R364))),Sectors,0)),"")</f>
        <v>Demand</v>
      </c>
      <c r="M364" s="7"/>
      <c r="N364" s="76"/>
      <c r="O364" s="77"/>
      <c r="P364" s="77"/>
      <c r="Q364" s="83"/>
      <c r="R364" s="77"/>
      <c r="S364" s="76"/>
      <c r="T364" s="76"/>
      <c r="U364" s="76"/>
      <c r="V364" s="76"/>
      <c r="W364" s="77"/>
      <c r="X364" s="77"/>
      <c r="Y364" s="77"/>
      <c r="Z364" s="76"/>
      <c r="AA364" s="77"/>
      <c r="AB364" s="76"/>
      <c r="AC364" s="77"/>
      <c r="AD364" s="76"/>
      <c r="AE364" s="77"/>
      <c r="AF364" s="76"/>
      <c r="AG364" s="77"/>
      <c r="AH364" s="76"/>
      <c r="AI364" s="7"/>
      <c r="AJ364" s="29" t="str">
        <f t="shared" si="28"/>
        <v/>
      </c>
      <c r="AN364" s="11"/>
      <c r="AZ364" s="7"/>
      <c r="BA364" s="15"/>
      <c r="BB364" s="15"/>
      <c r="BC364" s="15"/>
      <c r="BD364" s="41"/>
      <c r="BE364" s="41"/>
      <c r="BF364" s="41"/>
      <c r="BG364" s="41"/>
      <c r="BH364" s="41"/>
      <c r="BI364" s="41"/>
      <c r="BJ364" s="41"/>
      <c r="BK364" s="41"/>
      <c r="BL364" s="41"/>
      <c r="BM364" s="41"/>
      <c r="BN364" s="41"/>
    </row>
    <row r="365" spans="1:66" s="5" customFormat="1" x14ac:dyDescent="0.25">
      <c r="A365" s="7"/>
      <c r="B365" s="5" t="str">
        <f t="array" ref="B365">IFERROR(INDEX(DemandSupply,MATCH(INDEX($R$1:R365,SMALL(ROW($R$1:R365)+(10000*($R$1:R365="")),COUNTA($R$1:R365))),Sectors,0)),"")</f>
        <v>Supply</v>
      </c>
      <c r="M365" s="7"/>
      <c r="N365" s="76"/>
      <c r="O365" s="77"/>
      <c r="P365" s="77"/>
      <c r="Q365" s="80"/>
      <c r="R365" s="31" t="s">
        <v>2</v>
      </c>
      <c r="S365" s="78"/>
      <c r="T365" s="77"/>
      <c r="U365" s="79"/>
      <c r="V365" s="76"/>
      <c r="W365" s="79"/>
      <c r="X365" s="76"/>
      <c r="Y365" s="79"/>
      <c r="Z365" s="76"/>
      <c r="AA365" s="79"/>
      <c r="AB365" s="76"/>
      <c r="AC365" s="79"/>
      <c r="AD365" s="76"/>
      <c r="AE365" s="79"/>
      <c r="AF365" s="76"/>
      <c r="AG365" s="79"/>
      <c r="AH365" s="76"/>
      <c r="AI365" s="7"/>
      <c r="AJ365" s="33" t="str">
        <f t="shared" si="28"/>
        <v>Electricity</v>
      </c>
      <c r="AN365" s="11"/>
      <c r="AZ365" s="7"/>
      <c r="BA365" s="15"/>
      <c r="BB365" s="15"/>
      <c r="BC365" s="15"/>
      <c r="BD365" s="41"/>
      <c r="BE365" s="41"/>
      <c r="BF365" s="41"/>
      <c r="BG365" s="41"/>
      <c r="BH365" s="41"/>
      <c r="BI365" s="41"/>
      <c r="BJ365" s="41"/>
      <c r="BK365" s="41"/>
      <c r="BL365" s="41"/>
      <c r="BM365" s="41"/>
      <c r="BN365" s="41"/>
    </row>
    <row r="366" spans="1:66" s="5" customFormat="1" hidden="1" x14ac:dyDescent="0.25">
      <c r="A366" s="7"/>
      <c r="B366" s="5" t="str">
        <f t="array" ref="B366">IFERROR(INDEX(DemandSupply,MATCH(INDEX($R$1:R366,SMALL(ROW($R$1:R366)+(10000*($R$1:R366="")),COUNTA($R$1:R366))),Sectors,0)),"")</f>
        <v>Supply</v>
      </c>
      <c r="M366" s="7"/>
      <c r="N366" s="76"/>
      <c r="O366" s="77"/>
      <c r="P366" s="77"/>
      <c r="Q366" s="76"/>
      <c r="R366" s="77"/>
      <c r="S366" s="78"/>
      <c r="T366" s="77"/>
      <c r="U366" s="79"/>
      <c r="V366" s="76"/>
      <c r="W366" s="79"/>
      <c r="X366" s="76"/>
      <c r="Y366" s="79"/>
      <c r="Z366" s="76"/>
      <c r="AA366" s="79"/>
      <c r="AB366" s="76"/>
      <c r="AC366" s="79"/>
      <c r="AD366" s="76"/>
      <c r="AE366" s="79"/>
      <c r="AF366" s="76"/>
      <c r="AG366" s="79"/>
      <c r="AH366" s="76"/>
      <c r="AI366" s="7"/>
      <c r="AJ366" s="27" t="str">
        <f t="shared" si="28"/>
        <v/>
      </c>
      <c r="AK366" t="s">
        <v>93</v>
      </c>
      <c r="AL366" s="3" t="s">
        <v>143</v>
      </c>
      <c r="AM366"/>
      <c r="AN366" s="30" t="s">
        <v>36</v>
      </c>
      <c r="AO366"/>
      <c r="AP366"/>
      <c r="AQ366"/>
      <c r="AR366"/>
      <c r="AS366"/>
      <c r="AT366"/>
      <c r="AU366"/>
      <c r="AV366"/>
      <c r="AW366"/>
      <c r="AX366"/>
      <c r="AY366"/>
      <c r="AZ366" s="7"/>
      <c r="BA366" s="15"/>
      <c r="BB366" s="15"/>
      <c r="BC366" s="15"/>
      <c r="BD366" s="41"/>
      <c r="BE366" s="41"/>
      <c r="BF366" s="41"/>
      <c r="BG366" s="41"/>
      <c r="BH366" s="41"/>
      <c r="BI366" s="41"/>
      <c r="BJ366" s="41"/>
      <c r="BK366" s="41"/>
      <c r="BL366" s="41"/>
      <c r="BM366" s="41"/>
      <c r="BN366" s="41"/>
    </row>
    <row r="367" spans="1:66" s="5" customFormat="1" hidden="1" x14ac:dyDescent="0.25">
      <c r="A367" s="7"/>
      <c r="B367" s="5" t="str">
        <f t="array" ref="B367">IFERROR(INDEX(DemandSupply,MATCH(INDEX($R$1:R367,SMALL(ROW($R$1:R367)+(10000*($R$1:R367="")),COUNTA($R$1:R367))),Sectors,0)),"")</f>
        <v>Supply</v>
      </c>
      <c r="M367" s="7"/>
      <c r="N367" s="76"/>
      <c r="O367" s="77"/>
      <c r="P367" s="77"/>
      <c r="Q367" s="76"/>
      <c r="R367" s="77"/>
      <c r="S367" s="78"/>
      <c r="T367" s="77"/>
      <c r="U367" s="79"/>
      <c r="V367" s="76"/>
      <c r="W367" s="79"/>
      <c r="X367" s="76"/>
      <c r="Y367" s="79"/>
      <c r="Z367" s="76"/>
      <c r="AA367" s="79"/>
      <c r="AB367" s="76"/>
      <c r="AC367" s="79"/>
      <c r="AD367" s="76"/>
      <c r="AE367" s="79"/>
      <c r="AF367" s="76"/>
      <c r="AG367" s="79"/>
      <c r="AH367" s="76"/>
      <c r="AI367" s="7"/>
      <c r="AJ367" s="27" t="str">
        <f t="shared" si="28"/>
        <v/>
      </c>
      <c r="AK367" s="17" t="s">
        <v>58</v>
      </c>
      <c r="AL367" s="17"/>
      <c r="AM367" s="17"/>
      <c r="AN367" s="18" t="s">
        <v>24</v>
      </c>
      <c r="AO367"/>
      <c r="AP367"/>
      <c r="AQ367"/>
      <c r="AR367"/>
      <c r="AS367"/>
      <c r="AT367"/>
      <c r="AU367"/>
      <c r="AV367"/>
      <c r="AW367"/>
      <c r="AX367"/>
      <c r="AY367"/>
      <c r="AZ367" s="7"/>
      <c r="BA367" s="15"/>
      <c r="BB367" s="15"/>
      <c r="BC367" s="15"/>
      <c r="BD367" s="41"/>
      <c r="BE367" s="41"/>
      <c r="BF367" s="41"/>
      <c r="BG367" s="41"/>
      <c r="BH367" s="41"/>
      <c r="BI367" s="41"/>
      <c r="BJ367" s="41"/>
      <c r="BK367" s="41"/>
      <c r="BL367" s="41"/>
      <c r="BM367" s="41"/>
      <c r="BN367" s="41"/>
    </row>
    <row r="368" spans="1:66" s="5" customFormat="1" hidden="1" x14ac:dyDescent="0.25">
      <c r="A368" s="7"/>
      <c r="B368" s="5" t="str">
        <f t="array" ref="B368">IFERROR(INDEX(DemandSupply,MATCH(INDEX($R$1:R368,SMALL(ROW($R$1:R368)+(10000*($R$1:R368="")),COUNTA($R$1:R368))),Sectors,0)),"")</f>
        <v>Supply</v>
      </c>
      <c r="M368" s="7"/>
      <c r="N368" s="76"/>
      <c r="O368" s="77"/>
      <c r="P368" s="77"/>
      <c r="Q368" s="76"/>
      <c r="R368" s="77"/>
      <c r="S368" s="78"/>
      <c r="T368" s="77"/>
      <c r="U368" s="79"/>
      <c r="V368" s="76"/>
      <c r="W368" s="79"/>
      <c r="X368" s="76"/>
      <c r="Y368" s="79"/>
      <c r="Z368" s="76"/>
      <c r="AA368" s="79"/>
      <c r="AB368" s="76"/>
      <c r="AC368" s="79"/>
      <c r="AD368" s="76"/>
      <c r="AE368" s="79"/>
      <c r="AF368" s="76"/>
      <c r="AG368" s="79"/>
      <c r="AH368" s="76"/>
      <c r="AI368" s="7"/>
      <c r="AJ368" s="27" t="str">
        <f t="shared" si="28"/>
        <v/>
      </c>
      <c r="AK368" t="s">
        <v>7</v>
      </c>
      <c r="AL368"/>
      <c r="AM368"/>
      <c r="AN368" s="30" t="s">
        <v>37</v>
      </c>
      <c r="AO368" s="2">
        <v>0.4</v>
      </c>
      <c r="AP368" s="2"/>
      <c r="AQ368" s="2"/>
      <c r="AR368" s="2"/>
      <c r="AS368" s="2"/>
      <c r="AT368" s="2"/>
      <c r="AU368" s="2"/>
      <c r="AV368" s="2"/>
      <c r="AW368" s="2"/>
      <c r="AX368" s="2"/>
      <c r="AY368" s="2"/>
      <c r="AZ368" s="7"/>
      <c r="BA368" s="15"/>
      <c r="BB368" s="15"/>
      <c r="BC368" s="15"/>
      <c r="BD368" s="41"/>
      <c r="BE368" s="41"/>
      <c r="BF368" s="41"/>
      <c r="BG368" s="41"/>
      <c r="BH368" s="41"/>
      <c r="BI368" s="41"/>
      <c r="BJ368" s="41"/>
      <c r="BK368" s="41"/>
      <c r="BL368" s="41"/>
      <c r="BM368" s="41"/>
      <c r="BN368" s="41"/>
    </row>
    <row r="369" spans="1:66" s="5" customFormat="1" hidden="1" x14ac:dyDescent="0.25">
      <c r="A369" s="7"/>
      <c r="B369" s="5" t="str">
        <f t="array" ref="B369">IFERROR(INDEX(DemandSupply,MATCH(INDEX($R$1:R369,SMALL(ROW($R$1:R369)+(10000*($R$1:R369="")),COUNTA($R$1:R369))),Sectors,0)),"")</f>
        <v>Supply</v>
      </c>
      <c r="M369" s="7"/>
      <c r="N369" s="76"/>
      <c r="O369" s="77"/>
      <c r="P369" s="77"/>
      <c r="Q369" s="76"/>
      <c r="R369" s="77"/>
      <c r="S369" s="78"/>
      <c r="T369" s="77"/>
      <c r="U369" s="79"/>
      <c r="V369" s="76"/>
      <c r="W369" s="79"/>
      <c r="X369" s="76"/>
      <c r="Y369" s="79"/>
      <c r="Z369" s="76"/>
      <c r="AA369" s="79"/>
      <c r="AB369" s="76"/>
      <c r="AC369" s="79"/>
      <c r="AD369" s="76"/>
      <c r="AE369" s="79"/>
      <c r="AF369" s="76"/>
      <c r="AG369" s="79"/>
      <c r="AH369" s="76"/>
      <c r="AI369" s="7"/>
      <c r="AJ369" s="27" t="str">
        <f t="shared" si="28"/>
        <v/>
      </c>
      <c r="AK369" t="s">
        <v>61</v>
      </c>
      <c r="AL369"/>
      <c r="AM369" t="s">
        <v>118</v>
      </c>
      <c r="AN369" s="30" t="s">
        <v>45</v>
      </c>
      <c r="AO369" s="2">
        <v>0.1</v>
      </c>
      <c r="AP369" s="2"/>
      <c r="AQ369" s="2"/>
      <c r="AR369" s="2"/>
      <c r="AS369" s="2"/>
      <c r="AT369" s="2"/>
      <c r="AU369" s="2"/>
      <c r="AV369" s="2"/>
      <c r="AW369" s="2"/>
      <c r="AX369" s="2"/>
      <c r="AY369" s="2"/>
      <c r="AZ369" s="7"/>
      <c r="BA369" s="15"/>
      <c r="BB369" s="15"/>
      <c r="BC369" s="15"/>
      <c r="BD369" s="41"/>
      <c r="BE369" s="41"/>
      <c r="BF369" s="41"/>
      <c r="BG369" s="41"/>
      <c r="BH369" s="41"/>
      <c r="BI369" s="41"/>
      <c r="BJ369" s="41"/>
      <c r="BK369" s="41"/>
      <c r="BL369" s="41"/>
      <c r="BM369" s="41"/>
      <c r="BN369" s="41"/>
    </row>
    <row r="370" spans="1:66" s="5" customFormat="1" hidden="1" x14ac:dyDescent="0.25">
      <c r="A370" s="7"/>
      <c r="B370" s="5" t="str">
        <f t="array" ref="B370">IFERROR(INDEX(DemandSupply,MATCH(INDEX($R$1:R370,SMALL(ROW($R$1:R370)+(10000*($R$1:R370="")),COUNTA($R$1:R370))),Sectors,0)),"")</f>
        <v>Supply</v>
      </c>
      <c r="M370" s="7"/>
      <c r="N370" s="76"/>
      <c r="O370" s="77"/>
      <c r="P370" s="77"/>
      <c r="Q370" s="76"/>
      <c r="R370" s="77"/>
      <c r="S370" s="78"/>
      <c r="T370" s="77"/>
      <c r="U370" s="79"/>
      <c r="V370" s="76"/>
      <c r="W370" s="79"/>
      <c r="X370" s="76"/>
      <c r="Y370" s="79"/>
      <c r="Z370" s="76"/>
      <c r="AA370" s="79"/>
      <c r="AB370" s="76"/>
      <c r="AC370" s="79"/>
      <c r="AD370" s="76"/>
      <c r="AE370" s="79"/>
      <c r="AF370" s="76"/>
      <c r="AG370" s="79"/>
      <c r="AH370" s="76"/>
      <c r="AI370" s="7"/>
      <c r="AJ370" s="27" t="str">
        <f t="shared" si="28"/>
        <v/>
      </c>
      <c r="AK370" t="s">
        <v>62</v>
      </c>
      <c r="AL370"/>
      <c r="AM370" t="s">
        <v>118</v>
      </c>
      <c r="AN370" s="30"/>
      <c r="AO370" s="2">
        <v>0.1</v>
      </c>
      <c r="AP370" s="2"/>
      <c r="AQ370" s="2"/>
      <c r="AR370" s="2"/>
      <c r="AS370" s="2"/>
      <c r="AT370" s="2"/>
      <c r="AU370" s="2"/>
      <c r="AV370" s="2"/>
      <c r="AW370" s="2"/>
      <c r="AX370" s="2"/>
      <c r="AY370" s="2"/>
      <c r="AZ370" s="7"/>
      <c r="BA370" s="15"/>
      <c r="BB370" s="15"/>
      <c r="BC370" s="15"/>
      <c r="BD370" s="41"/>
      <c r="BE370" s="41"/>
      <c r="BF370" s="41"/>
      <c r="BG370" s="41"/>
      <c r="BH370" s="41"/>
      <c r="BI370" s="41"/>
      <c r="BJ370" s="41"/>
      <c r="BK370" s="41"/>
      <c r="BL370" s="41"/>
      <c r="BM370" s="41"/>
      <c r="BN370" s="41"/>
    </row>
    <row r="371" spans="1:66" s="5" customFormat="1" hidden="1" x14ac:dyDescent="0.25">
      <c r="A371" s="7"/>
      <c r="B371" s="5" t="str">
        <f t="array" ref="B371">IFERROR(INDEX(DemandSupply,MATCH(INDEX($R$1:R371,SMALL(ROW($R$1:R371)+(10000*($R$1:R371="")),COUNTA($R$1:R371))),Sectors,0)),"")</f>
        <v>Supply</v>
      </c>
      <c r="M371" s="7"/>
      <c r="N371" s="76"/>
      <c r="O371" s="77"/>
      <c r="P371" s="77"/>
      <c r="Q371" s="76"/>
      <c r="R371" s="77"/>
      <c r="S371" s="78"/>
      <c r="T371" s="77"/>
      <c r="U371" s="79"/>
      <c r="V371" s="76"/>
      <c r="W371" s="79"/>
      <c r="X371" s="76"/>
      <c r="Y371" s="79"/>
      <c r="Z371" s="76"/>
      <c r="AA371" s="79"/>
      <c r="AB371" s="76"/>
      <c r="AC371" s="79"/>
      <c r="AD371" s="76"/>
      <c r="AE371" s="79"/>
      <c r="AF371" s="76"/>
      <c r="AG371" s="79"/>
      <c r="AH371" s="76"/>
      <c r="AI371" s="7"/>
      <c r="AJ371" s="27" t="str">
        <f t="shared" si="28"/>
        <v/>
      </c>
      <c r="AK371" t="s">
        <v>22</v>
      </c>
      <c r="AL371"/>
      <c r="AM371"/>
      <c r="AN371" s="30" t="s">
        <v>46</v>
      </c>
      <c r="AO371" s="2">
        <v>1</v>
      </c>
      <c r="AP371" s="2"/>
      <c r="AQ371" s="2"/>
      <c r="AR371" s="2"/>
      <c r="AS371" s="2"/>
      <c r="AT371" s="2"/>
      <c r="AU371" s="2"/>
      <c r="AV371" s="2"/>
      <c r="AW371" s="2"/>
      <c r="AX371" s="2"/>
      <c r="AY371" s="2"/>
      <c r="AZ371" s="7"/>
      <c r="BA371" s="15"/>
      <c r="BB371" s="15"/>
      <c r="BC371" s="15"/>
      <c r="BD371" s="41"/>
      <c r="BE371" s="41"/>
      <c r="BF371" s="41"/>
      <c r="BG371" s="41"/>
      <c r="BH371" s="41"/>
      <c r="BI371" s="41"/>
      <c r="BJ371" s="41"/>
      <c r="BK371" s="41"/>
      <c r="BL371" s="41"/>
      <c r="BM371" s="41"/>
      <c r="BN371" s="41"/>
    </row>
    <row r="372" spans="1:66" s="5" customFormat="1" hidden="1" x14ac:dyDescent="0.25">
      <c r="A372" s="7"/>
      <c r="B372" s="5" t="str">
        <f t="array" ref="B372">IFERROR(INDEX(DemandSupply,MATCH(INDEX($R$1:R372,SMALL(ROW($R$1:R372)+(10000*($R$1:R372="")),COUNTA($R$1:R372))),Sectors,0)),"")</f>
        <v>Supply</v>
      </c>
      <c r="M372" s="7"/>
      <c r="N372" s="76"/>
      <c r="O372" s="77"/>
      <c r="P372" s="77"/>
      <c r="Q372" s="76"/>
      <c r="R372" s="77"/>
      <c r="S372" s="78"/>
      <c r="T372" s="77"/>
      <c r="U372" s="79"/>
      <c r="V372" s="76"/>
      <c r="W372" s="79"/>
      <c r="X372" s="76"/>
      <c r="Y372" s="79"/>
      <c r="Z372" s="76"/>
      <c r="AA372" s="79"/>
      <c r="AB372" s="76"/>
      <c r="AC372" s="79"/>
      <c r="AD372" s="76"/>
      <c r="AE372" s="79"/>
      <c r="AF372" s="76"/>
      <c r="AG372" s="79"/>
      <c r="AH372" s="76"/>
      <c r="AI372" s="7"/>
      <c r="AJ372" s="27" t="str">
        <f t="shared" si="28"/>
        <v/>
      </c>
      <c r="AK372" s="17" t="s">
        <v>11</v>
      </c>
      <c r="AL372"/>
      <c r="AM372" t="s">
        <v>17</v>
      </c>
      <c r="AN372" s="169" t="s">
        <v>12</v>
      </c>
      <c r="AO372" s="2">
        <v>19</v>
      </c>
      <c r="AP372" s="2">
        <v>25</v>
      </c>
      <c r="AQ372" s="2">
        <v>29</v>
      </c>
      <c r="AR372" s="2">
        <v>32</v>
      </c>
      <c r="AS372" s="2">
        <v>32.64</v>
      </c>
      <c r="AT372" s="2">
        <v>33.2928</v>
      </c>
      <c r="AU372" s="2">
        <v>33.958655999999998</v>
      </c>
      <c r="AV372" s="2">
        <v>34.637829119999999</v>
      </c>
      <c r="AW372" s="2">
        <v>35.330585702400001</v>
      </c>
      <c r="AX372" s="2">
        <v>36.037197416448002</v>
      </c>
      <c r="AY372" s="2">
        <v>36.757941364776961</v>
      </c>
      <c r="AZ372" s="7"/>
      <c r="BA372" s="15"/>
      <c r="BB372" s="15"/>
      <c r="BC372" s="15"/>
      <c r="BD372" s="41"/>
      <c r="BE372" s="41"/>
      <c r="BF372" s="41"/>
      <c r="BG372" s="41"/>
      <c r="BH372" s="41"/>
      <c r="BI372" s="41"/>
      <c r="BJ372" s="41"/>
      <c r="BK372" s="41"/>
      <c r="BL372" s="41"/>
      <c r="BM372" s="41"/>
      <c r="BN372" s="41"/>
    </row>
    <row r="373" spans="1:66" s="5" customFormat="1" hidden="1" x14ac:dyDescent="0.25">
      <c r="A373" s="7"/>
      <c r="B373" s="5" t="str">
        <f t="array" ref="B373">IFERROR(INDEX(DemandSupply,MATCH(INDEX($R$1:R373,SMALL(ROW($R$1:R373)+(10000*($R$1:R373="")),COUNTA($R$1:R373))),Sectors,0)),"")</f>
        <v>Supply</v>
      </c>
      <c r="M373" s="7"/>
      <c r="N373" s="76"/>
      <c r="O373" s="77"/>
      <c r="P373" s="77"/>
      <c r="Q373" s="76"/>
      <c r="R373" s="77"/>
      <c r="S373" s="78"/>
      <c r="T373" s="77"/>
      <c r="U373" s="79"/>
      <c r="V373" s="76"/>
      <c r="W373" s="79"/>
      <c r="X373" s="76"/>
      <c r="Y373" s="79"/>
      <c r="Z373" s="76"/>
      <c r="AA373" s="79"/>
      <c r="AB373" s="76"/>
      <c r="AC373" s="79"/>
      <c r="AD373" s="76"/>
      <c r="AE373" s="79"/>
      <c r="AF373" s="76"/>
      <c r="AG373" s="79"/>
      <c r="AH373" s="76"/>
      <c r="AI373" s="7"/>
      <c r="AJ373" s="27" t="str">
        <f t="shared" si="28"/>
        <v/>
      </c>
      <c r="AK373" s="17" t="s">
        <v>11</v>
      </c>
      <c r="AL373"/>
      <c r="AM373" t="s">
        <v>17</v>
      </c>
      <c r="AN373" s="169" t="s">
        <v>13</v>
      </c>
      <c r="AO373" s="2">
        <v>20</v>
      </c>
      <c r="AP373" s="2">
        <v>26</v>
      </c>
      <c r="AQ373" s="2">
        <v>30</v>
      </c>
      <c r="AR373" s="2">
        <v>33</v>
      </c>
      <c r="AS373" s="2">
        <v>33.660000000000004</v>
      </c>
      <c r="AT373" s="2">
        <v>34.333200000000005</v>
      </c>
      <c r="AU373" s="2">
        <v>35.019864000000005</v>
      </c>
      <c r="AV373" s="2">
        <v>35.72026128000001</v>
      </c>
      <c r="AW373" s="2">
        <v>36.434666505600013</v>
      </c>
      <c r="AX373" s="2">
        <v>37.163359835712015</v>
      </c>
      <c r="AY373" s="2">
        <v>37.906627032426258</v>
      </c>
      <c r="AZ373" s="7"/>
      <c r="BA373" s="15"/>
      <c r="BB373" s="15"/>
      <c r="BC373" s="15"/>
      <c r="BD373" s="41"/>
      <c r="BE373" s="41"/>
      <c r="BF373" s="41"/>
      <c r="BG373" s="41"/>
      <c r="BH373" s="41"/>
      <c r="BI373" s="41"/>
      <c r="BJ373" s="41"/>
      <c r="BK373" s="41"/>
      <c r="BL373" s="41"/>
      <c r="BM373" s="41"/>
      <c r="BN373" s="41"/>
    </row>
    <row r="374" spans="1:66" s="5" customFormat="1" hidden="1" x14ac:dyDescent="0.25">
      <c r="A374" s="7"/>
      <c r="B374" s="5" t="str">
        <f t="array" ref="B374">IFERROR(INDEX(DemandSupply,MATCH(INDEX($R$1:R374,SMALL(ROW($R$1:R374)+(10000*($R$1:R374="")),COUNTA($R$1:R374))),Sectors,0)),"")</f>
        <v>Supply</v>
      </c>
      <c r="M374" s="7"/>
      <c r="N374" s="76"/>
      <c r="O374" s="77"/>
      <c r="P374" s="77"/>
      <c r="Q374" s="76"/>
      <c r="R374" s="77"/>
      <c r="S374" s="78"/>
      <c r="T374" s="77"/>
      <c r="U374" s="79"/>
      <c r="V374" s="76"/>
      <c r="W374" s="79"/>
      <c r="X374" s="76"/>
      <c r="Y374" s="79"/>
      <c r="Z374" s="76"/>
      <c r="AA374" s="79"/>
      <c r="AB374" s="76"/>
      <c r="AC374" s="79"/>
      <c r="AD374" s="76"/>
      <c r="AE374" s="79"/>
      <c r="AF374" s="76"/>
      <c r="AG374" s="79"/>
      <c r="AH374" s="76"/>
      <c r="AI374" s="7"/>
      <c r="AJ374" s="27" t="str">
        <f t="shared" si="28"/>
        <v/>
      </c>
      <c r="AK374" s="17" t="s">
        <v>11</v>
      </c>
      <c r="AL374"/>
      <c r="AM374" t="s">
        <v>17</v>
      </c>
      <c r="AN374" s="169" t="s">
        <v>14</v>
      </c>
      <c r="AO374" s="2">
        <v>11</v>
      </c>
      <c r="AP374" s="2">
        <v>7</v>
      </c>
      <c r="AQ374" s="2">
        <v>4</v>
      </c>
      <c r="AR374" s="2">
        <v>6</v>
      </c>
      <c r="AS374" s="2">
        <v>6.12</v>
      </c>
      <c r="AT374" s="2">
        <v>6.2423999999999999</v>
      </c>
      <c r="AU374" s="2">
        <v>6.367248</v>
      </c>
      <c r="AV374" s="2">
        <v>6.4945929600000003</v>
      </c>
      <c r="AW374" s="2">
        <v>6.6244848192000001</v>
      </c>
      <c r="AX374" s="2">
        <v>6.756974515584</v>
      </c>
      <c r="AY374" s="2">
        <v>6.8921140058956798</v>
      </c>
      <c r="AZ374" s="7"/>
      <c r="BA374" s="15"/>
      <c r="BB374" s="15"/>
      <c r="BC374" s="15"/>
      <c r="BD374" s="41"/>
      <c r="BE374" s="41"/>
      <c r="BF374" s="41"/>
      <c r="BG374" s="41"/>
      <c r="BH374" s="41"/>
      <c r="BI374" s="41"/>
      <c r="BJ374" s="41"/>
      <c r="BK374" s="41"/>
      <c r="BL374" s="41"/>
      <c r="BM374" s="41"/>
      <c r="BN374" s="41"/>
    </row>
    <row r="375" spans="1:66" s="5" customFormat="1" hidden="1" x14ac:dyDescent="0.25">
      <c r="A375" s="7"/>
      <c r="B375" s="5" t="str">
        <f t="array" ref="B375">IFERROR(INDEX(DemandSupply,MATCH(INDEX($R$1:R375,SMALL(ROW($R$1:R375)+(10000*($R$1:R375="")),COUNTA($R$1:R375))),Sectors,0)),"")</f>
        <v>Supply</v>
      </c>
      <c r="M375" s="7"/>
      <c r="N375" s="76"/>
      <c r="O375" s="77"/>
      <c r="P375" s="77"/>
      <c r="Q375" s="76"/>
      <c r="R375" s="77"/>
      <c r="S375" s="78"/>
      <c r="T375" s="77"/>
      <c r="U375" s="79"/>
      <c r="V375" s="76"/>
      <c r="W375" s="79"/>
      <c r="X375" s="76"/>
      <c r="Y375" s="79"/>
      <c r="Z375" s="76"/>
      <c r="AA375" s="79"/>
      <c r="AB375" s="76"/>
      <c r="AC375" s="79"/>
      <c r="AD375" s="76"/>
      <c r="AE375" s="79"/>
      <c r="AF375" s="76"/>
      <c r="AG375" s="79"/>
      <c r="AH375" s="76"/>
      <c r="AI375" s="7"/>
      <c r="AJ375" s="27" t="str">
        <f t="shared" si="28"/>
        <v/>
      </c>
      <c r="AK375" s="17" t="s">
        <v>11</v>
      </c>
      <c r="AL375"/>
      <c r="AM375" t="s">
        <v>17</v>
      </c>
      <c r="AN375" s="169" t="s">
        <v>2</v>
      </c>
      <c r="AO375" s="2">
        <v>22</v>
      </c>
      <c r="AP375" s="2"/>
      <c r="AQ375" s="2"/>
      <c r="AR375" s="2"/>
      <c r="AS375" s="2"/>
      <c r="AT375" s="2"/>
      <c r="AU375" s="2"/>
      <c r="AV375" s="2"/>
      <c r="AW375" s="2"/>
      <c r="AX375" s="2"/>
      <c r="AY375" s="2"/>
      <c r="AZ375" s="7"/>
      <c r="BA375" s="15"/>
      <c r="BB375" s="15"/>
      <c r="BC375" s="15"/>
      <c r="BD375" s="41"/>
      <c r="BE375" s="41"/>
      <c r="BF375" s="41"/>
      <c r="BG375" s="41"/>
      <c r="BH375" s="41"/>
      <c r="BI375" s="41"/>
      <c r="BJ375" s="41"/>
      <c r="BK375" s="41"/>
      <c r="BL375" s="41"/>
      <c r="BM375" s="41"/>
      <c r="BN375" s="41"/>
    </row>
    <row r="376" spans="1:66" s="5" customFormat="1" hidden="1" x14ac:dyDescent="0.25">
      <c r="A376" s="7"/>
      <c r="B376" s="5" t="str">
        <f t="array" ref="B376">IFERROR(INDEX(DemandSupply,MATCH(INDEX($R$1:R376,SMALL(ROW($R$1:R376)+(10000*($R$1:R376="")),COUNTA($R$1:R376))),Sectors,0)),"")</f>
        <v>Supply</v>
      </c>
      <c r="M376" s="7"/>
      <c r="N376" s="76"/>
      <c r="O376" s="77"/>
      <c r="P376" s="77"/>
      <c r="Q376" s="76"/>
      <c r="R376" s="77"/>
      <c r="S376" s="78"/>
      <c r="T376" s="77"/>
      <c r="U376" s="79"/>
      <c r="V376" s="76"/>
      <c r="W376" s="79"/>
      <c r="X376" s="76"/>
      <c r="Y376" s="79"/>
      <c r="Z376" s="76"/>
      <c r="AA376" s="79"/>
      <c r="AB376" s="76"/>
      <c r="AC376" s="79"/>
      <c r="AD376" s="76"/>
      <c r="AE376" s="79"/>
      <c r="AF376" s="76"/>
      <c r="AG376" s="79"/>
      <c r="AH376" s="76"/>
      <c r="AI376" s="7"/>
      <c r="AJ376" s="27" t="str">
        <f t="shared" si="28"/>
        <v/>
      </c>
      <c r="AK376" s="17" t="s">
        <v>11</v>
      </c>
      <c r="AL376"/>
      <c r="AM376" t="s">
        <v>17</v>
      </c>
      <c r="AN376" s="169" t="s">
        <v>15</v>
      </c>
      <c r="AO376" s="2">
        <v>12</v>
      </c>
      <c r="AP376" s="2">
        <v>12</v>
      </c>
      <c r="AQ376" s="2">
        <v>12</v>
      </c>
      <c r="AR376" s="2">
        <v>12</v>
      </c>
      <c r="AS376" s="2">
        <v>12.24</v>
      </c>
      <c r="AT376" s="2">
        <v>12.4848</v>
      </c>
      <c r="AU376" s="2">
        <v>12.734496</v>
      </c>
      <c r="AV376" s="2">
        <v>12.989185920000001</v>
      </c>
      <c r="AW376" s="2">
        <v>13.2489696384</v>
      </c>
      <c r="AX376" s="2">
        <v>13.513949031168</v>
      </c>
      <c r="AY376" s="2">
        <v>13.78422801179136</v>
      </c>
      <c r="AZ376" s="7"/>
      <c r="BA376" s="15"/>
      <c r="BB376" s="15"/>
      <c r="BC376" s="15"/>
      <c r="BD376" s="41"/>
      <c r="BE376" s="41"/>
      <c r="BF376" s="41"/>
      <c r="BG376" s="41"/>
      <c r="BH376" s="41"/>
      <c r="BI376" s="41"/>
      <c r="BJ376" s="41"/>
      <c r="BK376" s="41"/>
      <c r="BL376" s="41"/>
      <c r="BM376" s="41"/>
      <c r="BN376" s="41"/>
    </row>
    <row r="377" spans="1:66" s="5" customFormat="1" hidden="1" x14ac:dyDescent="0.25">
      <c r="A377" s="7"/>
      <c r="B377" s="5" t="str">
        <f t="array" ref="B377">IFERROR(INDEX(DemandSupply,MATCH(INDEX($R$1:R377,SMALL(ROW($R$1:R377)+(10000*($R$1:R377="")),COUNTA($R$1:R377))),Sectors,0)),"")</f>
        <v>Supply</v>
      </c>
      <c r="M377" s="7"/>
      <c r="N377" s="76"/>
      <c r="O377" s="77"/>
      <c r="P377" s="77"/>
      <c r="Q377" s="76"/>
      <c r="R377" s="77"/>
      <c r="S377" s="78"/>
      <c r="T377" s="77"/>
      <c r="U377" s="79"/>
      <c r="V377" s="76"/>
      <c r="W377" s="79"/>
      <c r="X377" s="76"/>
      <c r="Y377" s="79"/>
      <c r="Z377" s="76"/>
      <c r="AA377" s="79"/>
      <c r="AB377" s="76"/>
      <c r="AC377" s="79"/>
      <c r="AD377" s="76"/>
      <c r="AE377" s="79"/>
      <c r="AF377" s="76"/>
      <c r="AG377" s="79"/>
      <c r="AH377" s="76"/>
      <c r="AI377" s="7"/>
      <c r="AJ377" s="27" t="str">
        <f t="shared" si="28"/>
        <v/>
      </c>
      <c r="AK377" t="s">
        <v>11</v>
      </c>
      <c r="AL377"/>
      <c r="AM377" t="s">
        <v>18</v>
      </c>
      <c r="AN377" s="169" t="s">
        <v>19</v>
      </c>
      <c r="AO377" s="2">
        <v>0</v>
      </c>
      <c r="AP377" s="2">
        <v>0</v>
      </c>
      <c r="AQ377" s="2">
        <v>0</v>
      </c>
      <c r="AR377" s="2">
        <v>0</v>
      </c>
      <c r="AS377" s="2">
        <v>20</v>
      </c>
      <c r="AT377" s="2">
        <v>50</v>
      </c>
      <c r="AU377" s="2">
        <v>70</v>
      </c>
      <c r="AV377" s="2">
        <v>70</v>
      </c>
      <c r="AW377" s="2">
        <v>70</v>
      </c>
      <c r="AX377" s="2">
        <v>70</v>
      </c>
      <c r="AY377" s="2">
        <v>70</v>
      </c>
      <c r="AZ377" s="7"/>
      <c r="BA377" s="15"/>
      <c r="BB377" s="15"/>
      <c r="BC377" s="15"/>
      <c r="BD377" s="41"/>
      <c r="BE377" s="41"/>
      <c r="BF377" s="41"/>
      <c r="BG377" s="41"/>
      <c r="BH377" s="41"/>
      <c r="BI377" s="41"/>
      <c r="BJ377" s="41"/>
      <c r="BK377" s="41"/>
      <c r="BL377" s="41"/>
      <c r="BM377" s="41"/>
      <c r="BN377" s="41"/>
    </row>
    <row r="378" spans="1:66" s="5" customFormat="1" hidden="1" x14ac:dyDescent="0.25">
      <c r="A378" s="7"/>
      <c r="B378" s="5" t="str">
        <f t="array" ref="B378">IFERROR(INDEX(DemandSupply,MATCH(INDEX($R$1:R378,SMALL(ROW($R$1:R378)+(10000*($R$1:R378="")),COUNTA($R$1:R378))),Sectors,0)),"")</f>
        <v>Supply</v>
      </c>
      <c r="M378" s="7"/>
      <c r="N378" s="76"/>
      <c r="O378" s="77"/>
      <c r="P378" s="77"/>
      <c r="Q378" s="76"/>
      <c r="R378" s="77"/>
      <c r="S378" s="78"/>
      <c r="T378" s="77"/>
      <c r="U378" s="79"/>
      <c r="V378" s="76"/>
      <c r="W378" s="79"/>
      <c r="X378" s="76"/>
      <c r="Y378" s="79"/>
      <c r="Z378" s="76"/>
      <c r="AA378" s="79"/>
      <c r="AB378" s="76"/>
      <c r="AC378" s="79"/>
      <c r="AD378" s="76"/>
      <c r="AE378" s="79"/>
      <c r="AF378" s="76"/>
      <c r="AG378" s="79"/>
      <c r="AH378" s="76"/>
      <c r="AI378" s="7"/>
      <c r="AJ378" s="27" t="str">
        <f t="shared" si="28"/>
        <v/>
      </c>
      <c r="AK378" t="s">
        <v>11</v>
      </c>
      <c r="AL378"/>
      <c r="AM378" t="s">
        <v>18</v>
      </c>
      <c r="AN378" s="169" t="s">
        <v>20</v>
      </c>
      <c r="AO378" s="2">
        <v>0</v>
      </c>
      <c r="AP378" s="2">
        <v>0</v>
      </c>
      <c r="AQ378" s="2">
        <v>0</v>
      </c>
      <c r="AR378" s="2">
        <v>0</v>
      </c>
      <c r="AS378" s="2">
        <v>0</v>
      </c>
      <c r="AT378" s="2">
        <v>0</v>
      </c>
      <c r="AU378" s="2">
        <v>0</v>
      </c>
      <c r="AV378" s="2">
        <v>0</v>
      </c>
      <c r="AW378" s="2">
        <v>0</v>
      </c>
      <c r="AX378" s="2">
        <v>0</v>
      </c>
      <c r="AY378" s="2">
        <v>0</v>
      </c>
      <c r="AZ378" s="7"/>
      <c r="BA378" s="15"/>
      <c r="BB378" s="15"/>
      <c r="BC378" s="15"/>
      <c r="BD378" s="41"/>
      <c r="BE378" s="41"/>
      <c r="BF378" s="41"/>
      <c r="BG378" s="41"/>
      <c r="BH378" s="41"/>
      <c r="BI378" s="41"/>
      <c r="BJ378" s="41"/>
      <c r="BK378" s="41"/>
      <c r="BL378" s="41"/>
      <c r="BM378" s="41"/>
      <c r="BN378" s="41"/>
    </row>
    <row r="379" spans="1:66" s="5" customFormat="1" hidden="1" x14ac:dyDescent="0.25">
      <c r="A379" s="7"/>
      <c r="B379" s="5" t="str">
        <f t="array" ref="B379">IFERROR(INDEX(DemandSupply,MATCH(INDEX($R$1:R379,SMALL(ROW($R$1:R379)+(10000*($R$1:R379="")),COUNTA($R$1:R379))),Sectors,0)),"")</f>
        <v>Supply</v>
      </c>
      <c r="M379" s="7"/>
      <c r="N379" s="76"/>
      <c r="O379" s="77"/>
      <c r="P379" s="77"/>
      <c r="Q379" s="76"/>
      <c r="R379" s="77"/>
      <c r="S379" s="78"/>
      <c r="T379" s="77"/>
      <c r="U379" s="79"/>
      <c r="V379" s="76"/>
      <c r="W379" s="79"/>
      <c r="X379" s="76"/>
      <c r="Y379" s="79"/>
      <c r="Z379" s="76"/>
      <c r="AA379" s="79"/>
      <c r="AB379" s="76"/>
      <c r="AC379" s="79"/>
      <c r="AD379" s="76"/>
      <c r="AE379" s="79"/>
      <c r="AF379" s="76"/>
      <c r="AG379" s="79"/>
      <c r="AH379" s="76"/>
      <c r="AI379" s="7"/>
      <c r="AJ379" s="27" t="str">
        <f t="shared" si="28"/>
        <v/>
      </c>
      <c r="AK379" t="s">
        <v>11</v>
      </c>
      <c r="AL379"/>
      <c r="AM379" t="s">
        <v>18</v>
      </c>
      <c r="AN379" s="169" t="s">
        <v>21</v>
      </c>
      <c r="AO379" s="2">
        <v>0</v>
      </c>
      <c r="AP379" s="2">
        <v>0</v>
      </c>
      <c r="AQ379" s="2">
        <v>0</v>
      </c>
      <c r="AR379" s="2">
        <v>0</v>
      </c>
      <c r="AS379" s="2">
        <v>0</v>
      </c>
      <c r="AT379" s="2">
        <v>0</v>
      </c>
      <c r="AU379" s="2">
        <v>0</v>
      </c>
      <c r="AV379" s="2">
        <v>0</v>
      </c>
      <c r="AW379" s="2">
        <v>0</v>
      </c>
      <c r="AX379" s="2">
        <v>0</v>
      </c>
      <c r="AY379" s="2">
        <v>0</v>
      </c>
      <c r="AZ379" s="7"/>
      <c r="BA379" s="15"/>
      <c r="BB379" s="15"/>
      <c r="BC379" s="15"/>
      <c r="BD379" s="41"/>
      <c r="BE379" s="41"/>
      <c r="BF379" s="41"/>
      <c r="BG379" s="41"/>
      <c r="BH379" s="41"/>
      <c r="BI379" s="41"/>
      <c r="BJ379" s="41"/>
      <c r="BK379" s="41"/>
      <c r="BL379" s="41"/>
      <c r="BM379" s="41"/>
      <c r="BN379" s="41"/>
    </row>
    <row r="380" spans="1:66" s="5" customFormat="1" hidden="1" x14ac:dyDescent="0.25">
      <c r="A380" s="7"/>
      <c r="B380" s="5" t="str">
        <f t="array" ref="B380">IFERROR(INDEX(DemandSupply,MATCH(INDEX($R$1:R380,SMALL(ROW($R$1:R380)+(10000*($R$1:R380="")),COUNTA($R$1:R380))),Sectors,0)),"")</f>
        <v>Supply</v>
      </c>
      <c r="M380" s="7"/>
      <c r="N380" s="76"/>
      <c r="O380" s="77"/>
      <c r="P380" s="77"/>
      <c r="Q380" s="76"/>
      <c r="R380" s="77"/>
      <c r="S380" s="78"/>
      <c r="T380" s="77"/>
      <c r="U380" s="79"/>
      <c r="V380" s="76"/>
      <c r="W380" s="79"/>
      <c r="X380" s="76"/>
      <c r="Y380" s="79"/>
      <c r="Z380" s="76"/>
      <c r="AA380" s="79"/>
      <c r="AB380" s="76"/>
      <c r="AC380" s="79"/>
      <c r="AD380" s="76"/>
      <c r="AE380" s="79"/>
      <c r="AF380" s="76"/>
      <c r="AG380" s="79"/>
      <c r="AH380" s="76"/>
      <c r="AI380" s="7"/>
      <c r="AJ380" s="27" t="str">
        <f t="shared" si="28"/>
        <v/>
      </c>
      <c r="AK380" t="s">
        <v>94</v>
      </c>
      <c r="AL380" t="s">
        <v>145</v>
      </c>
      <c r="AM380" s="3" t="s">
        <v>57</v>
      </c>
      <c r="AN380" s="30"/>
      <c r="AO380" s="2">
        <v>1</v>
      </c>
      <c r="AP380" s="2">
        <v>1</v>
      </c>
      <c r="AQ380" s="2">
        <v>1</v>
      </c>
      <c r="AR380" s="2">
        <v>1</v>
      </c>
      <c r="AS380" s="2">
        <v>1</v>
      </c>
      <c r="AT380" s="2">
        <v>1</v>
      </c>
      <c r="AU380" s="2">
        <v>1</v>
      </c>
      <c r="AV380" s="2">
        <v>1</v>
      </c>
      <c r="AW380" s="2">
        <v>1</v>
      </c>
      <c r="AX380" s="2">
        <v>1</v>
      </c>
      <c r="AY380" s="2">
        <v>1</v>
      </c>
      <c r="AZ380" s="7"/>
      <c r="BA380" s="15"/>
      <c r="BB380" s="15"/>
      <c r="BC380" s="15"/>
      <c r="BD380" s="41"/>
      <c r="BE380" s="41"/>
      <c r="BF380" s="41"/>
      <c r="BG380" s="41"/>
      <c r="BH380" s="41"/>
      <c r="BI380" s="41"/>
      <c r="BJ380" s="41"/>
      <c r="BK380" s="41"/>
      <c r="BL380" s="41"/>
      <c r="BM380" s="41"/>
      <c r="BN380" s="41"/>
    </row>
    <row r="381" spans="1:66" s="5" customFormat="1" x14ac:dyDescent="0.25">
      <c r="A381" s="7"/>
      <c r="B381" s="5" t="str">
        <f t="array" ref="B381">IFERROR(INDEX(DemandSupply,MATCH(INDEX($R$1:R381,SMALL(ROW($R$1:R381)+(10000*($R$1:R381="")),COUNTA($R$1:R381))),Sectors,0)),"")</f>
        <v>Supply</v>
      </c>
      <c r="M381" s="7"/>
      <c r="N381" s="76"/>
      <c r="O381" s="77"/>
      <c r="P381" s="77"/>
      <c r="Q381" s="76"/>
      <c r="R381" s="79"/>
      <c r="S381" s="85"/>
      <c r="T381" s="86"/>
      <c r="U381" s="79"/>
      <c r="V381" s="76"/>
      <c r="W381" s="79"/>
      <c r="X381" s="76"/>
      <c r="Y381" s="79"/>
      <c r="Z381" s="76"/>
      <c r="AA381" s="79"/>
      <c r="AB381" s="76"/>
      <c r="AC381" s="79"/>
      <c r="AD381" s="76"/>
      <c r="AE381" s="79"/>
      <c r="AF381" s="76"/>
      <c r="AG381" s="79"/>
      <c r="AH381" s="76"/>
      <c r="AI381" s="7"/>
      <c r="AJ381" s="27" t="str">
        <f t="shared" si="28"/>
        <v/>
      </c>
      <c r="AN381" s="11"/>
      <c r="AZ381" s="7"/>
      <c r="BA381" s="15"/>
      <c r="BB381" s="15"/>
      <c r="BC381" s="15"/>
      <c r="BD381" s="41"/>
      <c r="BE381" s="41"/>
      <c r="BF381" s="41"/>
      <c r="BG381" s="41"/>
      <c r="BH381" s="41"/>
      <c r="BI381" s="41"/>
      <c r="BJ381" s="41"/>
      <c r="BK381" s="41"/>
      <c r="BL381" s="41"/>
      <c r="BM381" s="41"/>
      <c r="BN381" s="41"/>
    </row>
    <row r="382" spans="1:66" s="5" customFormat="1" x14ac:dyDescent="0.25">
      <c r="A382" s="7"/>
      <c r="B382" s="5" t="str">
        <f t="array" ref="B382">IFERROR(INDEX(DemandSupply,MATCH(INDEX($R$1:R382,SMALL(ROW($R$1:R382)+(10000*($R$1:R382="")),COUNTA($R$1:R382))),Sectors,0)),"")</f>
        <v>Supply</v>
      </c>
      <c r="M382" s="7"/>
      <c r="N382" s="76"/>
      <c r="O382" s="77"/>
      <c r="P382" s="77"/>
      <c r="Q382" s="76"/>
      <c r="R382" s="77"/>
      <c r="S382" s="79"/>
      <c r="T382" s="31" t="s">
        <v>4</v>
      </c>
      <c r="U382" s="77"/>
      <c r="V382" s="77"/>
      <c r="W382" s="77"/>
      <c r="X382" s="76"/>
      <c r="Y382" s="77"/>
      <c r="Z382" s="76"/>
      <c r="AA382" s="77"/>
      <c r="AB382" s="76"/>
      <c r="AC382" s="77"/>
      <c r="AD382" s="76"/>
      <c r="AE382" s="77"/>
      <c r="AF382" s="76"/>
      <c r="AG382" s="77"/>
      <c r="AH382" s="76"/>
      <c r="AI382" s="7"/>
      <c r="AJ382" s="28" t="str">
        <f t="shared" si="28"/>
        <v>Generation</v>
      </c>
      <c r="AN382" s="11"/>
      <c r="AZ382" s="7"/>
      <c r="BA382" s="15"/>
      <c r="BB382" s="15"/>
      <c r="BC382" s="15"/>
      <c r="BD382" s="41"/>
      <c r="BE382" s="41"/>
      <c r="BF382" s="41"/>
      <c r="BG382" s="41"/>
      <c r="BH382" s="41"/>
      <c r="BI382" s="41"/>
      <c r="BJ382" s="41"/>
      <c r="BK382" s="41"/>
      <c r="BL382" s="41"/>
      <c r="BM382" s="41"/>
      <c r="BN382" s="41"/>
    </row>
    <row r="383" spans="1:66" s="5" customFormat="1" x14ac:dyDescent="0.25">
      <c r="A383" s="7"/>
      <c r="M383" s="7"/>
      <c r="N383" s="76"/>
      <c r="O383" s="77"/>
      <c r="P383" s="77"/>
      <c r="Q383" s="76"/>
      <c r="R383" s="77"/>
      <c r="S383" s="79"/>
      <c r="T383" s="170"/>
      <c r="U383" s="77"/>
      <c r="V383" s="77"/>
      <c r="W383" s="77"/>
      <c r="X383" s="76"/>
      <c r="Y383" s="77"/>
      <c r="Z383" s="76"/>
      <c r="AA383" s="77"/>
      <c r="AB383" s="76"/>
      <c r="AC383" s="77"/>
      <c r="AD383" s="76"/>
      <c r="AE383" s="77"/>
      <c r="AF383" s="76"/>
      <c r="AG383" s="77"/>
      <c r="AH383" s="76"/>
      <c r="AI383" s="7"/>
      <c r="AJ383" s="28"/>
      <c r="AK383" s="17" t="s">
        <v>93</v>
      </c>
      <c r="AL383" s="17" t="s">
        <v>145</v>
      </c>
      <c r="AM383" s="17" t="s">
        <v>174</v>
      </c>
      <c r="AN383" s="18" t="s">
        <v>130</v>
      </c>
      <c r="AZ383" s="7"/>
      <c r="BA383" s="15"/>
      <c r="BB383" s="15"/>
      <c r="BC383" s="15"/>
      <c r="BD383" s="41"/>
      <c r="BE383" s="41"/>
      <c r="BF383" s="41"/>
      <c r="BG383" s="41"/>
      <c r="BH383" s="41"/>
      <c r="BI383" s="41"/>
      <c r="BJ383" s="41"/>
      <c r="BK383" s="41"/>
      <c r="BL383" s="41"/>
      <c r="BM383" s="41"/>
      <c r="BN383" s="41"/>
    </row>
    <row r="384" spans="1:66" s="5" customFormat="1" x14ac:dyDescent="0.25">
      <c r="A384" s="7"/>
      <c r="M384" s="7"/>
      <c r="N384" s="76"/>
      <c r="O384" s="77"/>
      <c r="P384" s="77"/>
      <c r="Q384" s="76"/>
      <c r="R384" s="77"/>
      <c r="S384" s="79"/>
      <c r="T384" s="170"/>
      <c r="U384" s="77"/>
      <c r="V384" s="77"/>
      <c r="W384" s="77"/>
      <c r="X384" s="76"/>
      <c r="Y384" s="77"/>
      <c r="Z384" s="76"/>
      <c r="AA384" s="77"/>
      <c r="AB384" s="76"/>
      <c r="AC384" s="77"/>
      <c r="AD384" s="76"/>
      <c r="AE384" s="77"/>
      <c r="AF384" s="76"/>
      <c r="AG384" s="77"/>
      <c r="AH384" s="76"/>
      <c r="AI384" s="7"/>
      <c r="AJ384" s="28"/>
      <c r="AK384" s="17" t="s">
        <v>58</v>
      </c>
      <c r="AL384" s="17"/>
      <c r="AM384" s="17"/>
      <c r="AN384" s="18" t="s">
        <v>24</v>
      </c>
      <c r="AZ384" s="7"/>
      <c r="BA384" s="15"/>
      <c r="BB384" s="15"/>
      <c r="BC384" s="15"/>
      <c r="BD384" s="41"/>
      <c r="BE384" s="41"/>
      <c r="BF384" s="41"/>
      <c r="BG384" s="41"/>
      <c r="BH384" s="41"/>
      <c r="BI384" s="41"/>
      <c r="BJ384" s="41"/>
      <c r="BK384" s="41"/>
      <c r="BL384" s="41"/>
      <c r="BM384" s="41"/>
      <c r="BN384" s="41"/>
    </row>
    <row r="385" spans="1:66" s="5" customFormat="1" x14ac:dyDescent="0.25">
      <c r="A385" s="7"/>
      <c r="M385" s="7"/>
      <c r="N385" s="76"/>
      <c r="O385" s="77"/>
      <c r="P385" s="77"/>
      <c r="Q385" s="76"/>
      <c r="R385" s="77"/>
      <c r="S385" s="79"/>
      <c r="T385" s="170"/>
      <c r="U385" s="77"/>
      <c r="V385" s="77"/>
      <c r="W385" s="77"/>
      <c r="X385" s="76"/>
      <c r="Y385" s="77"/>
      <c r="Z385" s="76"/>
      <c r="AA385" s="77"/>
      <c r="AB385" s="76"/>
      <c r="AC385" s="77"/>
      <c r="AD385" s="76"/>
      <c r="AE385" s="77"/>
      <c r="AF385" s="76"/>
      <c r="AG385" s="77"/>
      <c r="AH385" s="76"/>
      <c r="AI385" s="7"/>
      <c r="AJ385" s="28"/>
      <c r="AK385" s="17" t="s">
        <v>94</v>
      </c>
      <c r="AL385" s="17" t="s">
        <v>219</v>
      </c>
      <c r="AM385" s="17" t="s">
        <v>220</v>
      </c>
      <c r="AN385" s="18" t="s">
        <v>3</v>
      </c>
      <c r="AO385" s="20">
        <v>0.78400000000000003</v>
      </c>
      <c r="AP385" s="20">
        <v>0.78400000000000003</v>
      </c>
      <c r="AQ385" s="20">
        <v>0.78400000000000003</v>
      </c>
      <c r="AR385" s="20">
        <v>0.78400000000000003</v>
      </c>
      <c r="AS385" s="20">
        <v>0.78400000000000003</v>
      </c>
      <c r="AT385" s="20">
        <v>0.78400000000000003</v>
      </c>
      <c r="AU385" s="20">
        <v>0.78400000000000003</v>
      </c>
      <c r="AV385" s="20">
        <v>0.78400000000000003</v>
      </c>
      <c r="AW385" s="20">
        <v>0.78400000000000003</v>
      </c>
      <c r="AX385" s="20">
        <v>0.78400000000000003</v>
      </c>
      <c r="AY385" s="20">
        <v>0.78400000000000003</v>
      </c>
      <c r="AZ385" s="7"/>
      <c r="BA385" s="15"/>
      <c r="BB385" s="15"/>
      <c r="BC385" s="15"/>
      <c r="BD385" s="41"/>
      <c r="BE385" s="41"/>
      <c r="BF385" s="41"/>
      <c r="BG385" s="41"/>
      <c r="BH385" s="41"/>
      <c r="BI385" s="41"/>
      <c r="BJ385" s="41"/>
      <c r="BK385" s="41"/>
      <c r="BL385" s="41"/>
      <c r="BM385" s="41"/>
      <c r="BN385" s="41"/>
    </row>
    <row r="386" spans="1:66" s="5" customFormat="1" x14ac:dyDescent="0.25">
      <c r="A386" s="7"/>
      <c r="M386" s="7"/>
      <c r="N386" s="76"/>
      <c r="O386" s="77"/>
      <c r="P386" s="77"/>
      <c r="Q386" s="76"/>
      <c r="R386" s="77"/>
      <c r="S386" s="79"/>
      <c r="T386" s="170"/>
      <c r="U386" s="77"/>
      <c r="V386" s="77"/>
      <c r="W386" s="77"/>
      <c r="X386" s="76"/>
      <c r="Y386" s="77"/>
      <c r="Z386" s="76"/>
      <c r="AA386" s="77"/>
      <c r="AB386" s="76"/>
      <c r="AC386" s="77"/>
      <c r="AD386" s="76"/>
      <c r="AE386" s="77"/>
      <c r="AF386" s="76"/>
      <c r="AG386" s="77"/>
      <c r="AH386" s="76"/>
      <c r="AI386" s="7"/>
      <c r="AJ386" s="28"/>
      <c r="AK386" s="17" t="s">
        <v>94</v>
      </c>
      <c r="AL386" s="17" t="s">
        <v>221</v>
      </c>
      <c r="AM386" s="17" t="s">
        <v>220</v>
      </c>
      <c r="AN386" s="18" t="s">
        <v>223</v>
      </c>
      <c r="AO386" s="20">
        <v>0.16200000000000001</v>
      </c>
      <c r="AP386" s="20">
        <v>0.16200000000000001</v>
      </c>
      <c r="AQ386" s="20">
        <v>0.16200000000000001</v>
      </c>
      <c r="AR386" s="20">
        <v>0.16200000000000001</v>
      </c>
      <c r="AS386" s="20">
        <v>0.16200000000000001</v>
      </c>
      <c r="AT386" s="20">
        <v>0.16200000000000001</v>
      </c>
      <c r="AU386" s="20">
        <v>0.16200000000000001</v>
      </c>
      <c r="AV386" s="20">
        <v>0.16200000000000001</v>
      </c>
      <c r="AW386" s="20">
        <v>0.16200000000000001</v>
      </c>
      <c r="AX386" s="20">
        <v>0.16200000000000001</v>
      </c>
      <c r="AY386" s="20">
        <v>0.16200000000000001</v>
      </c>
      <c r="AZ386" s="7"/>
      <c r="BA386" s="15"/>
      <c r="BB386" s="15"/>
      <c r="BC386" s="15"/>
      <c r="BD386" s="41"/>
      <c r="BE386" s="41"/>
      <c r="BF386" s="41"/>
      <c r="BG386" s="41"/>
      <c r="BH386" s="41"/>
      <c r="BI386" s="41"/>
      <c r="BJ386" s="41"/>
      <c r="BK386" s="41"/>
      <c r="BL386" s="41"/>
      <c r="BM386" s="41"/>
      <c r="BN386" s="41"/>
    </row>
    <row r="387" spans="1:66" s="5" customFormat="1" x14ac:dyDescent="0.25">
      <c r="A387" s="7"/>
      <c r="M387" s="7"/>
      <c r="N387" s="76"/>
      <c r="O387" s="77"/>
      <c r="P387" s="77"/>
      <c r="Q387" s="76"/>
      <c r="R387" s="77"/>
      <c r="S387" s="79"/>
      <c r="T387" s="170"/>
      <c r="U387" s="77"/>
      <c r="V387" s="77"/>
      <c r="W387" s="77"/>
      <c r="X387" s="76"/>
      <c r="Y387" s="77"/>
      <c r="Z387" s="76"/>
      <c r="AA387" s="77"/>
      <c r="AB387" s="76"/>
      <c r="AC387" s="77"/>
      <c r="AD387" s="76"/>
      <c r="AE387" s="77"/>
      <c r="AF387" s="76"/>
      <c r="AG387" s="77"/>
      <c r="AH387" s="76"/>
      <c r="AI387" s="7"/>
      <c r="AJ387" s="28"/>
      <c r="AK387" s="17" t="s">
        <v>94</v>
      </c>
      <c r="AL387" s="17" t="s">
        <v>222</v>
      </c>
      <c r="AM387" s="17" t="s">
        <v>220</v>
      </c>
      <c r="AN387" s="18" t="s">
        <v>224</v>
      </c>
      <c r="AO387" s="20">
        <v>5.3999999999999999E-2</v>
      </c>
      <c r="AP387" s="20">
        <v>5.3999999999999999E-2</v>
      </c>
      <c r="AQ387" s="20">
        <v>5.3999999999999999E-2</v>
      </c>
      <c r="AR387" s="20">
        <v>5.3999999999999999E-2</v>
      </c>
      <c r="AS387" s="20">
        <v>5.3999999999999999E-2</v>
      </c>
      <c r="AT387" s="20">
        <v>5.3999999999999999E-2</v>
      </c>
      <c r="AU387" s="20">
        <v>5.3999999999999999E-2</v>
      </c>
      <c r="AV387" s="20">
        <v>5.3999999999999999E-2</v>
      </c>
      <c r="AW387" s="20">
        <v>5.3999999999999999E-2</v>
      </c>
      <c r="AX387" s="20">
        <v>5.3999999999999999E-2</v>
      </c>
      <c r="AY387" s="20">
        <v>5.3999999999999999E-2</v>
      </c>
      <c r="AZ387" s="7"/>
      <c r="BA387" s="15"/>
      <c r="BB387" s="15"/>
      <c r="BC387" s="15"/>
      <c r="BD387" s="41"/>
      <c r="BE387" s="41"/>
      <c r="BF387" s="41"/>
      <c r="BG387" s="41"/>
      <c r="BH387" s="41"/>
      <c r="BI387" s="41"/>
      <c r="BJ387" s="41"/>
      <c r="BK387" s="41"/>
      <c r="BL387" s="41"/>
      <c r="BM387" s="41"/>
      <c r="BN387" s="41"/>
    </row>
    <row r="388" spans="1:66" s="5" customFormat="1" x14ac:dyDescent="0.25">
      <c r="A388" s="7"/>
      <c r="B388" s="5" t="str">
        <f t="array" ref="B388">IFERROR(INDEX(DemandSupply,MATCH(INDEX($R$1:R388,SMALL(ROW($R$1:R388)+(10000*($R$1:R388="")),COUNTA($R$1:R388))),Sectors,0)),"")</f>
        <v>Supply</v>
      </c>
      <c r="M388" s="7"/>
      <c r="N388" s="76"/>
      <c r="O388" s="77"/>
      <c r="P388" s="77"/>
      <c r="Q388" s="76"/>
      <c r="R388" s="77"/>
      <c r="S388" s="79"/>
      <c r="T388" s="171"/>
      <c r="U388" s="83"/>
      <c r="V388" s="77"/>
      <c r="W388" s="77"/>
      <c r="X388" s="76"/>
      <c r="Y388" s="77"/>
      <c r="Z388" s="76"/>
      <c r="AA388" s="77"/>
      <c r="AB388" s="76"/>
      <c r="AC388" s="77"/>
      <c r="AD388" s="76"/>
      <c r="AE388" s="77"/>
      <c r="AF388" s="76"/>
      <c r="AG388" s="77"/>
      <c r="AH388" s="76"/>
      <c r="AI388" s="7"/>
      <c r="AJ388" s="27" t="str">
        <f t="shared" si="28"/>
        <v/>
      </c>
      <c r="AN388" s="11"/>
      <c r="AZ388" s="7"/>
      <c r="BA388" s="15"/>
      <c r="BB388" s="15"/>
      <c r="BC388" s="15"/>
      <c r="BD388" s="41"/>
      <c r="BE388" s="41"/>
      <c r="BF388" s="41"/>
      <c r="BG388" s="41"/>
      <c r="BH388" s="41"/>
      <c r="BI388" s="41"/>
      <c r="BJ388" s="41"/>
      <c r="BK388" s="41"/>
      <c r="BL388" s="41"/>
      <c r="BM388" s="41"/>
      <c r="BN388" s="41"/>
    </row>
    <row r="389" spans="1:66" s="5" customFormat="1" x14ac:dyDescent="0.25">
      <c r="A389" s="7"/>
      <c r="B389" s="5" t="str">
        <f t="array" ref="B389">IFERROR(INDEX(DemandSupply,MATCH(INDEX($R$1:R389,SMALL(ROW($R$1:R389)+(10000*($R$1:R389="")),COUNTA($R$1:R389))),Sectors,0)),"")</f>
        <v>Supply</v>
      </c>
      <c r="M389" s="7"/>
      <c r="N389" s="76"/>
      <c r="O389" s="77"/>
      <c r="P389" s="77"/>
      <c r="Q389" s="76"/>
      <c r="R389" s="77"/>
      <c r="S389" s="79"/>
      <c r="T389" s="77"/>
      <c r="U389" s="79"/>
      <c r="V389" s="32" t="s">
        <v>3</v>
      </c>
      <c r="W389" s="82"/>
      <c r="X389" s="76"/>
      <c r="Y389" s="77"/>
      <c r="Z389" s="76"/>
      <c r="AA389" s="77"/>
      <c r="AB389" s="76"/>
      <c r="AC389" s="77"/>
      <c r="AD389" s="76"/>
      <c r="AE389" s="77"/>
      <c r="AF389" s="76"/>
      <c r="AG389" s="77"/>
      <c r="AH389" s="76"/>
      <c r="AI389" s="7"/>
      <c r="AJ389" s="28" t="str">
        <f t="shared" si="28"/>
        <v>Base load</v>
      </c>
      <c r="AN389" s="11"/>
      <c r="AZ389" s="7"/>
      <c r="BA389" s="15"/>
      <c r="BB389" s="15"/>
      <c r="BC389" s="15"/>
      <c r="BD389" s="41"/>
      <c r="BE389" s="41"/>
      <c r="BF389" s="41"/>
      <c r="BG389" s="41"/>
      <c r="BH389" s="41"/>
      <c r="BI389" s="41"/>
      <c r="BJ389" s="41"/>
      <c r="BK389" s="41"/>
      <c r="BL389" s="41"/>
      <c r="BM389" s="41"/>
      <c r="BN389" s="41"/>
    </row>
    <row r="390" spans="1:66" s="5" customFormat="1" x14ac:dyDescent="0.25">
      <c r="A390" s="7"/>
      <c r="M390" s="7"/>
      <c r="N390" s="76"/>
      <c r="O390" s="77"/>
      <c r="P390" s="77"/>
      <c r="Q390" s="76"/>
      <c r="R390" s="77"/>
      <c r="S390" s="79"/>
      <c r="T390" s="77"/>
      <c r="U390" s="79"/>
      <c r="V390" s="102"/>
      <c r="W390" s="82"/>
      <c r="X390" s="76"/>
      <c r="Y390" s="77"/>
      <c r="Z390" s="76"/>
      <c r="AA390" s="77"/>
      <c r="AB390" s="76"/>
      <c r="AC390" s="77"/>
      <c r="AD390" s="76"/>
      <c r="AE390" s="77"/>
      <c r="AF390" s="76"/>
      <c r="AG390" s="77"/>
      <c r="AH390" s="76"/>
      <c r="AI390" s="7"/>
      <c r="AJ390" s="28"/>
      <c r="AK390" s="6" t="s">
        <v>93</v>
      </c>
      <c r="AL390" s="3" t="s">
        <v>219</v>
      </c>
      <c r="AM390" s="3"/>
      <c r="AN390" s="18" t="s">
        <v>36</v>
      </c>
      <c r="AO390" s="3"/>
      <c r="AZ390" s="7"/>
      <c r="BA390" s="15"/>
      <c r="BB390" s="15"/>
      <c r="BC390" s="15"/>
      <c r="BD390" s="41"/>
      <c r="BE390" s="41"/>
      <c r="BF390" s="41"/>
      <c r="BG390" s="41"/>
      <c r="BH390" s="41"/>
      <c r="BI390" s="41"/>
      <c r="BJ390" s="41"/>
      <c r="BK390" s="41"/>
      <c r="BL390" s="41"/>
      <c r="BM390" s="41"/>
      <c r="BN390" s="41"/>
    </row>
    <row r="391" spans="1:66" s="5" customFormat="1" x14ac:dyDescent="0.25">
      <c r="A391" s="7"/>
      <c r="M391" s="7"/>
      <c r="N391" s="76"/>
      <c r="O391" s="77"/>
      <c r="P391" s="77"/>
      <c r="Q391" s="76"/>
      <c r="R391" s="77"/>
      <c r="S391" s="79"/>
      <c r="T391" s="77"/>
      <c r="U391" s="79"/>
      <c r="V391" s="102"/>
      <c r="W391" s="82"/>
      <c r="X391" s="76"/>
      <c r="Y391" s="77"/>
      <c r="Z391" s="76"/>
      <c r="AA391" s="77"/>
      <c r="AB391" s="76"/>
      <c r="AC391" s="77"/>
      <c r="AD391" s="76"/>
      <c r="AE391" s="77"/>
      <c r="AF391" s="76"/>
      <c r="AG391" s="77"/>
      <c r="AH391" s="76"/>
      <c r="AI391" s="7"/>
      <c r="AJ391" s="28"/>
      <c r="AK391" s="3" t="s">
        <v>58</v>
      </c>
      <c r="AL391" s="3"/>
      <c r="AM391" s="3"/>
      <c r="AN391" s="18" t="s">
        <v>23</v>
      </c>
      <c r="AO391" s="3"/>
      <c r="AZ391" s="7"/>
      <c r="BA391" s="15"/>
      <c r="BB391" s="15"/>
      <c r="BC391" s="15"/>
      <c r="BD391" s="41"/>
      <c r="BE391" s="41"/>
      <c r="BF391" s="41"/>
      <c r="BG391" s="41"/>
      <c r="BH391" s="41"/>
      <c r="BI391" s="41"/>
      <c r="BJ391" s="41"/>
      <c r="BK391" s="41"/>
      <c r="BL391" s="41"/>
      <c r="BM391" s="41"/>
      <c r="BN391" s="41"/>
    </row>
    <row r="392" spans="1:66" s="5" customFormat="1" x14ac:dyDescent="0.25">
      <c r="A392" s="7"/>
      <c r="M392" s="7"/>
      <c r="N392" s="76"/>
      <c r="O392" s="77"/>
      <c r="P392" s="77"/>
      <c r="Q392" s="76"/>
      <c r="R392" s="77"/>
      <c r="S392" s="79"/>
      <c r="T392" s="77"/>
      <c r="U392" s="79"/>
      <c r="V392" s="102"/>
      <c r="W392" s="82"/>
      <c r="X392" s="76"/>
      <c r="Y392" s="77"/>
      <c r="Z392" s="76"/>
      <c r="AA392" s="77"/>
      <c r="AB392" s="76"/>
      <c r="AC392" s="77"/>
      <c r="AD392" s="76"/>
      <c r="AE392" s="77"/>
      <c r="AF392" s="76"/>
      <c r="AG392" s="77"/>
      <c r="AH392" s="76"/>
      <c r="AI392" s="7"/>
      <c r="AJ392" s="28"/>
      <c r="AK392" s="3" t="s">
        <v>80</v>
      </c>
      <c r="AL392" s="3"/>
      <c r="AM392" s="3"/>
      <c r="AN392" s="18" t="s">
        <v>37</v>
      </c>
      <c r="AO392" s="3">
        <v>10</v>
      </c>
      <c r="AZ392" s="7"/>
      <c r="BA392" s="15"/>
      <c r="BB392" s="15"/>
      <c r="BC392" s="15"/>
      <c r="BD392" s="41"/>
      <c r="BE392" s="41"/>
      <c r="BF392" s="41"/>
      <c r="BG392" s="41"/>
      <c r="BH392" s="41"/>
      <c r="BI392" s="41"/>
      <c r="BJ392" s="41"/>
      <c r="BK392" s="41"/>
      <c r="BL392" s="41"/>
      <c r="BM392" s="41"/>
      <c r="BN392" s="41"/>
    </row>
    <row r="393" spans="1:66" s="5" customFormat="1" x14ac:dyDescent="0.25">
      <c r="A393" s="7"/>
      <c r="M393" s="7"/>
      <c r="N393" s="76"/>
      <c r="O393" s="77"/>
      <c r="P393" s="77"/>
      <c r="Q393" s="76"/>
      <c r="R393" s="77"/>
      <c r="S393" s="79"/>
      <c r="T393" s="77"/>
      <c r="U393" s="79"/>
      <c r="V393" s="102"/>
      <c r="W393" s="82"/>
      <c r="X393" s="76"/>
      <c r="Y393" s="77"/>
      <c r="Z393" s="76"/>
      <c r="AA393" s="77"/>
      <c r="AB393" s="76"/>
      <c r="AC393" s="77"/>
      <c r="AD393" s="76"/>
      <c r="AE393" s="77"/>
      <c r="AF393" s="76"/>
      <c r="AG393" s="77"/>
      <c r="AH393" s="76"/>
      <c r="AI393" s="7"/>
      <c r="AJ393" s="28"/>
      <c r="AK393" s="3" t="s">
        <v>63</v>
      </c>
      <c r="AL393" s="3"/>
      <c r="AM393" s="3"/>
      <c r="AN393" s="18" t="s">
        <v>87</v>
      </c>
      <c r="AO393" s="3"/>
      <c r="AZ393" s="7"/>
      <c r="BA393" s="15"/>
      <c r="BB393" s="15"/>
      <c r="BC393" s="15"/>
      <c r="BD393" s="41"/>
      <c r="BE393" s="41"/>
      <c r="BF393" s="41"/>
      <c r="BG393" s="41"/>
      <c r="BH393" s="41"/>
      <c r="BI393" s="41"/>
      <c r="BJ393" s="41"/>
      <c r="BK393" s="41"/>
      <c r="BL393" s="41"/>
      <c r="BM393" s="41"/>
      <c r="BN393" s="41"/>
    </row>
    <row r="394" spans="1:66" s="5" customFormat="1" x14ac:dyDescent="0.25">
      <c r="A394" s="7"/>
      <c r="M394" s="7"/>
      <c r="N394" s="76"/>
      <c r="O394" s="77"/>
      <c r="P394" s="77"/>
      <c r="Q394" s="76"/>
      <c r="R394" s="77"/>
      <c r="S394" s="79"/>
      <c r="T394" s="77"/>
      <c r="U394" s="79"/>
      <c r="V394" s="102"/>
      <c r="W394" s="82"/>
      <c r="X394" s="76"/>
      <c r="Y394" s="77"/>
      <c r="Z394" s="76"/>
      <c r="AA394" s="77"/>
      <c r="AB394" s="76"/>
      <c r="AC394" s="77"/>
      <c r="AD394" s="76"/>
      <c r="AE394" s="77"/>
      <c r="AF394" s="76"/>
      <c r="AG394" s="77"/>
      <c r="AH394" s="76"/>
      <c r="AI394" s="7"/>
      <c r="AJ394" s="28"/>
      <c r="AK394" s="3" t="s">
        <v>41</v>
      </c>
      <c r="AL394" s="3"/>
      <c r="AM394" s="3" t="s">
        <v>43</v>
      </c>
      <c r="AN394" s="18" t="s">
        <v>87</v>
      </c>
      <c r="AO394" s="3">
        <v>2000</v>
      </c>
      <c r="AZ394" s="7"/>
      <c r="BA394" s="15"/>
      <c r="BB394" s="15"/>
      <c r="BC394" s="15"/>
      <c r="BD394" s="41"/>
      <c r="BE394" s="41"/>
      <c r="BF394" s="41"/>
      <c r="BG394" s="41"/>
      <c r="BH394" s="41"/>
      <c r="BI394" s="41"/>
      <c r="BJ394" s="41"/>
      <c r="BK394" s="41"/>
      <c r="BL394" s="41"/>
      <c r="BM394" s="41"/>
      <c r="BN394" s="41"/>
    </row>
    <row r="395" spans="1:66" s="5" customFormat="1" x14ac:dyDescent="0.25">
      <c r="A395" s="7"/>
      <c r="M395" s="7"/>
      <c r="N395" s="76"/>
      <c r="O395" s="77"/>
      <c r="P395" s="77"/>
      <c r="Q395" s="76"/>
      <c r="R395" s="77"/>
      <c r="S395" s="79"/>
      <c r="T395" s="77"/>
      <c r="U395" s="79"/>
      <c r="V395" s="102"/>
      <c r="W395" s="82"/>
      <c r="X395" s="76"/>
      <c r="Y395" s="77"/>
      <c r="Z395" s="76"/>
      <c r="AA395" s="77"/>
      <c r="AB395" s="76"/>
      <c r="AC395" s="77"/>
      <c r="AD395" s="76"/>
      <c r="AE395" s="77"/>
      <c r="AF395" s="76"/>
      <c r="AG395" s="77"/>
      <c r="AH395" s="76"/>
      <c r="AI395" s="7"/>
      <c r="AJ395" s="28"/>
      <c r="AK395" s="3" t="s">
        <v>40</v>
      </c>
      <c r="AL395" s="3"/>
      <c r="AM395" s="3" t="s">
        <v>43</v>
      </c>
      <c r="AN395" s="18" t="s">
        <v>87</v>
      </c>
      <c r="AO395" s="3">
        <v>2100</v>
      </c>
      <c r="AZ395" s="7"/>
      <c r="BA395" s="15"/>
      <c r="BB395" s="15"/>
      <c r="BC395" s="15"/>
      <c r="BD395" s="41"/>
      <c r="BE395" s="41"/>
      <c r="BF395" s="41"/>
      <c r="BG395" s="41"/>
      <c r="BH395" s="41"/>
      <c r="BI395" s="41"/>
      <c r="BJ395" s="41"/>
      <c r="BK395" s="41"/>
      <c r="BL395" s="41"/>
      <c r="BM395" s="41"/>
      <c r="BN395" s="41"/>
    </row>
    <row r="396" spans="1:66" s="5" customFormat="1" x14ac:dyDescent="0.25">
      <c r="A396" s="7"/>
      <c r="M396" s="7"/>
      <c r="N396" s="76"/>
      <c r="O396" s="77"/>
      <c r="P396" s="77"/>
      <c r="Q396" s="76"/>
      <c r="R396" s="77"/>
      <c r="S396" s="79"/>
      <c r="T396" s="77"/>
      <c r="U396" s="79"/>
      <c r="V396" s="102"/>
      <c r="W396" s="82"/>
      <c r="X396" s="76"/>
      <c r="Y396" s="77"/>
      <c r="Z396" s="76"/>
      <c r="AA396" s="77"/>
      <c r="AB396" s="76"/>
      <c r="AC396" s="77"/>
      <c r="AD396" s="76"/>
      <c r="AE396" s="77"/>
      <c r="AF396" s="76"/>
      <c r="AG396" s="77"/>
      <c r="AH396" s="76"/>
      <c r="AI396" s="7"/>
      <c r="AJ396" s="28"/>
      <c r="AK396" s="3" t="s">
        <v>95</v>
      </c>
      <c r="AL396" s="3" t="s">
        <v>225</v>
      </c>
      <c r="AM396" s="3" t="s">
        <v>17</v>
      </c>
      <c r="AN396" s="18" t="s">
        <v>87</v>
      </c>
      <c r="AO396" s="23" t="e">
        <f>AO401*((AO463*AO462/(1-(1+AO462)^(-AO461))+SUM(#REF!))*#REF!+(#REF!*#REF!/(1-(1+#REF!)^(-#REF!))+SUM(#REF!))*#REF!+(#REF!*#REF!/(1-(1+#REF!)^(-#REF!))+SUM(AO464:AO464))*AO468+(AO474*AO473/(1-(1+AO473)^(-AO472))+SUM(AO475:AO477))*AO481)</f>
        <v>#DIV/0!</v>
      </c>
      <c r="AZ396" s="7"/>
      <c r="BA396" s="15"/>
      <c r="BB396" s="15"/>
      <c r="BC396" s="15"/>
      <c r="BD396" s="41"/>
      <c r="BE396" s="41"/>
      <c r="BF396" s="41"/>
      <c r="BG396" s="41"/>
      <c r="BH396" s="41"/>
      <c r="BI396" s="41"/>
      <c r="BJ396" s="41"/>
      <c r="BK396" s="41"/>
      <c r="BL396" s="41"/>
      <c r="BM396" s="41"/>
      <c r="BN396" s="41"/>
    </row>
    <row r="397" spans="1:66" s="5" customFormat="1" x14ac:dyDescent="0.25">
      <c r="A397" s="7"/>
      <c r="M397" s="7"/>
      <c r="N397" s="76"/>
      <c r="O397" s="77"/>
      <c r="P397" s="77"/>
      <c r="Q397" s="76"/>
      <c r="R397" s="77"/>
      <c r="S397" s="79"/>
      <c r="T397" s="77"/>
      <c r="U397" s="79"/>
      <c r="V397" s="102"/>
      <c r="W397" s="82"/>
      <c r="X397" s="76"/>
      <c r="Y397" s="77"/>
      <c r="Z397" s="76"/>
      <c r="AA397" s="77"/>
      <c r="AB397" s="76"/>
      <c r="AC397" s="77"/>
      <c r="AD397" s="76"/>
      <c r="AE397" s="77"/>
      <c r="AF397" s="76"/>
      <c r="AG397" s="77"/>
      <c r="AH397" s="76"/>
      <c r="AI397" s="7"/>
      <c r="AJ397" s="28"/>
      <c r="AK397" s="3" t="s">
        <v>191</v>
      </c>
      <c r="AL397" s="3"/>
      <c r="AM397" s="3" t="s">
        <v>118</v>
      </c>
      <c r="AN397" s="18" t="s">
        <v>87</v>
      </c>
      <c r="AO397" s="3"/>
      <c r="AZ397" s="7"/>
      <c r="BA397" s="15"/>
      <c r="BB397" s="15"/>
      <c r="BC397" s="15"/>
      <c r="BD397" s="41"/>
      <c r="BE397" s="41"/>
      <c r="BF397" s="41"/>
      <c r="BG397" s="41"/>
      <c r="BH397" s="41"/>
      <c r="BI397" s="41"/>
      <c r="BJ397" s="41"/>
      <c r="BK397" s="41"/>
      <c r="BL397" s="41"/>
      <c r="BM397" s="41"/>
      <c r="BN397" s="41"/>
    </row>
    <row r="398" spans="1:66" s="5" customFormat="1" x14ac:dyDescent="0.25">
      <c r="A398" s="7"/>
      <c r="M398" s="7"/>
      <c r="N398" s="76"/>
      <c r="O398" s="77"/>
      <c r="P398" s="77"/>
      <c r="Q398" s="76"/>
      <c r="R398" s="77"/>
      <c r="S398" s="79"/>
      <c r="T398" s="77"/>
      <c r="U398" s="79"/>
      <c r="V398" s="102"/>
      <c r="W398" s="82"/>
      <c r="X398" s="76"/>
      <c r="Y398" s="77"/>
      <c r="Z398" s="76"/>
      <c r="AA398" s="77"/>
      <c r="AB398" s="76"/>
      <c r="AC398" s="77"/>
      <c r="AD398" s="76"/>
      <c r="AE398" s="77"/>
      <c r="AF398" s="76"/>
      <c r="AG398" s="77"/>
      <c r="AH398" s="76"/>
      <c r="AI398" s="7"/>
      <c r="AJ398" s="28"/>
      <c r="AK398" s="3" t="s">
        <v>192</v>
      </c>
      <c r="AL398" s="3"/>
      <c r="AM398" s="3" t="s">
        <v>118</v>
      </c>
      <c r="AN398" s="18" t="s">
        <v>87</v>
      </c>
      <c r="AO398" s="3"/>
      <c r="AZ398" s="7"/>
      <c r="BA398" s="15"/>
      <c r="BB398" s="15"/>
      <c r="BC398" s="15"/>
      <c r="BD398" s="41"/>
      <c r="BE398" s="41"/>
      <c r="BF398" s="41"/>
      <c r="BG398" s="41"/>
      <c r="BH398" s="41"/>
      <c r="BI398" s="41"/>
      <c r="BJ398" s="41"/>
      <c r="BK398" s="41"/>
      <c r="BL398" s="41"/>
      <c r="BM398" s="41"/>
      <c r="BN398" s="41"/>
    </row>
    <row r="399" spans="1:66" s="5" customFormat="1" x14ac:dyDescent="0.25">
      <c r="A399" s="7"/>
      <c r="M399" s="7"/>
      <c r="N399" s="76"/>
      <c r="O399" s="77"/>
      <c r="P399" s="77"/>
      <c r="Q399" s="76"/>
      <c r="R399" s="77"/>
      <c r="S399" s="79"/>
      <c r="T399" s="77"/>
      <c r="U399" s="79"/>
      <c r="V399" s="102"/>
      <c r="W399" s="82"/>
      <c r="X399" s="76"/>
      <c r="Y399" s="77"/>
      <c r="Z399" s="76"/>
      <c r="AA399" s="77"/>
      <c r="AB399" s="76"/>
      <c r="AC399" s="77"/>
      <c r="AD399" s="76"/>
      <c r="AE399" s="77"/>
      <c r="AF399" s="76"/>
      <c r="AG399" s="77"/>
      <c r="AH399" s="76"/>
      <c r="AI399" s="7"/>
      <c r="AJ399" s="28"/>
      <c r="AK399" s="3" t="s">
        <v>193</v>
      </c>
      <c r="AL399" s="3"/>
      <c r="AM399" s="3" t="s">
        <v>118</v>
      </c>
      <c r="AN399" s="18" t="s">
        <v>87</v>
      </c>
      <c r="AO399" s="3"/>
      <c r="AZ399" s="7"/>
      <c r="BA399" s="15"/>
      <c r="BB399" s="15"/>
      <c r="BC399" s="15"/>
      <c r="BD399" s="41"/>
      <c r="BE399" s="41"/>
      <c r="BF399" s="41"/>
      <c r="BG399" s="41"/>
      <c r="BH399" s="41"/>
      <c r="BI399" s="41"/>
      <c r="BJ399" s="41"/>
      <c r="BK399" s="41"/>
      <c r="BL399" s="41"/>
      <c r="BM399" s="41"/>
      <c r="BN399" s="41"/>
    </row>
    <row r="400" spans="1:66" s="5" customFormat="1" x14ac:dyDescent="0.25">
      <c r="A400" s="7"/>
      <c r="M400" s="7"/>
      <c r="N400" s="76"/>
      <c r="O400" s="77"/>
      <c r="P400" s="77"/>
      <c r="Q400" s="76"/>
      <c r="R400" s="77"/>
      <c r="S400" s="79"/>
      <c r="T400" s="77"/>
      <c r="U400" s="79"/>
      <c r="V400" s="102"/>
      <c r="W400" s="82"/>
      <c r="X400" s="76"/>
      <c r="Y400" s="77"/>
      <c r="Z400" s="76"/>
      <c r="AA400" s="77"/>
      <c r="AB400" s="76"/>
      <c r="AC400" s="77"/>
      <c r="AD400" s="76"/>
      <c r="AE400" s="77"/>
      <c r="AF400" s="76"/>
      <c r="AG400" s="77"/>
      <c r="AH400" s="76"/>
      <c r="AI400" s="7"/>
      <c r="AJ400" s="28"/>
      <c r="AK400" s="3" t="s">
        <v>194</v>
      </c>
      <c r="AL400" s="3"/>
      <c r="AM400" s="3" t="s">
        <v>118</v>
      </c>
      <c r="AN400" s="18" t="s">
        <v>87</v>
      </c>
      <c r="AO400" s="3"/>
      <c r="AZ400" s="7"/>
      <c r="BA400" s="15"/>
      <c r="BB400" s="15"/>
      <c r="BC400" s="15"/>
      <c r="BD400" s="41"/>
      <c r="BE400" s="41"/>
      <c r="BF400" s="41"/>
      <c r="BG400" s="41"/>
      <c r="BH400" s="41"/>
      <c r="BI400" s="41"/>
      <c r="BJ400" s="41"/>
      <c r="BK400" s="41"/>
      <c r="BL400" s="41"/>
      <c r="BM400" s="41"/>
      <c r="BN400" s="41"/>
    </row>
    <row r="401" spans="1:66" s="5" customFormat="1" x14ac:dyDescent="0.25">
      <c r="A401" s="7"/>
      <c r="M401" s="7"/>
      <c r="N401" s="76"/>
      <c r="O401" s="77"/>
      <c r="P401" s="77"/>
      <c r="Q401" s="76"/>
      <c r="R401" s="77"/>
      <c r="S401" s="79"/>
      <c r="T401" s="77"/>
      <c r="U401" s="79"/>
      <c r="V401" s="102"/>
      <c r="W401" s="82"/>
      <c r="X401" s="76"/>
      <c r="Y401" s="77"/>
      <c r="Z401" s="76"/>
      <c r="AA401" s="77"/>
      <c r="AB401" s="76"/>
      <c r="AC401" s="77"/>
      <c r="AD401" s="76"/>
      <c r="AE401" s="77"/>
      <c r="AF401" s="76"/>
      <c r="AG401" s="77"/>
      <c r="AH401" s="76"/>
      <c r="AI401" s="7"/>
      <c r="AJ401" s="28"/>
      <c r="AK401" s="3" t="s">
        <v>94</v>
      </c>
      <c r="AL401" s="3" t="s">
        <v>225</v>
      </c>
      <c r="AM401" s="3" t="s">
        <v>57</v>
      </c>
      <c r="AN401" s="18" t="s">
        <v>87</v>
      </c>
      <c r="AO401" s="22">
        <v>1</v>
      </c>
      <c r="AP401" s="172">
        <f>AO401</f>
        <v>1</v>
      </c>
      <c r="AQ401" s="172">
        <f t="shared" ref="AQ401:AY401" si="29">AP401</f>
        <v>1</v>
      </c>
      <c r="AR401" s="172">
        <f t="shared" si="29"/>
        <v>1</v>
      </c>
      <c r="AS401" s="172">
        <f t="shared" si="29"/>
        <v>1</v>
      </c>
      <c r="AT401" s="172">
        <f t="shared" si="29"/>
        <v>1</v>
      </c>
      <c r="AU401" s="172">
        <f t="shared" si="29"/>
        <v>1</v>
      </c>
      <c r="AV401" s="172">
        <f t="shared" si="29"/>
        <v>1</v>
      </c>
      <c r="AW401" s="172">
        <f t="shared" si="29"/>
        <v>1</v>
      </c>
      <c r="AX401" s="172">
        <f t="shared" si="29"/>
        <v>1</v>
      </c>
      <c r="AY401" s="172">
        <f t="shared" si="29"/>
        <v>1</v>
      </c>
      <c r="AZ401" s="7"/>
      <c r="BA401" s="15"/>
      <c r="BB401" s="15"/>
      <c r="BC401" s="15"/>
      <c r="BD401" s="41"/>
      <c r="BE401" s="41"/>
      <c r="BF401" s="41"/>
      <c r="BG401" s="41"/>
      <c r="BH401" s="41"/>
      <c r="BI401" s="41"/>
      <c r="BJ401" s="41"/>
      <c r="BK401" s="41"/>
      <c r="BL401" s="41"/>
      <c r="BM401" s="41"/>
      <c r="BN401" s="41"/>
    </row>
    <row r="402" spans="1:66" s="5" customFormat="1" x14ac:dyDescent="0.25">
      <c r="A402" s="7"/>
      <c r="M402" s="7"/>
      <c r="N402" s="76"/>
      <c r="O402" s="77"/>
      <c r="P402" s="77"/>
      <c r="Q402" s="76"/>
      <c r="R402" s="77"/>
      <c r="S402" s="79"/>
      <c r="T402" s="77"/>
      <c r="U402" s="79"/>
      <c r="V402" s="102"/>
      <c r="W402" s="82"/>
      <c r="X402" s="76"/>
      <c r="Y402" s="77"/>
      <c r="Z402" s="76"/>
      <c r="AA402" s="77"/>
      <c r="AB402" s="76"/>
      <c r="AC402" s="77"/>
      <c r="AD402" s="76"/>
      <c r="AE402" s="77"/>
      <c r="AF402" s="76"/>
      <c r="AG402" s="77"/>
      <c r="AH402" s="76"/>
      <c r="AI402" s="7"/>
      <c r="AJ402" s="28"/>
      <c r="AK402" s="3" t="s">
        <v>91</v>
      </c>
      <c r="AL402" s="3"/>
      <c r="AM402" s="3" t="s">
        <v>118</v>
      </c>
      <c r="AN402" s="18" t="s">
        <v>87</v>
      </c>
      <c r="AO402" s="22">
        <v>0.98499999999999999</v>
      </c>
      <c r="AZ402" s="7"/>
      <c r="BA402" s="15"/>
      <c r="BB402" s="15"/>
      <c r="BC402" s="15"/>
      <c r="BD402" s="41"/>
      <c r="BE402" s="41"/>
      <c r="BF402" s="41"/>
      <c r="BG402" s="41"/>
      <c r="BH402" s="41"/>
      <c r="BI402" s="41"/>
      <c r="BJ402" s="41"/>
      <c r="BK402" s="41"/>
      <c r="BL402" s="41"/>
      <c r="BM402" s="41"/>
      <c r="BN402" s="41"/>
    </row>
    <row r="403" spans="1:66" s="5" customFormat="1" x14ac:dyDescent="0.25">
      <c r="A403" s="7"/>
      <c r="M403" s="7"/>
      <c r="N403" s="76"/>
      <c r="O403" s="77"/>
      <c r="P403" s="77"/>
      <c r="Q403" s="76"/>
      <c r="R403" s="77"/>
      <c r="S403" s="79"/>
      <c r="T403" s="77"/>
      <c r="U403" s="79"/>
      <c r="V403" s="102"/>
      <c r="W403" s="82"/>
      <c r="X403" s="76"/>
      <c r="Y403" s="77"/>
      <c r="Z403" s="76"/>
      <c r="AA403" s="77"/>
      <c r="AB403" s="76"/>
      <c r="AC403" s="77"/>
      <c r="AD403" s="76"/>
      <c r="AE403" s="77"/>
      <c r="AF403" s="76"/>
      <c r="AG403" s="77"/>
      <c r="AH403" s="76"/>
      <c r="AI403" s="7"/>
      <c r="AJ403" s="28"/>
      <c r="AK403" s="3" t="s">
        <v>63</v>
      </c>
      <c r="AL403" s="3"/>
      <c r="AM403" s="3"/>
      <c r="AN403" s="18" t="s">
        <v>88</v>
      </c>
      <c r="AO403" s="3"/>
      <c r="AZ403" s="7"/>
      <c r="BA403" s="15"/>
      <c r="BB403" s="15"/>
      <c r="BC403" s="15"/>
      <c r="BD403" s="41"/>
      <c r="BE403" s="41"/>
      <c r="BF403" s="41"/>
      <c r="BG403" s="41"/>
      <c r="BH403" s="41"/>
      <c r="BI403" s="41"/>
      <c r="BJ403" s="41"/>
      <c r="BK403" s="41"/>
      <c r="BL403" s="41"/>
      <c r="BM403" s="41"/>
      <c r="BN403" s="41"/>
    </row>
    <row r="404" spans="1:66" s="5" customFormat="1" x14ac:dyDescent="0.25">
      <c r="A404" s="7"/>
      <c r="M404" s="7"/>
      <c r="N404" s="76"/>
      <c r="O404" s="77"/>
      <c r="P404" s="77"/>
      <c r="Q404" s="76"/>
      <c r="R404" s="77"/>
      <c r="S404" s="79"/>
      <c r="T404" s="77"/>
      <c r="U404" s="79"/>
      <c r="V404" s="102"/>
      <c r="W404" s="82"/>
      <c r="X404" s="76"/>
      <c r="Y404" s="77"/>
      <c r="Z404" s="76"/>
      <c r="AA404" s="77"/>
      <c r="AB404" s="76"/>
      <c r="AC404" s="77"/>
      <c r="AD404" s="76"/>
      <c r="AE404" s="77"/>
      <c r="AF404" s="76"/>
      <c r="AG404" s="77"/>
      <c r="AH404" s="76"/>
      <c r="AI404" s="7"/>
      <c r="AJ404" s="28"/>
      <c r="AK404" s="3" t="s">
        <v>41</v>
      </c>
      <c r="AL404" s="3"/>
      <c r="AM404" s="3" t="s">
        <v>43</v>
      </c>
      <c r="AN404" s="18" t="s">
        <v>88</v>
      </c>
      <c r="AO404" s="3">
        <v>2000</v>
      </c>
      <c r="AZ404" s="7"/>
      <c r="BA404" s="15"/>
      <c r="BB404" s="15"/>
      <c r="BC404" s="15"/>
      <c r="BD404" s="41"/>
      <c r="BE404" s="41"/>
      <c r="BF404" s="41"/>
      <c r="BG404" s="41"/>
      <c r="BH404" s="41"/>
      <c r="BI404" s="41"/>
      <c r="BJ404" s="41"/>
      <c r="BK404" s="41"/>
      <c r="BL404" s="41"/>
      <c r="BM404" s="41"/>
      <c r="BN404" s="41"/>
    </row>
    <row r="405" spans="1:66" s="5" customFormat="1" x14ac:dyDescent="0.25">
      <c r="A405" s="7"/>
      <c r="M405" s="7"/>
      <c r="N405" s="76"/>
      <c r="O405" s="77"/>
      <c r="P405" s="77"/>
      <c r="Q405" s="76"/>
      <c r="R405" s="77"/>
      <c r="S405" s="79"/>
      <c r="T405" s="77"/>
      <c r="U405" s="79"/>
      <c r="V405" s="102"/>
      <c r="W405" s="82"/>
      <c r="X405" s="76"/>
      <c r="Y405" s="77"/>
      <c r="Z405" s="76"/>
      <c r="AA405" s="77"/>
      <c r="AB405" s="76"/>
      <c r="AC405" s="77"/>
      <c r="AD405" s="76"/>
      <c r="AE405" s="77"/>
      <c r="AF405" s="76"/>
      <c r="AG405" s="77"/>
      <c r="AH405" s="76"/>
      <c r="AI405" s="7"/>
      <c r="AJ405" s="28"/>
      <c r="AK405" s="3" t="s">
        <v>40</v>
      </c>
      <c r="AL405" s="3"/>
      <c r="AM405" s="3" t="s">
        <v>43</v>
      </c>
      <c r="AN405" s="18" t="s">
        <v>88</v>
      </c>
      <c r="AO405" s="3">
        <v>2100</v>
      </c>
      <c r="AZ405" s="7"/>
      <c r="BA405" s="15"/>
      <c r="BB405" s="15"/>
      <c r="BC405" s="15"/>
      <c r="BD405" s="41"/>
      <c r="BE405" s="41"/>
      <c r="BF405" s="41"/>
      <c r="BG405" s="41"/>
      <c r="BH405" s="41"/>
      <c r="BI405" s="41"/>
      <c r="BJ405" s="41"/>
      <c r="BK405" s="41"/>
      <c r="BL405" s="41"/>
      <c r="BM405" s="41"/>
      <c r="BN405" s="41"/>
    </row>
    <row r="406" spans="1:66" s="5" customFormat="1" x14ac:dyDescent="0.25">
      <c r="A406" s="7"/>
      <c r="M406" s="7"/>
      <c r="N406" s="76"/>
      <c r="O406" s="77"/>
      <c r="P406" s="77"/>
      <c r="Q406" s="76"/>
      <c r="R406" s="77"/>
      <c r="S406" s="79"/>
      <c r="T406" s="77"/>
      <c r="U406" s="79"/>
      <c r="V406" s="102"/>
      <c r="W406" s="82"/>
      <c r="X406" s="76"/>
      <c r="Y406" s="77"/>
      <c r="Z406" s="76"/>
      <c r="AA406" s="77"/>
      <c r="AB406" s="76"/>
      <c r="AC406" s="77"/>
      <c r="AD406" s="76"/>
      <c r="AE406" s="77"/>
      <c r="AF406" s="76"/>
      <c r="AG406" s="77"/>
      <c r="AH406" s="76"/>
      <c r="AI406" s="7"/>
      <c r="AJ406" s="28"/>
      <c r="AK406" s="3" t="s">
        <v>95</v>
      </c>
      <c r="AL406" s="3" t="s">
        <v>225</v>
      </c>
      <c r="AM406" s="3" t="s">
        <v>17</v>
      </c>
      <c r="AN406" s="18" t="s">
        <v>88</v>
      </c>
      <c r="AO406" s="23" t="e">
        <f>AO411*((#REF!*#REF!/(1-(1+#REF!)^(-#REF!))+SUM(#REF!))*#REF!+(#REF!*#REF!/(1-(1+#REF!)^(-#REF!))+SUM(#REF!))*AO465+(AO471*AO470/(1-(1+AO470)^(-AO469))+SUM(AO472:AO474))*AO478+(AO484*AO483/(1-(1+AO483)^(-AO482))+SUM(AO485:AO487))*AO491)</f>
        <v>#REF!</v>
      </c>
      <c r="AZ406" s="7"/>
      <c r="BA406" s="15"/>
      <c r="BB406" s="15"/>
      <c r="BC406" s="15"/>
      <c r="BD406" s="41"/>
      <c r="BE406" s="41"/>
      <c r="BF406" s="41"/>
      <c r="BG406" s="41"/>
      <c r="BH406" s="41"/>
      <c r="BI406" s="41"/>
      <c r="BJ406" s="41"/>
      <c r="BK406" s="41"/>
      <c r="BL406" s="41"/>
      <c r="BM406" s="41"/>
      <c r="BN406" s="41"/>
    </row>
    <row r="407" spans="1:66" s="5" customFormat="1" x14ac:dyDescent="0.25">
      <c r="A407" s="7"/>
      <c r="M407" s="7"/>
      <c r="N407" s="76"/>
      <c r="O407" s="77"/>
      <c r="P407" s="77"/>
      <c r="Q407" s="76"/>
      <c r="R407" s="77"/>
      <c r="S407" s="79"/>
      <c r="T407" s="77"/>
      <c r="U407" s="79"/>
      <c r="V407" s="102"/>
      <c r="W407" s="82"/>
      <c r="X407" s="76"/>
      <c r="Y407" s="77"/>
      <c r="Z407" s="76"/>
      <c r="AA407" s="77"/>
      <c r="AB407" s="76"/>
      <c r="AC407" s="77"/>
      <c r="AD407" s="76"/>
      <c r="AE407" s="77"/>
      <c r="AF407" s="76"/>
      <c r="AG407" s="77"/>
      <c r="AH407" s="76"/>
      <c r="AI407" s="7"/>
      <c r="AJ407" s="28"/>
      <c r="AK407" s="3" t="s">
        <v>191</v>
      </c>
      <c r="AL407" s="3"/>
      <c r="AM407" s="3" t="s">
        <v>118</v>
      </c>
      <c r="AN407" s="18" t="s">
        <v>88</v>
      </c>
      <c r="AO407" s="3"/>
      <c r="AZ407" s="7"/>
      <c r="BA407" s="15"/>
      <c r="BB407" s="15"/>
      <c r="BC407" s="15"/>
      <c r="BD407" s="41"/>
      <c r="BE407" s="41"/>
      <c r="BF407" s="41"/>
      <c r="BG407" s="41"/>
      <c r="BH407" s="41"/>
      <c r="BI407" s="41"/>
      <c r="BJ407" s="41"/>
      <c r="BK407" s="41"/>
      <c r="BL407" s="41"/>
      <c r="BM407" s="41"/>
      <c r="BN407" s="41"/>
    </row>
    <row r="408" spans="1:66" s="5" customFormat="1" x14ac:dyDescent="0.25">
      <c r="A408" s="7"/>
      <c r="M408" s="7"/>
      <c r="N408" s="76"/>
      <c r="O408" s="77"/>
      <c r="P408" s="77"/>
      <c r="Q408" s="76"/>
      <c r="R408" s="77"/>
      <c r="S408" s="79"/>
      <c r="T408" s="77"/>
      <c r="U408" s="79"/>
      <c r="V408" s="102"/>
      <c r="W408" s="82"/>
      <c r="X408" s="76"/>
      <c r="Y408" s="77"/>
      <c r="Z408" s="76"/>
      <c r="AA408" s="77"/>
      <c r="AB408" s="76"/>
      <c r="AC408" s="77"/>
      <c r="AD408" s="76"/>
      <c r="AE408" s="77"/>
      <c r="AF408" s="76"/>
      <c r="AG408" s="77"/>
      <c r="AH408" s="76"/>
      <c r="AI408" s="7"/>
      <c r="AJ408" s="28"/>
      <c r="AK408" s="3" t="s">
        <v>192</v>
      </c>
      <c r="AL408" s="3"/>
      <c r="AM408" s="3" t="s">
        <v>118</v>
      </c>
      <c r="AN408" s="18" t="s">
        <v>88</v>
      </c>
      <c r="AO408" s="3"/>
      <c r="AZ408" s="7"/>
      <c r="BA408" s="15"/>
      <c r="BB408" s="15"/>
      <c r="BC408" s="15"/>
      <c r="BD408" s="41"/>
      <c r="BE408" s="41"/>
      <c r="BF408" s="41"/>
      <c r="BG408" s="41"/>
      <c r="BH408" s="41"/>
      <c r="BI408" s="41"/>
      <c r="BJ408" s="41"/>
      <c r="BK408" s="41"/>
      <c r="BL408" s="41"/>
      <c r="BM408" s="41"/>
      <c r="BN408" s="41"/>
    </row>
    <row r="409" spans="1:66" s="5" customFormat="1" x14ac:dyDescent="0.25">
      <c r="A409" s="7"/>
      <c r="M409" s="7"/>
      <c r="N409" s="76"/>
      <c r="O409" s="77"/>
      <c r="P409" s="77"/>
      <c r="Q409" s="76"/>
      <c r="R409" s="77"/>
      <c r="S409" s="79"/>
      <c r="T409" s="77"/>
      <c r="U409" s="79"/>
      <c r="V409" s="102"/>
      <c r="W409" s="82"/>
      <c r="X409" s="76"/>
      <c r="Y409" s="77"/>
      <c r="Z409" s="76"/>
      <c r="AA409" s="77"/>
      <c r="AB409" s="76"/>
      <c r="AC409" s="77"/>
      <c r="AD409" s="76"/>
      <c r="AE409" s="77"/>
      <c r="AF409" s="76"/>
      <c r="AG409" s="77"/>
      <c r="AH409" s="76"/>
      <c r="AI409" s="7"/>
      <c r="AJ409" s="28"/>
      <c r="AK409" s="3" t="s">
        <v>193</v>
      </c>
      <c r="AL409" s="3"/>
      <c r="AM409" s="3" t="s">
        <v>118</v>
      </c>
      <c r="AN409" s="18" t="s">
        <v>88</v>
      </c>
      <c r="AO409" s="3"/>
      <c r="AZ409" s="7"/>
      <c r="BA409" s="15"/>
      <c r="BB409" s="15"/>
      <c r="BC409" s="15"/>
      <c r="BD409" s="41"/>
      <c r="BE409" s="41"/>
      <c r="BF409" s="41"/>
      <c r="BG409" s="41"/>
      <c r="BH409" s="41"/>
      <c r="BI409" s="41"/>
      <c r="BJ409" s="41"/>
      <c r="BK409" s="41"/>
      <c r="BL409" s="41"/>
      <c r="BM409" s="41"/>
      <c r="BN409" s="41"/>
    </row>
    <row r="410" spans="1:66" s="5" customFormat="1" x14ac:dyDescent="0.25">
      <c r="A410" s="7"/>
      <c r="M410" s="7"/>
      <c r="N410" s="76"/>
      <c r="O410" s="77"/>
      <c r="P410" s="77"/>
      <c r="Q410" s="76"/>
      <c r="R410" s="77"/>
      <c r="S410" s="79"/>
      <c r="T410" s="77"/>
      <c r="U410" s="79"/>
      <c r="V410" s="102"/>
      <c r="W410" s="82"/>
      <c r="X410" s="76"/>
      <c r="Y410" s="77"/>
      <c r="Z410" s="76"/>
      <c r="AA410" s="77"/>
      <c r="AB410" s="76"/>
      <c r="AC410" s="77"/>
      <c r="AD410" s="76"/>
      <c r="AE410" s="77"/>
      <c r="AF410" s="76"/>
      <c r="AG410" s="77"/>
      <c r="AH410" s="76"/>
      <c r="AI410" s="7"/>
      <c r="AJ410" s="28"/>
      <c r="AK410" s="3" t="s">
        <v>194</v>
      </c>
      <c r="AL410" s="3"/>
      <c r="AM410" s="3" t="s">
        <v>118</v>
      </c>
      <c r="AN410" s="18" t="s">
        <v>88</v>
      </c>
      <c r="AO410" s="3"/>
      <c r="AZ410" s="7"/>
      <c r="BA410" s="15"/>
      <c r="BB410" s="15"/>
      <c r="BC410" s="15"/>
      <c r="BD410" s="41"/>
      <c r="BE410" s="41"/>
      <c r="BF410" s="41"/>
      <c r="BG410" s="41"/>
      <c r="BH410" s="41"/>
      <c r="BI410" s="41"/>
      <c r="BJ410" s="41"/>
      <c r="BK410" s="41"/>
      <c r="BL410" s="41"/>
      <c r="BM410" s="41"/>
      <c r="BN410" s="41"/>
    </row>
    <row r="411" spans="1:66" s="5" customFormat="1" x14ac:dyDescent="0.25">
      <c r="A411" s="7"/>
      <c r="M411" s="7"/>
      <c r="N411" s="76"/>
      <c r="O411" s="77"/>
      <c r="P411" s="77"/>
      <c r="Q411" s="76"/>
      <c r="R411" s="77"/>
      <c r="S411" s="79"/>
      <c r="T411" s="77"/>
      <c r="U411" s="79"/>
      <c r="V411" s="102"/>
      <c r="W411" s="82"/>
      <c r="X411" s="76"/>
      <c r="Y411" s="77"/>
      <c r="Z411" s="76"/>
      <c r="AA411" s="77"/>
      <c r="AB411" s="76"/>
      <c r="AC411" s="77"/>
      <c r="AD411" s="76"/>
      <c r="AE411" s="77"/>
      <c r="AF411" s="76"/>
      <c r="AG411" s="77"/>
      <c r="AH411" s="76"/>
      <c r="AI411" s="7"/>
      <c r="AJ411" s="28"/>
      <c r="AK411" s="3" t="s">
        <v>94</v>
      </c>
      <c r="AL411" s="3" t="s">
        <v>225</v>
      </c>
      <c r="AM411" s="3" t="s">
        <v>57</v>
      </c>
      <c r="AN411" s="18" t="s">
        <v>88</v>
      </c>
      <c r="AO411" s="22">
        <v>1</v>
      </c>
      <c r="AP411" s="172">
        <f>AO411</f>
        <v>1</v>
      </c>
      <c r="AQ411" s="172">
        <f t="shared" ref="AQ411:AY411" si="30">AP411</f>
        <v>1</v>
      </c>
      <c r="AR411" s="172">
        <f t="shared" si="30"/>
        <v>1</v>
      </c>
      <c r="AS411" s="172">
        <f t="shared" si="30"/>
        <v>1</v>
      </c>
      <c r="AT411" s="172">
        <f t="shared" si="30"/>
        <v>1</v>
      </c>
      <c r="AU411" s="172">
        <f t="shared" si="30"/>
        <v>1</v>
      </c>
      <c r="AV411" s="172">
        <f t="shared" si="30"/>
        <v>1</v>
      </c>
      <c r="AW411" s="172">
        <f t="shared" si="30"/>
        <v>1</v>
      </c>
      <c r="AX411" s="172">
        <f t="shared" si="30"/>
        <v>1</v>
      </c>
      <c r="AY411" s="172">
        <f t="shared" si="30"/>
        <v>1</v>
      </c>
      <c r="AZ411" s="7"/>
      <c r="BA411" s="15"/>
      <c r="BB411" s="15"/>
      <c r="BC411" s="15"/>
      <c r="BD411" s="41"/>
      <c r="BE411" s="41"/>
      <c r="BF411" s="41"/>
      <c r="BG411" s="41"/>
      <c r="BH411" s="41"/>
      <c r="BI411" s="41"/>
      <c r="BJ411" s="41"/>
      <c r="BK411" s="41"/>
      <c r="BL411" s="41"/>
      <c r="BM411" s="41"/>
      <c r="BN411" s="41"/>
    </row>
    <row r="412" spans="1:66" s="5" customFormat="1" x14ac:dyDescent="0.25">
      <c r="A412" s="7"/>
      <c r="M412" s="7"/>
      <c r="N412" s="76"/>
      <c r="O412" s="77"/>
      <c r="P412" s="77"/>
      <c r="Q412" s="76"/>
      <c r="R412" s="77"/>
      <c r="S412" s="79"/>
      <c r="T412" s="77"/>
      <c r="U412" s="79"/>
      <c r="V412" s="102"/>
      <c r="W412" s="82"/>
      <c r="X412" s="76"/>
      <c r="Y412" s="77"/>
      <c r="Z412" s="76"/>
      <c r="AA412" s="77"/>
      <c r="AB412" s="76"/>
      <c r="AC412" s="77"/>
      <c r="AD412" s="76"/>
      <c r="AE412" s="77"/>
      <c r="AF412" s="76"/>
      <c r="AG412" s="77"/>
      <c r="AH412" s="76"/>
      <c r="AI412" s="7"/>
      <c r="AJ412" s="28"/>
      <c r="AK412" s="3" t="s">
        <v>91</v>
      </c>
      <c r="AL412" s="3"/>
      <c r="AM412" s="3" t="s">
        <v>118</v>
      </c>
      <c r="AN412" s="18" t="s">
        <v>88</v>
      </c>
      <c r="AO412" s="22">
        <v>1.4999999999999999E-2</v>
      </c>
      <c r="AZ412" s="7"/>
      <c r="BA412" s="15"/>
      <c r="BB412" s="15"/>
      <c r="BC412" s="15"/>
      <c r="BD412" s="41"/>
      <c r="BE412" s="41"/>
      <c r="BF412" s="41"/>
      <c r="BG412" s="41"/>
      <c r="BH412" s="41"/>
      <c r="BI412" s="41"/>
      <c r="BJ412" s="41"/>
      <c r="BK412" s="41"/>
      <c r="BL412" s="41"/>
      <c r="BM412" s="41"/>
      <c r="BN412" s="41"/>
    </row>
    <row r="413" spans="1:66" s="5" customFormat="1" x14ac:dyDescent="0.25">
      <c r="A413" s="7"/>
      <c r="B413" s="5" t="str">
        <f t="array" ref="B413">IFERROR(INDEX(DemandSupply,MATCH(INDEX($R$1:R413,SMALL(ROW($R$1:R413)+(10000*($R$1:R413="")),COUNTA($R$1:R413))),Sectors,0)),"")</f>
        <v>Supply</v>
      </c>
      <c r="M413" s="7"/>
      <c r="N413" s="76"/>
      <c r="O413" s="77"/>
      <c r="P413" s="77"/>
      <c r="Q413" s="76"/>
      <c r="R413" s="77"/>
      <c r="S413" s="79"/>
      <c r="T413" s="77"/>
      <c r="U413" s="79"/>
      <c r="V413" s="77"/>
      <c r="W413" s="83"/>
      <c r="X413" s="77"/>
      <c r="Y413" s="77"/>
      <c r="Z413" s="76"/>
      <c r="AA413" s="77"/>
      <c r="AB413" s="76"/>
      <c r="AC413" s="77"/>
      <c r="AD413" s="76"/>
      <c r="AE413" s="77"/>
      <c r="AF413" s="76"/>
      <c r="AG413" s="77"/>
      <c r="AH413" s="76"/>
      <c r="AI413" s="7"/>
      <c r="AJ413" s="27" t="str">
        <f t="shared" si="28"/>
        <v/>
      </c>
      <c r="AN413" s="11"/>
      <c r="AZ413" s="7"/>
      <c r="BA413" s="15"/>
      <c r="BB413" s="15"/>
      <c r="BC413" s="15"/>
      <c r="BD413" s="41"/>
      <c r="BE413" s="41"/>
      <c r="BF413" s="41"/>
      <c r="BG413" s="41"/>
      <c r="BH413" s="41"/>
      <c r="BI413" s="41"/>
      <c r="BJ413" s="41"/>
      <c r="BK413" s="41"/>
      <c r="BL413" s="41"/>
      <c r="BM413" s="41"/>
      <c r="BN413" s="41"/>
    </row>
    <row r="414" spans="1:66" s="5" customFormat="1" x14ac:dyDescent="0.25">
      <c r="A414" s="7"/>
      <c r="B414" s="5" t="str">
        <f t="array" ref="B414">IFERROR(INDEX(DemandSupply,MATCH(INDEX($R$1:R414,SMALL(ROW($R$1:R414)+(10000*($R$1:R414="")),COUNTA($R$1:R414))),Sectors,0)),"")</f>
        <v>Supply</v>
      </c>
      <c r="M414" s="7"/>
      <c r="N414" s="76"/>
      <c r="O414" s="77"/>
      <c r="P414" s="77"/>
      <c r="Q414" s="76"/>
      <c r="R414" s="77"/>
      <c r="S414" s="79"/>
      <c r="T414" s="77"/>
      <c r="U414" s="79"/>
      <c r="V414" s="77"/>
      <c r="W414" s="84"/>
      <c r="X414" s="31" t="s">
        <v>87</v>
      </c>
      <c r="Y414" s="77"/>
      <c r="Z414" s="76"/>
      <c r="AA414" s="77"/>
      <c r="AB414" s="76"/>
      <c r="AC414" s="77"/>
      <c r="AD414" s="76"/>
      <c r="AE414" s="77"/>
      <c r="AF414" s="76"/>
      <c r="AG414" s="77"/>
      <c r="AH414" s="76"/>
      <c r="AI414" s="7"/>
      <c r="AJ414" s="28" t="str">
        <f t="shared" si="28"/>
        <v>Conventional</v>
      </c>
      <c r="AN414" s="11"/>
      <c r="AZ414" s="7"/>
      <c r="BA414" s="15"/>
      <c r="BB414" s="15"/>
      <c r="BC414" s="15"/>
      <c r="BD414" s="41"/>
      <c r="BE414" s="41"/>
      <c r="BF414" s="41"/>
      <c r="BG414" s="41"/>
      <c r="BH414" s="41"/>
      <c r="BI414" s="41"/>
      <c r="BJ414" s="41"/>
      <c r="BK414" s="41"/>
      <c r="BL414" s="41"/>
      <c r="BM414" s="41"/>
      <c r="BN414" s="41"/>
    </row>
    <row r="415" spans="1:66" s="5" customFormat="1" x14ac:dyDescent="0.25">
      <c r="A415" s="7"/>
      <c r="B415" s="5" t="str">
        <f t="array" ref="B415">IFERROR(INDEX(DemandSupply,MATCH(INDEX($R$1:R415,SMALL(ROW($R$1:R415)+(10000*($R$1:R415="")),COUNTA($R$1:R415))),Sectors,0)),"")</f>
        <v>Supply</v>
      </c>
      <c r="M415" s="7"/>
      <c r="N415" s="76"/>
      <c r="O415" s="77"/>
      <c r="P415" s="77"/>
      <c r="Q415" s="76"/>
      <c r="R415" s="77"/>
      <c r="S415" s="79"/>
      <c r="T415" s="77"/>
      <c r="U415" s="79"/>
      <c r="V415" s="77"/>
      <c r="W415" s="82"/>
      <c r="X415" s="76"/>
      <c r="Y415" s="77"/>
      <c r="Z415" s="76"/>
      <c r="AA415" s="77"/>
      <c r="AB415" s="76"/>
      <c r="AC415" s="77"/>
      <c r="AD415" s="76"/>
      <c r="AE415" s="77"/>
      <c r="AF415" s="76"/>
      <c r="AG415" s="77"/>
      <c r="AH415" s="76"/>
      <c r="AI415" s="7"/>
      <c r="AJ415" s="27" t="str">
        <f t="shared" ref="AJ415:AJ462" si="31">IFERROR(INDEX($N415:$AH415,MATCH(TRUE,INDEX(($N415:$AH415&lt;&gt;0),0),0)),"")</f>
        <v/>
      </c>
      <c r="AK415" s="3" t="s">
        <v>93</v>
      </c>
      <c r="AL415" s="3" t="s">
        <v>225</v>
      </c>
      <c r="AM415" s="3"/>
      <c r="AN415" s="18" t="s">
        <v>36</v>
      </c>
      <c r="AO415" s="3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7"/>
      <c r="BA415" s="15"/>
      <c r="BB415" s="15"/>
      <c r="BC415" s="15"/>
      <c r="BD415" s="41"/>
      <c r="BE415" s="41"/>
      <c r="BF415" s="41"/>
      <c r="BG415" s="41"/>
      <c r="BH415" s="41"/>
      <c r="BI415" s="41"/>
      <c r="BJ415" s="41"/>
      <c r="BK415" s="41"/>
      <c r="BL415" s="41"/>
      <c r="BM415" s="41"/>
      <c r="BN415" s="41"/>
    </row>
    <row r="416" spans="1:66" s="5" customFormat="1" x14ac:dyDescent="0.25">
      <c r="A416" s="7"/>
      <c r="M416" s="7"/>
      <c r="N416" s="76"/>
      <c r="O416" s="77"/>
      <c r="P416" s="77"/>
      <c r="Q416" s="76"/>
      <c r="R416" s="77"/>
      <c r="S416" s="79"/>
      <c r="T416" s="77"/>
      <c r="U416" s="79"/>
      <c r="V416" s="77"/>
      <c r="W416" s="82"/>
      <c r="X416" s="76"/>
      <c r="Y416" s="77"/>
      <c r="Z416" s="76"/>
      <c r="AA416" s="77"/>
      <c r="AB416" s="76"/>
      <c r="AC416" s="77"/>
      <c r="AD416" s="76"/>
      <c r="AE416" s="77"/>
      <c r="AF416" s="76"/>
      <c r="AG416" s="77"/>
      <c r="AH416" s="76"/>
      <c r="AI416" s="7"/>
      <c r="AJ416" s="27"/>
      <c r="AK416" s="3" t="s">
        <v>58</v>
      </c>
      <c r="AL416" s="3"/>
      <c r="AM416" s="3"/>
      <c r="AN416" s="18" t="s">
        <v>23</v>
      </c>
      <c r="AO416" s="3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7"/>
      <c r="BA416" s="15"/>
      <c r="BB416" s="15"/>
      <c r="BC416" s="15"/>
      <c r="BD416" s="41"/>
      <c r="BE416" s="41"/>
      <c r="BF416" s="41"/>
      <c r="BG416" s="41"/>
      <c r="BH416" s="41"/>
      <c r="BI416" s="41"/>
      <c r="BJ416" s="41"/>
      <c r="BK416" s="41"/>
      <c r="BL416" s="41"/>
      <c r="BM416" s="41"/>
      <c r="BN416" s="41"/>
    </row>
    <row r="417" spans="1:66" s="5" customFormat="1" x14ac:dyDescent="0.25">
      <c r="A417" s="7"/>
      <c r="M417" s="7"/>
      <c r="N417" s="76"/>
      <c r="O417" s="77"/>
      <c r="P417" s="77"/>
      <c r="Q417" s="76"/>
      <c r="R417" s="77"/>
      <c r="S417" s="79"/>
      <c r="T417" s="77"/>
      <c r="U417" s="79"/>
      <c r="V417" s="77"/>
      <c r="W417" s="82"/>
      <c r="X417" s="76"/>
      <c r="Y417" s="77"/>
      <c r="Z417" s="76"/>
      <c r="AA417" s="77"/>
      <c r="AB417" s="76"/>
      <c r="AC417" s="77"/>
      <c r="AD417" s="76"/>
      <c r="AE417" s="77"/>
      <c r="AF417" s="76"/>
      <c r="AG417" s="77"/>
      <c r="AH417" s="76"/>
      <c r="AI417" s="7"/>
      <c r="AJ417" s="27"/>
      <c r="AK417" s="3" t="s">
        <v>80</v>
      </c>
      <c r="AL417" s="3"/>
      <c r="AM417" s="3"/>
      <c r="AN417" s="18" t="s">
        <v>37</v>
      </c>
      <c r="AO417" s="3">
        <v>10</v>
      </c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7"/>
      <c r="BA417" s="15"/>
      <c r="BB417" s="15"/>
      <c r="BC417" s="15"/>
      <c r="BD417" s="41"/>
      <c r="BE417" s="41"/>
      <c r="BF417" s="41"/>
      <c r="BG417" s="41"/>
      <c r="BH417" s="41"/>
      <c r="BI417" s="41"/>
      <c r="BJ417" s="41"/>
      <c r="BK417" s="41"/>
      <c r="BL417" s="41"/>
      <c r="BM417" s="41"/>
      <c r="BN417" s="41"/>
    </row>
    <row r="418" spans="1:66" s="5" customFormat="1" x14ac:dyDescent="0.25">
      <c r="A418" s="7"/>
      <c r="M418" s="7"/>
      <c r="N418" s="76"/>
      <c r="O418" s="77"/>
      <c r="P418" s="77"/>
      <c r="Q418" s="76"/>
      <c r="R418" s="77"/>
      <c r="S418" s="79"/>
      <c r="T418" s="77"/>
      <c r="U418" s="79"/>
      <c r="V418" s="77"/>
      <c r="W418" s="82"/>
      <c r="X418" s="76"/>
      <c r="Y418" s="77"/>
      <c r="Z418" s="76"/>
      <c r="AA418" s="77"/>
      <c r="AB418" s="76"/>
      <c r="AC418" s="77"/>
      <c r="AD418" s="76"/>
      <c r="AE418" s="77"/>
      <c r="AF418" s="76"/>
      <c r="AG418" s="77"/>
      <c r="AH418" s="76"/>
      <c r="AI418" s="7"/>
      <c r="AJ418" s="27"/>
      <c r="AK418" s="3" t="s">
        <v>61</v>
      </c>
      <c r="AL418" s="3"/>
      <c r="AM418" s="3" t="s">
        <v>118</v>
      </c>
      <c r="AN418" s="18" t="s">
        <v>45</v>
      </c>
      <c r="AO418" s="3">
        <v>0.25</v>
      </c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7"/>
      <c r="BA418" s="15"/>
      <c r="BB418" s="15"/>
      <c r="BC418" s="15"/>
      <c r="BD418" s="41"/>
      <c r="BE418" s="41"/>
      <c r="BF418" s="41"/>
      <c r="BG418" s="41"/>
      <c r="BH418" s="41"/>
      <c r="BI418" s="41"/>
      <c r="BJ418" s="41"/>
      <c r="BK418" s="41"/>
      <c r="BL418" s="41"/>
      <c r="BM418" s="41"/>
      <c r="BN418" s="41"/>
    </row>
    <row r="419" spans="1:66" s="5" customFormat="1" x14ac:dyDescent="0.25">
      <c r="A419" s="7"/>
      <c r="M419" s="7"/>
      <c r="N419" s="76"/>
      <c r="O419" s="77"/>
      <c r="P419" s="77"/>
      <c r="Q419" s="76"/>
      <c r="R419" s="77"/>
      <c r="S419" s="79"/>
      <c r="T419" s="77"/>
      <c r="U419" s="79"/>
      <c r="V419" s="77"/>
      <c r="W419" s="82"/>
      <c r="X419" s="76"/>
      <c r="Y419" s="77"/>
      <c r="Z419" s="76"/>
      <c r="AA419" s="77"/>
      <c r="AB419" s="76"/>
      <c r="AC419" s="77"/>
      <c r="AD419" s="76"/>
      <c r="AE419" s="77"/>
      <c r="AF419" s="76"/>
      <c r="AG419" s="77"/>
      <c r="AH419" s="76"/>
      <c r="AI419" s="7"/>
      <c r="AJ419" s="27"/>
      <c r="AK419" s="3" t="s">
        <v>169</v>
      </c>
      <c r="AL419" s="3"/>
      <c r="AM419" s="3" t="s">
        <v>36</v>
      </c>
      <c r="AN419" s="18"/>
      <c r="AO419" s="173">
        <v>1084203.0413182005</v>
      </c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7"/>
      <c r="BA419" s="15"/>
      <c r="BB419" s="15"/>
      <c r="BC419" s="15"/>
      <c r="BD419" s="41"/>
      <c r="BE419" s="41"/>
      <c r="BF419" s="41"/>
      <c r="BG419" s="41"/>
      <c r="BH419" s="41"/>
      <c r="BI419" s="41"/>
      <c r="BJ419" s="41"/>
      <c r="BK419" s="41"/>
      <c r="BL419" s="41"/>
      <c r="BM419" s="41"/>
      <c r="BN419" s="41"/>
    </row>
    <row r="420" spans="1:66" s="5" customFormat="1" x14ac:dyDescent="0.25">
      <c r="A420" s="7"/>
      <c r="M420" s="7"/>
      <c r="N420" s="76"/>
      <c r="O420" s="77"/>
      <c r="P420" s="77"/>
      <c r="Q420" s="76"/>
      <c r="R420" s="77"/>
      <c r="S420" s="79"/>
      <c r="T420" s="77"/>
      <c r="U420" s="79"/>
      <c r="V420" s="77"/>
      <c r="W420" s="82"/>
      <c r="X420" s="76"/>
      <c r="Y420" s="77"/>
      <c r="Z420" s="76"/>
      <c r="AA420" s="77"/>
      <c r="AB420" s="76"/>
      <c r="AC420" s="77"/>
      <c r="AD420" s="76"/>
      <c r="AE420" s="77"/>
      <c r="AF420" s="76"/>
      <c r="AG420" s="77"/>
      <c r="AH420" s="76"/>
      <c r="AI420" s="7"/>
      <c r="AJ420" s="27"/>
      <c r="AK420" s="3" t="s">
        <v>63</v>
      </c>
      <c r="AL420" s="3"/>
      <c r="AM420" s="3"/>
      <c r="AN420" s="18" t="s">
        <v>226</v>
      </c>
      <c r="AO420" s="3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7"/>
      <c r="BA420" s="15"/>
      <c r="BB420" s="15"/>
      <c r="BC420" s="15"/>
      <c r="BD420" s="41"/>
      <c r="BE420" s="41"/>
      <c r="BF420" s="41"/>
      <c r="BG420" s="41"/>
      <c r="BH420" s="41"/>
      <c r="BI420" s="41"/>
      <c r="BJ420" s="41"/>
      <c r="BK420" s="41"/>
      <c r="BL420" s="41"/>
      <c r="BM420" s="41"/>
      <c r="BN420" s="41"/>
    </row>
    <row r="421" spans="1:66" s="5" customFormat="1" x14ac:dyDescent="0.25">
      <c r="A421" s="7"/>
      <c r="M421" s="7"/>
      <c r="N421" s="76"/>
      <c r="O421" s="77"/>
      <c r="P421" s="77"/>
      <c r="Q421" s="76"/>
      <c r="R421" s="77"/>
      <c r="S421" s="79"/>
      <c r="T421" s="77"/>
      <c r="U421" s="79"/>
      <c r="V421" s="77"/>
      <c r="W421" s="82"/>
      <c r="X421" s="76"/>
      <c r="Y421" s="77"/>
      <c r="Z421" s="76"/>
      <c r="AA421" s="77"/>
      <c r="AB421" s="76"/>
      <c r="AC421" s="77"/>
      <c r="AD421" s="76"/>
      <c r="AE421" s="77"/>
      <c r="AF421" s="76"/>
      <c r="AG421" s="77"/>
      <c r="AH421" s="76"/>
      <c r="AI421" s="7"/>
      <c r="AJ421" s="27"/>
      <c r="AK421" s="3" t="s">
        <v>41</v>
      </c>
      <c r="AL421" s="3"/>
      <c r="AM421" s="3" t="s">
        <v>43</v>
      </c>
      <c r="AN421" s="18" t="s">
        <v>226</v>
      </c>
      <c r="AO421" s="3">
        <v>2000</v>
      </c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7"/>
      <c r="BA421" s="15"/>
      <c r="BB421" s="15"/>
      <c r="BC421" s="15"/>
      <c r="BD421" s="41"/>
      <c r="BE421" s="41"/>
      <c r="BF421" s="41"/>
      <c r="BG421" s="41"/>
      <c r="BH421" s="41"/>
      <c r="BI421" s="41"/>
      <c r="BJ421" s="41"/>
      <c r="BK421" s="41"/>
      <c r="BL421" s="41"/>
      <c r="BM421" s="41"/>
      <c r="BN421" s="41"/>
    </row>
    <row r="422" spans="1:66" s="5" customFormat="1" x14ac:dyDescent="0.25">
      <c r="A422" s="7"/>
      <c r="M422" s="7"/>
      <c r="N422" s="76"/>
      <c r="O422" s="77"/>
      <c r="P422" s="77"/>
      <c r="Q422" s="76"/>
      <c r="R422" s="77"/>
      <c r="S422" s="79"/>
      <c r="T422" s="77"/>
      <c r="U422" s="79"/>
      <c r="V422" s="77"/>
      <c r="W422" s="82"/>
      <c r="X422" s="76"/>
      <c r="Y422" s="77"/>
      <c r="Z422" s="76"/>
      <c r="AA422" s="77"/>
      <c r="AB422" s="76"/>
      <c r="AC422" s="77"/>
      <c r="AD422" s="76"/>
      <c r="AE422" s="77"/>
      <c r="AF422" s="76"/>
      <c r="AG422" s="77"/>
      <c r="AH422" s="76"/>
      <c r="AI422" s="7"/>
      <c r="AJ422" s="27"/>
      <c r="AK422" s="3" t="s">
        <v>40</v>
      </c>
      <c r="AL422" s="3"/>
      <c r="AM422" s="3" t="s">
        <v>43</v>
      </c>
      <c r="AN422" s="18" t="s">
        <v>226</v>
      </c>
      <c r="AO422" s="3">
        <v>2100</v>
      </c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7"/>
      <c r="BA422" s="15"/>
      <c r="BB422" s="15"/>
      <c r="BC422" s="15"/>
      <c r="BD422" s="41"/>
      <c r="BE422" s="41"/>
      <c r="BF422" s="41"/>
      <c r="BG422" s="41"/>
      <c r="BH422" s="41"/>
      <c r="BI422" s="41"/>
      <c r="BJ422" s="41"/>
      <c r="BK422" s="41"/>
      <c r="BL422" s="41"/>
      <c r="BM422" s="41"/>
      <c r="BN422" s="41"/>
    </row>
    <row r="423" spans="1:66" s="5" customFormat="1" x14ac:dyDescent="0.25">
      <c r="A423" s="7"/>
      <c r="M423" s="7"/>
      <c r="N423" s="76"/>
      <c r="O423" s="77"/>
      <c r="P423" s="77"/>
      <c r="Q423" s="76"/>
      <c r="R423" s="77"/>
      <c r="S423" s="79"/>
      <c r="T423" s="77"/>
      <c r="U423" s="79"/>
      <c r="V423" s="77"/>
      <c r="W423" s="82"/>
      <c r="X423" s="76"/>
      <c r="Y423" s="77"/>
      <c r="Z423" s="76"/>
      <c r="AA423" s="77"/>
      <c r="AB423" s="76"/>
      <c r="AC423" s="77"/>
      <c r="AD423" s="76"/>
      <c r="AE423" s="77"/>
      <c r="AF423" s="76"/>
      <c r="AG423" s="77"/>
      <c r="AH423" s="76"/>
      <c r="AI423" s="7"/>
      <c r="AJ423" s="27"/>
      <c r="AK423" s="3" t="s">
        <v>42</v>
      </c>
      <c r="AL423" s="3"/>
      <c r="AM423" s="3" t="s">
        <v>10</v>
      </c>
      <c r="AN423" s="18" t="s">
        <v>226</v>
      </c>
      <c r="AO423" s="3">
        <v>30</v>
      </c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7"/>
      <c r="BA423" s="15"/>
      <c r="BB423" s="15"/>
      <c r="BC423" s="15"/>
      <c r="BD423" s="41"/>
      <c r="BE423" s="41"/>
      <c r="BF423" s="41"/>
      <c r="BG423" s="41"/>
      <c r="BH423" s="41"/>
      <c r="BI423" s="41"/>
      <c r="BJ423" s="41"/>
      <c r="BK423" s="41"/>
      <c r="BL423" s="41"/>
      <c r="BM423" s="41"/>
      <c r="BN423" s="41"/>
    </row>
    <row r="424" spans="1:66" s="5" customFormat="1" x14ac:dyDescent="0.25">
      <c r="A424" s="7"/>
      <c r="M424" s="7"/>
      <c r="N424" s="76"/>
      <c r="O424" s="77"/>
      <c r="P424" s="77"/>
      <c r="Q424" s="76"/>
      <c r="R424" s="77"/>
      <c r="S424" s="79"/>
      <c r="T424" s="77"/>
      <c r="U424" s="79"/>
      <c r="V424" s="77"/>
      <c r="W424" s="82"/>
      <c r="X424" s="76"/>
      <c r="Y424" s="77"/>
      <c r="Z424" s="76"/>
      <c r="AA424" s="77"/>
      <c r="AB424" s="76"/>
      <c r="AC424" s="77"/>
      <c r="AD424" s="76"/>
      <c r="AE424" s="77"/>
      <c r="AF424" s="76"/>
      <c r="AG424" s="77"/>
      <c r="AH424" s="76"/>
      <c r="AI424" s="7"/>
      <c r="AJ424" s="27"/>
      <c r="AK424" s="3" t="s">
        <v>67</v>
      </c>
      <c r="AL424" s="3"/>
      <c r="AM424" s="3" t="s">
        <v>118</v>
      </c>
      <c r="AN424" s="18" t="s">
        <v>226</v>
      </c>
      <c r="AO424" s="3">
        <v>0.125</v>
      </c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7"/>
      <c r="BA424" s="15"/>
      <c r="BB424" s="15"/>
      <c r="BC424" s="15"/>
      <c r="BD424" s="41"/>
      <c r="BE424" s="41"/>
      <c r="BF424" s="41"/>
      <c r="BG424" s="41"/>
      <c r="BH424" s="41"/>
      <c r="BI424" s="41"/>
      <c r="BJ424" s="41"/>
      <c r="BK424" s="41"/>
      <c r="BL424" s="41"/>
      <c r="BM424" s="41"/>
      <c r="BN424" s="41"/>
    </row>
    <row r="425" spans="1:66" s="5" customFormat="1" x14ac:dyDescent="0.25">
      <c r="A425" s="7"/>
      <c r="M425" s="7"/>
      <c r="N425" s="76"/>
      <c r="O425" s="77"/>
      <c r="P425" s="77"/>
      <c r="Q425" s="76"/>
      <c r="R425" s="77"/>
      <c r="S425" s="79"/>
      <c r="T425" s="77"/>
      <c r="U425" s="79"/>
      <c r="V425" s="77"/>
      <c r="W425" s="82"/>
      <c r="X425" s="76"/>
      <c r="Y425" s="77"/>
      <c r="Z425" s="76"/>
      <c r="AA425" s="77"/>
      <c r="AB425" s="76"/>
      <c r="AC425" s="77"/>
      <c r="AD425" s="76"/>
      <c r="AE425" s="77"/>
      <c r="AF425" s="76"/>
      <c r="AG425" s="77"/>
      <c r="AH425" s="76"/>
      <c r="AI425" s="7"/>
      <c r="AJ425" s="27"/>
      <c r="AK425" s="3" t="s">
        <v>38</v>
      </c>
      <c r="AL425" s="3"/>
      <c r="AM425" s="3" t="s">
        <v>17</v>
      </c>
      <c r="AN425" s="18" t="s">
        <v>226</v>
      </c>
      <c r="AO425" s="23">
        <f>AO463/2</f>
        <v>0</v>
      </c>
      <c r="AP425" s="23">
        <f>AO425</f>
        <v>0</v>
      </c>
      <c r="AQ425" s="23">
        <f t="shared" ref="AQ425:AY425" si="32">AP425</f>
        <v>0</v>
      </c>
      <c r="AR425" s="23">
        <f t="shared" si="32"/>
        <v>0</v>
      </c>
      <c r="AS425" s="23">
        <f t="shared" si="32"/>
        <v>0</v>
      </c>
      <c r="AT425" s="23">
        <f t="shared" si="32"/>
        <v>0</v>
      </c>
      <c r="AU425" s="23">
        <f t="shared" si="32"/>
        <v>0</v>
      </c>
      <c r="AV425" s="23">
        <f t="shared" si="32"/>
        <v>0</v>
      </c>
      <c r="AW425" s="23">
        <f t="shared" si="32"/>
        <v>0</v>
      </c>
      <c r="AX425" s="23">
        <f t="shared" si="32"/>
        <v>0</v>
      </c>
      <c r="AY425" s="23">
        <f t="shared" si="32"/>
        <v>0</v>
      </c>
      <c r="AZ425" s="7"/>
      <c r="BA425" s="15"/>
      <c r="BB425" s="15"/>
      <c r="BC425" s="15"/>
      <c r="BD425" s="41"/>
      <c r="BE425" s="41"/>
      <c r="BF425" s="41"/>
      <c r="BG425" s="41"/>
      <c r="BH425" s="41"/>
      <c r="BI425" s="41"/>
      <c r="BJ425" s="41"/>
      <c r="BK425" s="41"/>
      <c r="BL425" s="41"/>
      <c r="BM425" s="41"/>
      <c r="BN425" s="41"/>
    </row>
    <row r="426" spans="1:66" s="5" customFormat="1" x14ac:dyDescent="0.25">
      <c r="A426" s="7"/>
      <c r="M426" s="7"/>
      <c r="N426" s="76"/>
      <c r="O426" s="77"/>
      <c r="P426" s="77"/>
      <c r="Q426" s="76"/>
      <c r="R426" s="77"/>
      <c r="S426" s="79"/>
      <c r="T426" s="77"/>
      <c r="U426" s="79"/>
      <c r="V426" s="77"/>
      <c r="W426" s="82"/>
      <c r="X426" s="76"/>
      <c r="Y426" s="77"/>
      <c r="Z426" s="76"/>
      <c r="AA426" s="77"/>
      <c r="AB426" s="76"/>
      <c r="AC426" s="77"/>
      <c r="AD426" s="76"/>
      <c r="AE426" s="77"/>
      <c r="AF426" s="76"/>
      <c r="AG426" s="77"/>
      <c r="AH426" s="76"/>
      <c r="AI426" s="7"/>
      <c r="AJ426" s="27"/>
      <c r="AK426" s="3" t="s">
        <v>44</v>
      </c>
      <c r="AL426" s="3"/>
      <c r="AM426" s="3" t="s">
        <v>17</v>
      </c>
      <c r="AN426" s="18" t="s">
        <v>226</v>
      </c>
      <c r="AO426" s="3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7"/>
      <c r="BA426" s="15"/>
      <c r="BB426" s="15"/>
      <c r="BC426" s="15"/>
      <c r="BD426" s="41"/>
      <c r="BE426" s="41"/>
      <c r="BF426" s="41"/>
      <c r="BG426" s="41"/>
      <c r="BH426" s="41"/>
      <c r="BI426" s="41"/>
      <c r="BJ426" s="41"/>
      <c r="BK426" s="41"/>
      <c r="BL426" s="41"/>
      <c r="BM426" s="41"/>
      <c r="BN426" s="41"/>
    </row>
    <row r="427" spans="1:66" s="5" customFormat="1" x14ac:dyDescent="0.25">
      <c r="A427" s="7"/>
      <c r="M427" s="7"/>
      <c r="N427" s="76"/>
      <c r="O427" s="77"/>
      <c r="P427" s="77"/>
      <c r="Q427" s="76"/>
      <c r="R427" s="77"/>
      <c r="S427" s="79"/>
      <c r="T427" s="77"/>
      <c r="U427" s="79"/>
      <c r="V427" s="77"/>
      <c r="W427" s="82"/>
      <c r="X427" s="76"/>
      <c r="Y427" s="77"/>
      <c r="Z427" s="76"/>
      <c r="AA427" s="77"/>
      <c r="AB427" s="76"/>
      <c r="AC427" s="77"/>
      <c r="AD427" s="76"/>
      <c r="AE427" s="77"/>
      <c r="AF427" s="76"/>
      <c r="AG427" s="77"/>
      <c r="AH427" s="76"/>
      <c r="AI427" s="7"/>
      <c r="AJ427" s="27"/>
      <c r="AK427" s="3" t="s">
        <v>51</v>
      </c>
      <c r="AL427" s="3"/>
      <c r="AM427" s="3" t="s">
        <v>17</v>
      </c>
      <c r="AN427" s="18" t="s">
        <v>226</v>
      </c>
      <c r="AO427" s="3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7"/>
      <c r="BA427" s="15"/>
      <c r="BB427" s="15"/>
      <c r="BC427" s="15"/>
      <c r="BD427" s="41"/>
      <c r="BE427" s="41"/>
      <c r="BF427" s="41"/>
      <c r="BG427" s="41"/>
      <c r="BH427" s="41"/>
      <c r="BI427" s="41"/>
      <c r="BJ427" s="41"/>
      <c r="BK427" s="41"/>
      <c r="BL427" s="41"/>
      <c r="BM427" s="41"/>
      <c r="BN427" s="41"/>
    </row>
    <row r="428" spans="1:66" s="5" customFormat="1" x14ac:dyDescent="0.25">
      <c r="A428" s="7"/>
      <c r="M428" s="7"/>
      <c r="N428" s="76"/>
      <c r="O428" s="77"/>
      <c r="P428" s="77"/>
      <c r="Q428" s="76"/>
      <c r="R428" s="77"/>
      <c r="S428" s="79"/>
      <c r="T428" s="77"/>
      <c r="U428" s="79"/>
      <c r="V428" s="77"/>
      <c r="W428" s="82"/>
      <c r="X428" s="76"/>
      <c r="Y428" s="77"/>
      <c r="Z428" s="76"/>
      <c r="AA428" s="77"/>
      <c r="AB428" s="76"/>
      <c r="AC428" s="77"/>
      <c r="AD428" s="76"/>
      <c r="AE428" s="77"/>
      <c r="AF428" s="76"/>
      <c r="AG428" s="77"/>
      <c r="AH428" s="76"/>
      <c r="AI428" s="7"/>
      <c r="AJ428" s="27"/>
      <c r="AK428" s="3" t="s">
        <v>95</v>
      </c>
      <c r="AL428" s="95" t="s">
        <v>212</v>
      </c>
      <c r="AM428" s="3" t="s">
        <v>17</v>
      </c>
      <c r="AN428" s="18" t="s">
        <v>226</v>
      </c>
      <c r="AO428" s="23">
        <f>AO429*$AO$23</f>
        <v>18.581759999999999</v>
      </c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7"/>
      <c r="BA428" s="15"/>
      <c r="BB428" s="15"/>
      <c r="BC428" s="15"/>
      <c r="BD428" s="41"/>
      <c r="BE428" s="41"/>
      <c r="BF428" s="41"/>
      <c r="BG428" s="41"/>
      <c r="BH428" s="41"/>
      <c r="BI428" s="41"/>
      <c r="BJ428" s="41"/>
      <c r="BK428" s="41"/>
      <c r="BL428" s="41"/>
      <c r="BM428" s="41"/>
      <c r="BN428" s="41"/>
    </row>
    <row r="429" spans="1:66" s="5" customFormat="1" x14ac:dyDescent="0.25">
      <c r="A429" s="7"/>
      <c r="M429" s="7"/>
      <c r="N429" s="76"/>
      <c r="O429" s="77"/>
      <c r="P429" s="77"/>
      <c r="Q429" s="76"/>
      <c r="R429" s="77"/>
      <c r="S429" s="79"/>
      <c r="T429" s="77"/>
      <c r="U429" s="79"/>
      <c r="V429" s="77"/>
      <c r="W429" s="82"/>
      <c r="X429" s="76"/>
      <c r="Y429" s="77"/>
      <c r="Z429" s="76"/>
      <c r="AA429" s="77"/>
      <c r="AB429" s="76"/>
      <c r="AC429" s="77"/>
      <c r="AD429" s="76"/>
      <c r="AE429" s="77"/>
      <c r="AF429" s="76"/>
      <c r="AG429" s="77"/>
      <c r="AH429" s="76"/>
      <c r="AI429" s="7"/>
      <c r="AJ429" s="27"/>
      <c r="AK429" s="95" t="s">
        <v>94</v>
      </c>
      <c r="AL429" s="95" t="s">
        <v>212</v>
      </c>
      <c r="AM429" s="3" t="s">
        <v>57</v>
      </c>
      <c r="AN429" s="18" t="s">
        <v>226</v>
      </c>
      <c r="AO429" s="3">
        <v>1.613</v>
      </c>
      <c r="AP429" s="22">
        <f>AO429</f>
        <v>1.613</v>
      </c>
      <c r="AQ429" s="22">
        <f t="shared" ref="AQ429:AY429" si="33">AP429</f>
        <v>1.613</v>
      </c>
      <c r="AR429" s="22">
        <f t="shared" si="33"/>
        <v>1.613</v>
      </c>
      <c r="AS429" s="22">
        <f t="shared" si="33"/>
        <v>1.613</v>
      </c>
      <c r="AT429" s="22">
        <f t="shared" si="33"/>
        <v>1.613</v>
      </c>
      <c r="AU429" s="22">
        <f t="shared" si="33"/>
        <v>1.613</v>
      </c>
      <c r="AV429" s="22">
        <f t="shared" si="33"/>
        <v>1.613</v>
      </c>
      <c r="AW429" s="22">
        <f t="shared" si="33"/>
        <v>1.613</v>
      </c>
      <c r="AX429" s="22">
        <f t="shared" si="33"/>
        <v>1.613</v>
      </c>
      <c r="AY429" s="22">
        <f t="shared" si="33"/>
        <v>1.613</v>
      </c>
      <c r="AZ429" s="7"/>
      <c r="BA429" s="15"/>
      <c r="BB429" s="15"/>
      <c r="BC429" s="15"/>
      <c r="BD429" s="41"/>
      <c r="BE429" s="41"/>
      <c r="BF429" s="41"/>
      <c r="BG429" s="41"/>
      <c r="BH429" s="41"/>
      <c r="BI429" s="41"/>
      <c r="BJ429" s="41"/>
      <c r="BK429" s="41"/>
      <c r="BL429" s="41"/>
      <c r="BM429" s="41"/>
      <c r="BN429" s="41"/>
    </row>
    <row r="430" spans="1:66" s="5" customFormat="1" x14ac:dyDescent="0.25">
      <c r="A430" s="7"/>
      <c r="M430" s="7"/>
      <c r="N430" s="76"/>
      <c r="O430" s="77"/>
      <c r="P430" s="77"/>
      <c r="Q430" s="76"/>
      <c r="R430" s="77"/>
      <c r="S430" s="79"/>
      <c r="T430" s="77"/>
      <c r="U430" s="79"/>
      <c r="V430" s="77"/>
      <c r="W430" s="82"/>
      <c r="X430" s="76"/>
      <c r="Y430" s="77"/>
      <c r="Z430" s="76"/>
      <c r="AA430" s="77"/>
      <c r="AB430" s="76"/>
      <c r="AC430" s="77"/>
      <c r="AD430" s="76"/>
      <c r="AE430" s="77"/>
      <c r="AF430" s="76"/>
      <c r="AG430" s="77"/>
      <c r="AH430" s="76"/>
      <c r="AI430" s="7"/>
      <c r="AJ430" s="27"/>
      <c r="AK430" s="3" t="s">
        <v>91</v>
      </c>
      <c r="AL430" s="3"/>
      <c r="AM430" s="3" t="s">
        <v>118</v>
      </c>
      <c r="AN430" s="18" t="s">
        <v>226</v>
      </c>
      <c r="AO430" s="22">
        <v>0.97</v>
      </c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7"/>
      <c r="BA430" s="15"/>
      <c r="BB430" s="15"/>
      <c r="BC430" s="15"/>
      <c r="BD430" s="41"/>
      <c r="BE430" s="41"/>
      <c r="BF430" s="41"/>
      <c r="BG430" s="41"/>
      <c r="BH430" s="41"/>
      <c r="BI430" s="41"/>
      <c r="BJ430" s="41"/>
      <c r="BK430" s="41"/>
      <c r="BL430" s="41"/>
      <c r="BM430" s="41"/>
      <c r="BN430" s="41"/>
    </row>
    <row r="431" spans="1:66" s="5" customFormat="1" x14ac:dyDescent="0.25">
      <c r="A431" s="7"/>
      <c r="M431" s="7"/>
      <c r="N431" s="76"/>
      <c r="O431" s="77"/>
      <c r="P431" s="77"/>
      <c r="Q431" s="76"/>
      <c r="R431" s="77"/>
      <c r="S431" s="79"/>
      <c r="T431" s="77"/>
      <c r="U431" s="79"/>
      <c r="V431" s="77"/>
      <c r="W431" s="82"/>
      <c r="X431" s="76"/>
      <c r="Y431" s="77"/>
      <c r="Z431" s="76"/>
      <c r="AA431" s="77"/>
      <c r="AB431" s="76"/>
      <c r="AC431" s="77"/>
      <c r="AD431" s="76"/>
      <c r="AE431" s="77"/>
      <c r="AF431" s="76"/>
      <c r="AG431" s="77"/>
      <c r="AH431" s="76"/>
      <c r="AI431" s="7"/>
      <c r="AJ431" s="27"/>
      <c r="AK431" s="3" t="s">
        <v>63</v>
      </c>
      <c r="AL431" s="3"/>
      <c r="AM431" s="3"/>
      <c r="AN431" s="18" t="s">
        <v>227</v>
      </c>
      <c r="AO431" s="3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7"/>
      <c r="BA431" s="15"/>
      <c r="BB431" s="15"/>
      <c r="BC431" s="15"/>
      <c r="BD431" s="41"/>
      <c r="BE431" s="41"/>
      <c r="BF431" s="41"/>
      <c r="BG431" s="41"/>
      <c r="BH431" s="41"/>
      <c r="BI431" s="41"/>
      <c r="BJ431" s="41"/>
      <c r="BK431" s="41"/>
      <c r="BL431" s="41"/>
      <c r="BM431" s="41"/>
      <c r="BN431" s="41"/>
    </row>
    <row r="432" spans="1:66" s="5" customFormat="1" x14ac:dyDescent="0.25">
      <c r="A432" s="7"/>
      <c r="M432" s="7"/>
      <c r="N432" s="76"/>
      <c r="O432" s="77"/>
      <c r="P432" s="77"/>
      <c r="Q432" s="76"/>
      <c r="R432" s="77"/>
      <c r="S432" s="79"/>
      <c r="T432" s="77"/>
      <c r="U432" s="79"/>
      <c r="V432" s="77"/>
      <c r="W432" s="82"/>
      <c r="X432" s="76"/>
      <c r="Y432" s="77"/>
      <c r="Z432" s="76"/>
      <c r="AA432" s="77"/>
      <c r="AB432" s="76"/>
      <c r="AC432" s="77"/>
      <c r="AD432" s="76"/>
      <c r="AE432" s="77"/>
      <c r="AF432" s="76"/>
      <c r="AG432" s="77"/>
      <c r="AH432" s="76"/>
      <c r="AI432" s="7"/>
      <c r="AJ432" s="27"/>
      <c r="AK432" s="3" t="s">
        <v>41</v>
      </c>
      <c r="AL432" s="3"/>
      <c r="AM432" s="3" t="s">
        <v>43</v>
      </c>
      <c r="AN432" s="18" t="s">
        <v>227</v>
      </c>
      <c r="AO432" s="3">
        <v>2005</v>
      </c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7"/>
      <c r="BA432" s="15"/>
      <c r="BB432" s="15"/>
      <c r="BC432" s="15"/>
      <c r="BD432" s="41"/>
      <c r="BE432" s="41"/>
      <c r="BF432" s="41"/>
      <c r="BG432" s="41"/>
      <c r="BH432" s="41"/>
      <c r="BI432" s="41"/>
      <c r="BJ432" s="41"/>
      <c r="BK432" s="41"/>
      <c r="BL432" s="41"/>
      <c r="BM432" s="41"/>
      <c r="BN432" s="41"/>
    </row>
    <row r="433" spans="1:66" s="5" customFormat="1" x14ac:dyDescent="0.25">
      <c r="A433" s="7"/>
      <c r="M433" s="7"/>
      <c r="N433" s="76"/>
      <c r="O433" s="77"/>
      <c r="P433" s="77"/>
      <c r="Q433" s="76"/>
      <c r="R433" s="77"/>
      <c r="S433" s="79"/>
      <c r="T433" s="77"/>
      <c r="U433" s="79"/>
      <c r="V433" s="77"/>
      <c r="W433" s="82"/>
      <c r="X433" s="76"/>
      <c r="Y433" s="77"/>
      <c r="Z433" s="76"/>
      <c r="AA433" s="77"/>
      <c r="AB433" s="76"/>
      <c r="AC433" s="77"/>
      <c r="AD433" s="76"/>
      <c r="AE433" s="77"/>
      <c r="AF433" s="76"/>
      <c r="AG433" s="77"/>
      <c r="AH433" s="76"/>
      <c r="AI433" s="7"/>
      <c r="AJ433" s="27"/>
      <c r="AK433" s="3" t="s">
        <v>40</v>
      </c>
      <c r="AL433" s="3"/>
      <c r="AM433" s="3" t="s">
        <v>43</v>
      </c>
      <c r="AN433" s="18" t="s">
        <v>227</v>
      </c>
      <c r="AO433" s="3">
        <v>2100</v>
      </c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7"/>
      <c r="BA433" s="15"/>
      <c r="BB433" s="15"/>
      <c r="BC433" s="15"/>
      <c r="BD433" s="41"/>
      <c r="BE433" s="41"/>
      <c r="BF433" s="41"/>
      <c r="BG433" s="41"/>
      <c r="BH433" s="41"/>
      <c r="BI433" s="41"/>
      <c r="BJ433" s="41"/>
      <c r="BK433" s="41"/>
      <c r="BL433" s="41"/>
      <c r="BM433" s="41"/>
      <c r="BN433" s="41"/>
    </row>
    <row r="434" spans="1:66" s="5" customFormat="1" x14ac:dyDescent="0.25">
      <c r="A434" s="7"/>
      <c r="M434" s="7"/>
      <c r="N434" s="76"/>
      <c r="O434" s="77"/>
      <c r="P434" s="77"/>
      <c r="Q434" s="76"/>
      <c r="R434" s="77"/>
      <c r="S434" s="79"/>
      <c r="T434" s="77"/>
      <c r="U434" s="79"/>
      <c r="V434" s="77"/>
      <c r="W434" s="82"/>
      <c r="X434" s="76"/>
      <c r="Y434" s="77"/>
      <c r="Z434" s="76"/>
      <c r="AA434" s="77"/>
      <c r="AB434" s="76"/>
      <c r="AC434" s="77"/>
      <c r="AD434" s="76"/>
      <c r="AE434" s="77"/>
      <c r="AF434" s="76"/>
      <c r="AG434" s="77"/>
      <c r="AH434" s="76"/>
      <c r="AI434" s="7"/>
      <c r="AJ434" s="27"/>
      <c r="AK434" s="3" t="s">
        <v>42</v>
      </c>
      <c r="AL434" s="3"/>
      <c r="AM434" s="3" t="s">
        <v>10</v>
      </c>
      <c r="AN434" s="18" t="s">
        <v>227</v>
      </c>
      <c r="AO434" s="3">
        <v>30</v>
      </c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7"/>
      <c r="BA434" s="15"/>
      <c r="BB434" s="15"/>
      <c r="BC434" s="15"/>
      <c r="BD434" s="41"/>
      <c r="BE434" s="41"/>
      <c r="BF434" s="41"/>
      <c r="BG434" s="41"/>
      <c r="BH434" s="41"/>
      <c r="BI434" s="41"/>
      <c r="BJ434" s="41"/>
      <c r="BK434" s="41"/>
      <c r="BL434" s="41"/>
      <c r="BM434" s="41"/>
      <c r="BN434" s="41"/>
    </row>
    <row r="435" spans="1:66" s="5" customFormat="1" x14ac:dyDescent="0.25">
      <c r="A435" s="7"/>
      <c r="M435" s="7"/>
      <c r="N435" s="76"/>
      <c r="O435" s="77"/>
      <c r="P435" s="77"/>
      <c r="Q435" s="76"/>
      <c r="R435" s="77"/>
      <c r="S435" s="79"/>
      <c r="T435" s="77"/>
      <c r="U435" s="79"/>
      <c r="V435" s="77"/>
      <c r="W435" s="82"/>
      <c r="X435" s="76"/>
      <c r="Y435" s="77"/>
      <c r="Z435" s="76"/>
      <c r="AA435" s="77"/>
      <c r="AB435" s="76"/>
      <c r="AC435" s="77"/>
      <c r="AD435" s="76"/>
      <c r="AE435" s="77"/>
      <c r="AF435" s="76"/>
      <c r="AG435" s="77"/>
      <c r="AH435" s="76"/>
      <c r="AI435" s="7"/>
      <c r="AJ435" s="27"/>
      <c r="AK435" s="3" t="s">
        <v>67</v>
      </c>
      <c r="AL435" s="3"/>
      <c r="AM435" s="3" t="s">
        <v>118</v>
      </c>
      <c r="AN435" s="18" t="s">
        <v>227</v>
      </c>
      <c r="AO435" s="3">
        <v>0.125</v>
      </c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7"/>
      <c r="BA435" s="15"/>
      <c r="BB435" s="15"/>
      <c r="BC435" s="15"/>
      <c r="BD435" s="41"/>
      <c r="BE435" s="41"/>
      <c r="BF435" s="41"/>
      <c r="BG435" s="41"/>
      <c r="BH435" s="41"/>
      <c r="BI435" s="41"/>
      <c r="BJ435" s="41"/>
      <c r="BK435" s="41"/>
      <c r="BL435" s="41"/>
      <c r="BM435" s="41"/>
      <c r="BN435" s="41"/>
    </row>
    <row r="436" spans="1:66" s="5" customFormat="1" x14ac:dyDescent="0.25">
      <c r="A436" s="7"/>
      <c r="M436" s="7"/>
      <c r="N436" s="76"/>
      <c r="O436" s="77"/>
      <c r="P436" s="77"/>
      <c r="Q436" s="76"/>
      <c r="R436" s="77"/>
      <c r="S436" s="79"/>
      <c r="T436" s="77"/>
      <c r="U436" s="79"/>
      <c r="V436" s="77"/>
      <c r="W436" s="82"/>
      <c r="X436" s="76"/>
      <c r="Y436" s="77"/>
      <c r="Z436" s="76"/>
      <c r="AA436" s="77"/>
      <c r="AB436" s="76"/>
      <c r="AC436" s="77"/>
      <c r="AD436" s="76"/>
      <c r="AE436" s="77"/>
      <c r="AF436" s="76"/>
      <c r="AG436" s="77"/>
      <c r="AH436" s="76"/>
      <c r="AI436" s="7"/>
      <c r="AJ436" s="27"/>
      <c r="AK436" s="3" t="s">
        <v>38</v>
      </c>
      <c r="AL436" s="3"/>
      <c r="AM436" s="3" t="s">
        <v>17</v>
      </c>
      <c r="AN436" s="18" t="s">
        <v>227</v>
      </c>
      <c r="AO436" s="23">
        <v>4886</v>
      </c>
      <c r="AP436" s="23">
        <f>AO436*0.95</f>
        <v>4641.7</v>
      </c>
      <c r="AQ436" s="23">
        <f t="shared" ref="AQ436:AY436" si="34">AP436*0.95</f>
        <v>4409.6149999999998</v>
      </c>
      <c r="AR436" s="23">
        <f t="shared" si="34"/>
        <v>4189.1342499999992</v>
      </c>
      <c r="AS436" s="23">
        <f t="shared" si="34"/>
        <v>3979.6775374999988</v>
      </c>
      <c r="AT436" s="23">
        <f t="shared" si="34"/>
        <v>3780.6936606249988</v>
      </c>
      <c r="AU436" s="23">
        <f t="shared" si="34"/>
        <v>3591.6589775937487</v>
      </c>
      <c r="AV436" s="23">
        <f t="shared" si="34"/>
        <v>3412.0760287140611</v>
      </c>
      <c r="AW436" s="23">
        <f t="shared" si="34"/>
        <v>3241.4722272783579</v>
      </c>
      <c r="AX436" s="23">
        <f t="shared" si="34"/>
        <v>3079.3986159144397</v>
      </c>
      <c r="AY436" s="23">
        <f t="shared" si="34"/>
        <v>2925.4286851187176</v>
      </c>
      <c r="AZ436" s="7"/>
      <c r="BA436" s="15"/>
      <c r="BB436" s="15"/>
      <c r="BC436" s="15"/>
      <c r="BD436" s="41"/>
      <c r="BE436" s="41"/>
      <c r="BF436" s="41"/>
      <c r="BG436" s="41"/>
      <c r="BH436" s="41"/>
      <c r="BI436" s="41"/>
      <c r="BJ436" s="41"/>
      <c r="BK436" s="41"/>
      <c r="BL436" s="41"/>
      <c r="BM436" s="41"/>
      <c r="BN436" s="41"/>
    </row>
    <row r="437" spans="1:66" s="5" customFormat="1" x14ac:dyDescent="0.25">
      <c r="A437" s="7"/>
      <c r="M437" s="7"/>
      <c r="N437" s="76"/>
      <c r="O437" s="77"/>
      <c r="P437" s="77"/>
      <c r="Q437" s="76"/>
      <c r="R437" s="77"/>
      <c r="S437" s="79"/>
      <c r="T437" s="77"/>
      <c r="U437" s="79"/>
      <c r="V437" s="77"/>
      <c r="W437" s="82"/>
      <c r="X437" s="76"/>
      <c r="Y437" s="77"/>
      <c r="Z437" s="76"/>
      <c r="AA437" s="77"/>
      <c r="AB437" s="76"/>
      <c r="AC437" s="77"/>
      <c r="AD437" s="76"/>
      <c r="AE437" s="77"/>
      <c r="AF437" s="76"/>
      <c r="AG437" s="77"/>
      <c r="AH437" s="76"/>
      <c r="AI437" s="7"/>
      <c r="AJ437" s="27"/>
      <c r="AK437" s="3" t="s">
        <v>44</v>
      </c>
      <c r="AL437" s="3"/>
      <c r="AM437" s="3" t="s">
        <v>17</v>
      </c>
      <c r="AN437" s="18" t="s">
        <v>227</v>
      </c>
      <c r="AO437" s="23"/>
      <c r="AP437" s="162"/>
      <c r="AQ437" s="162"/>
      <c r="AR437" s="162"/>
      <c r="AS437" s="162"/>
      <c r="AT437" s="162"/>
      <c r="AU437" s="162"/>
      <c r="AV437" s="162"/>
      <c r="AW437" s="162"/>
      <c r="AX437" s="162"/>
      <c r="AY437" s="162"/>
      <c r="AZ437" s="7"/>
      <c r="BA437" s="15"/>
      <c r="BB437" s="15"/>
      <c r="BC437" s="15"/>
      <c r="BD437" s="41"/>
      <c r="BE437" s="41"/>
      <c r="BF437" s="41"/>
      <c r="BG437" s="41"/>
      <c r="BH437" s="41"/>
      <c r="BI437" s="41"/>
      <c r="BJ437" s="41"/>
      <c r="BK437" s="41"/>
      <c r="BL437" s="41"/>
      <c r="BM437" s="41"/>
      <c r="BN437" s="41"/>
    </row>
    <row r="438" spans="1:66" s="5" customFormat="1" x14ac:dyDescent="0.25">
      <c r="A438" s="7"/>
      <c r="M438" s="7"/>
      <c r="N438" s="76"/>
      <c r="O438" s="77"/>
      <c r="P438" s="77"/>
      <c r="Q438" s="76"/>
      <c r="R438" s="77"/>
      <c r="S438" s="79"/>
      <c r="T438" s="77"/>
      <c r="U438" s="79"/>
      <c r="V438" s="77"/>
      <c r="W438" s="82"/>
      <c r="X438" s="76"/>
      <c r="Y438" s="77"/>
      <c r="Z438" s="76"/>
      <c r="AA438" s="77"/>
      <c r="AB438" s="76"/>
      <c r="AC438" s="77"/>
      <c r="AD438" s="76"/>
      <c r="AE438" s="77"/>
      <c r="AF438" s="76"/>
      <c r="AG438" s="77"/>
      <c r="AH438" s="76"/>
      <c r="AI438" s="7"/>
      <c r="AJ438" s="27"/>
      <c r="AK438" s="3" t="s">
        <v>51</v>
      </c>
      <c r="AL438" s="3"/>
      <c r="AM438" s="3" t="s">
        <v>17</v>
      </c>
      <c r="AN438" s="18" t="s">
        <v>227</v>
      </c>
      <c r="AO438" s="23"/>
      <c r="AP438" s="162"/>
      <c r="AQ438" s="162"/>
      <c r="AR438" s="162"/>
      <c r="AS438" s="162"/>
      <c r="AT438" s="162"/>
      <c r="AU438" s="162"/>
      <c r="AV438" s="162"/>
      <c r="AW438" s="162"/>
      <c r="AX438" s="162"/>
      <c r="AY438" s="162"/>
      <c r="AZ438" s="7"/>
      <c r="BA438" s="15"/>
      <c r="BB438" s="15"/>
      <c r="BC438" s="15"/>
      <c r="BD438" s="41"/>
      <c r="BE438" s="41"/>
      <c r="BF438" s="41"/>
      <c r="BG438" s="41"/>
      <c r="BH438" s="41"/>
      <c r="BI438" s="41"/>
      <c r="BJ438" s="41"/>
      <c r="BK438" s="41"/>
      <c r="BL438" s="41"/>
      <c r="BM438" s="41"/>
      <c r="BN438" s="41"/>
    </row>
    <row r="439" spans="1:66" s="5" customFormat="1" x14ac:dyDescent="0.25">
      <c r="A439" s="7"/>
      <c r="M439" s="7"/>
      <c r="N439" s="76"/>
      <c r="O439" s="77"/>
      <c r="P439" s="77"/>
      <c r="Q439" s="76"/>
      <c r="R439" s="77"/>
      <c r="S439" s="79"/>
      <c r="T439" s="77"/>
      <c r="U439" s="79"/>
      <c r="V439" s="77"/>
      <c r="W439" s="82"/>
      <c r="X439" s="76"/>
      <c r="Y439" s="77"/>
      <c r="Z439" s="76"/>
      <c r="AA439" s="77"/>
      <c r="AB439" s="76"/>
      <c r="AC439" s="77"/>
      <c r="AD439" s="76"/>
      <c r="AE439" s="77"/>
      <c r="AF439" s="76"/>
      <c r="AG439" s="77"/>
      <c r="AH439" s="76"/>
      <c r="AI439" s="7"/>
      <c r="AJ439" s="27"/>
      <c r="AK439" s="3" t="s">
        <v>95</v>
      </c>
      <c r="AL439" s="3" t="s">
        <v>143</v>
      </c>
      <c r="AM439" s="3" t="s">
        <v>17</v>
      </c>
      <c r="AN439" s="18" t="s">
        <v>227</v>
      </c>
      <c r="AO439" s="23">
        <f>AO443*$AO$24</f>
        <v>11.572000000000001</v>
      </c>
      <c r="AP439" s="162"/>
      <c r="AQ439" s="162"/>
      <c r="AR439" s="162"/>
      <c r="AS439" s="162"/>
      <c r="AT439" s="162"/>
      <c r="AU439" s="162"/>
      <c r="AV439" s="162"/>
      <c r="AW439" s="162"/>
      <c r="AX439" s="162"/>
      <c r="AY439" s="162"/>
      <c r="AZ439" s="7"/>
      <c r="BA439" s="15"/>
      <c r="BB439" s="15"/>
      <c r="BC439" s="15"/>
      <c r="BD439" s="41"/>
      <c r="BE439" s="41"/>
      <c r="BF439" s="41"/>
      <c r="BG439" s="41"/>
      <c r="BH439" s="41"/>
      <c r="BI439" s="41"/>
      <c r="BJ439" s="41"/>
      <c r="BK439" s="41"/>
      <c r="BL439" s="41"/>
      <c r="BM439" s="41"/>
      <c r="BN439" s="41"/>
    </row>
    <row r="440" spans="1:66" s="5" customFormat="1" x14ac:dyDescent="0.25">
      <c r="A440" s="7"/>
      <c r="M440" s="7"/>
      <c r="N440" s="76"/>
      <c r="O440" s="77"/>
      <c r="P440" s="77"/>
      <c r="Q440" s="76"/>
      <c r="R440" s="77"/>
      <c r="S440" s="79"/>
      <c r="T440" s="77"/>
      <c r="U440" s="79"/>
      <c r="V440" s="77"/>
      <c r="W440" s="82"/>
      <c r="X440" s="76"/>
      <c r="Y440" s="77"/>
      <c r="Z440" s="76"/>
      <c r="AA440" s="77"/>
      <c r="AB440" s="76"/>
      <c r="AC440" s="77"/>
      <c r="AD440" s="76"/>
      <c r="AE440" s="77"/>
      <c r="AF440" s="76"/>
      <c r="AG440" s="77"/>
      <c r="AH440" s="76"/>
      <c r="AI440" s="7"/>
      <c r="AJ440" s="27"/>
      <c r="AK440" s="3" t="s">
        <v>146</v>
      </c>
      <c r="AL440" s="3" t="s">
        <v>162</v>
      </c>
      <c r="AM440" s="3"/>
      <c r="AN440" s="18" t="s">
        <v>227</v>
      </c>
      <c r="AO440" s="23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7"/>
      <c r="BA440" s="15"/>
      <c r="BB440" s="15"/>
      <c r="BC440" s="15"/>
      <c r="BD440" s="41"/>
      <c r="BE440" s="41"/>
      <c r="BF440" s="41"/>
      <c r="BG440" s="41"/>
      <c r="BH440" s="41"/>
      <c r="BI440" s="41"/>
      <c r="BJ440" s="41"/>
      <c r="BK440" s="41"/>
      <c r="BL440" s="41"/>
      <c r="BM440" s="41"/>
      <c r="BN440" s="41"/>
    </row>
    <row r="441" spans="1:66" s="5" customFormat="1" x14ac:dyDescent="0.25">
      <c r="A441" s="7"/>
      <c r="M441" s="7"/>
      <c r="N441" s="76"/>
      <c r="O441" s="77"/>
      <c r="P441" s="77"/>
      <c r="Q441" s="76"/>
      <c r="R441" s="77"/>
      <c r="S441" s="79"/>
      <c r="T441" s="77"/>
      <c r="U441" s="79"/>
      <c r="V441" s="77"/>
      <c r="W441" s="82"/>
      <c r="X441" s="76"/>
      <c r="Y441" s="77"/>
      <c r="Z441" s="76"/>
      <c r="AA441" s="77"/>
      <c r="AB441" s="76"/>
      <c r="AC441" s="77"/>
      <c r="AD441" s="76"/>
      <c r="AE441" s="77"/>
      <c r="AF441" s="76"/>
      <c r="AG441" s="77"/>
      <c r="AH441" s="76"/>
      <c r="AI441" s="7"/>
      <c r="AJ441" s="27"/>
      <c r="AK441" s="3" t="s">
        <v>191</v>
      </c>
      <c r="AL441" s="3"/>
      <c r="AM441" s="3" t="s">
        <v>118</v>
      </c>
      <c r="AN441" s="18" t="s">
        <v>227</v>
      </c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7"/>
      <c r="BA441" s="15"/>
      <c r="BB441" s="15"/>
      <c r="BC441" s="15"/>
      <c r="BD441" s="41"/>
      <c r="BE441" s="41"/>
      <c r="BF441" s="41"/>
      <c r="BG441" s="41"/>
      <c r="BH441" s="41"/>
      <c r="BI441" s="41"/>
      <c r="BJ441" s="41"/>
      <c r="BK441" s="41"/>
      <c r="BL441" s="41"/>
      <c r="BM441" s="41"/>
      <c r="BN441" s="41"/>
    </row>
    <row r="442" spans="1:66" s="5" customFormat="1" x14ac:dyDescent="0.25">
      <c r="A442" s="7"/>
      <c r="M442" s="7"/>
      <c r="N442" s="76"/>
      <c r="O442" s="77"/>
      <c r="P442" s="77"/>
      <c r="Q442" s="76"/>
      <c r="R442" s="77"/>
      <c r="S442" s="79"/>
      <c r="T442" s="77"/>
      <c r="U442" s="79"/>
      <c r="V442" s="77"/>
      <c r="W442" s="82"/>
      <c r="X442" s="76"/>
      <c r="Y442" s="77"/>
      <c r="Z442" s="76"/>
      <c r="AA442" s="77"/>
      <c r="AB442" s="76"/>
      <c r="AC442" s="77"/>
      <c r="AD442" s="76"/>
      <c r="AE442" s="77"/>
      <c r="AF442" s="76"/>
      <c r="AG442" s="77"/>
      <c r="AH442" s="76"/>
      <c r="AI442" s="7"/>
      <c r="AJ442" s="27"/>
      <c r="AK442" s="3" t="s">
        <v>192</v>
      </c>
      <c r="AL442" s="3"/>
      <c r="AM442" s="3" t="s">
        <v>118</v>
      </c>
      <c r="AN442" s="18" t="s">
        <v>227</v>
      </c>
      <c r="AO442" s="3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7"/>
      <c r="BA442" s="15"/>
      <c r="BB442" s="15"/>
      <c r="BC442" s="15"/>
      <c r="BD442" s="41"/>
      <c r="BE442" s="41"/>
      <c r="BF442" s="41"/>
      <c r="BG442" s="41"/>
      <c r="BH442" s="41"/>
      <c r="BI442" s="41"/>
      <c r="BJ442" s="41"/>
      <c r="BK442" s="41"/>
      <c r="BL442" s="41"/>
      <c r="BM442" s="41"/>
      <c r="BN442" s="41"/>
    </row>
    <row r="443" spans="1:66" s="5" customFormat="1" x14ac:dyDescent="0.25">
      <c r="A443" s="7"/>
      <c r="M443" s="7"/>
      <c r="N443" s="76"/>
      <c r="O443" s="77"/>
      <c r="P443" s="77"/>
      <c r="Q443" s="76"/>
      <c r="R443" s="77"/>
      <c r="S443" s="79"/>
      <c r="T443" s="77"/>
      <c r="U443" s="79"/>
      <c r="V443" s="77"/>
      <c r="W443" s="82"/>
      <c r="X443" s="76"/>
      <c r="Y443" s="77"/>
      <c r="Z443" s="76"/>
      <c r="AA443" s="77"/>
      <c r="AB443" s="76"/>
      <c r="AC443" s="77"/>
      <c r="AD443" s="76"/>
      <c r="AE443" s="77"/>
      <c r="AF443" s="76"/>
      <c r="AG443" s="77"/>
      <c r="AH443" s="76"/>
      <c r="AI443" s="7"/>
      <c r="AJ443" s="27"/>
      <c r="AK443" s="3" t="s">
        <v>94</v>
      </c>
      <c r="AL443" s="3" t="s">
        <v>143</v>
      </c>
      <c r="AM443" s="3" t="s">
        <v>57</v>
      </c>
      <c r="AN443" s="18" t="s">
        <v>227</v>
      </c>
      <c r="AO443" s="3">
        <v>0.52600000000000002</v>
      </c>
      <c r="AP443" s="22">
        <f>AO443</f>
        <v>0.52600000000000002</v>
      </c>
      <c r="AQ443" s="22">
        <f t="shared" ref="AQ443:AY443" si="35">AP443</f>
        <v>0.52600000000000002</v>
      </c>
      <c r="AR443" s="22">
        <f t="shared" si="35"/>
        <v>0.52600000000000002</v>
      </c>
      <c r="AS443" s="22">
        <f t="shared" si="35"/>
        <v>0.52600000000000002</v>
      </c>
      <c r="AT443" s="22">
        <f t="shared" si="35"/>
        <v>0.52600000000000002</v>
      </c>
      <c r="AU443" s="22">
        <f t="shared" si="35"/>
        <v>0.52600000000000002</v>
      </c>
      <c r="AV443" s="22">
        <f t="shared" si="35"/>
        <v>0.52600000000000002</v>
      </c>
      <c r="AW443" s="22">
        <f t="shared" si="35"/>
        <v>0.52600000000000002</v>
      </c>
      <c r="AX443" s="22">
        <f t="shared" si="35"/>
        <v>0.52600000000000002</v>
      </c>
      <c r="AY443" s="22">
        <f t="shared" si="35"/>
        <v>0.52600000000000002</v>
      </c>
      <c r="AZ443" s="7"/>
      <c r="BA443" s="15"/>
      <c r="BB443" s="15"/>
      <c r="BC443" s="15"/>
      <c r="BD443" s="41"/>
      <c r="BE443" s="41"/>
      <c r="BF443" s="41"/>
      <c r="BG443" s="41"/>
      <c r="BH443" s="41"/>
      <c r="BI443" s="41"/>
      <c r="BJ443" s="41"/>
      <c r="BK443" s="41"/>
      <c r="BL443" s="41"/>
      <c r="BM443" s="41"/>
      <c r="BN443" s="41"/>
    </row>
    <row r="444" spans="1:66" s="5" customFormat="1" x14ac:dyDescent="0.25">
      <c r="A444" s="7"/>
      <c r="M444" s="7"/>
      <c r="N444" s="76"/>
      <c r="O444" s="77"/>
      <c r="P444" s="77"/>
      <c r="Q444" s="76"/>
      <c r="R444" s="77"/>
      <c r="S444" s="79"/>
      <c r="T444" s="77"/>
      <c r="U444" s="79"/>
      <c r="V444" s="77"/>
      <c r="W444" s="82"/>
      <c r="X444" s="76"/>
      <c r="Y444" s="77"/>
      <c r="Z444" s="76"/>
      <c r="AA444" s="77"/>
      <c r="AB444" s="76"/>
      <c r="AC444" s="77"/>
      <c r="AD444" s="76"/>
      <c r="AE444" s="77"/>
      <c r="AF444" s="76"/>
      <c r="AG444" s="77"/>
      <c r="AH444" s="76"/>
      <c r="AI444" s="7"/>
      <c r="AJ444" s="27"/>
      <c r="AK444" s="3" t="s">
        <v>91</v>
      </c>
      <c r="AL444" s="3"/>
      <c r="AM444" s="3" t="s">
        <v>118</v>
      </c>
      <c r="AN444" s="18" t="s">
        <v>227</v>
      </c>
      <c r="AO444" s="22">
        <v>0</v>
      </c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7"/>
      <c r="BA444" s="15"/>
      <c r="BB444" s="15"/>
      <c r="BC444" s="15"/>
      <c r="BD444" s="41"/>
      <c r="BE444" s="41"/>
      <c r="BF444" s="41"/>
      <c r="BG444" s="41"/>
      <c r="BH444" s="41"/>
      <c r="BI444" s="41"/>
      <c r="BJ444" s="41"/>
      <c r="BK444" s="41"/>
      <c r="BL444" s="41"/>
      <c r="BM444" s="41"/>
      <c r="BN444" s="41"/>
    </row>
    <row r="445" spans="1:66" s="5" customFormat="1" x14ac:dyDescent="0.25">
      <c r="A445" s="7"/>
      <c r="M445" s="7"/>
      <c r="N445" s="76"/>
      <c r="O445" s="77"/>
      <c r="P445" s="77"/>
      <c r="Q445" s="76"/>
      <c r="R445" s="77"/>
      <c r="S445" s="79"/>
      <c r="T445" s="77"/>
      <c r="U445" s="79"/>
      <c r="V445" s="77"/>
      <c r="W445" s="82"/>
      <c r="X445" s="76"/>
      <c r="Y445" s="77"/>
      <c r="Z445" s="76"/>
      <c r="AA445" s="77"/>
      <c r="AB445" s="76"/>
      <c r="AC445" s="77"/>
      <c r="AD445" s="76"/>
      <c r="AE445" s="77"/>
      <c r="AF445" s="76"/>
      <c r="AG445" s="77"/>
      <c r="AH445" s="76"/>
      <c r="AI445" s="7"/>
      <c r="AJ445" s="27"/>
      <c r="AK445" s="3" t="s">
        <v>63</v>
      </c>
      <c r="AL445" s="3"/>
      <c r="AM445" s="3"/>
      <c r="AN445" s="18" t="s">
        <v>228</v>
      </c>
      <c r="AO445" s="3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7"/>
      <c r="BA445" s="15"/>
      <c r="BB445" s="15"/>
      <c r="BC445" s="15"/>
      <c r="BD445" s="41"/>
      <c r="BE445" s="41"/>
      <c r="BF445" s="41"/>
      <c r="BG445" s="41"/>
      <c r="BH445" s="41"/>
      <c r="BI445" s="41"/>
      <c r="BJ445" s="41"/>
      <c r="BK445" s="41"/>
      <c r="BL445" s="41"/>
      <c r="BM445" s="41"/>
      <c r="BN445" s="41"/>
    </row>
    <row r="446" spans="1:66" s="5" customFormat="1" x14ac:dyDescent="0.25">
      <c r="A446" s="7"/>
      <c r="M446" s="7"/>
      <c r="N446" s="76"/>
      <c r="O446" s="77"/>
      <c r="P446" s="77"/>
      <c r="Q446" s="76"/>
      <c r="R446" s="77"/>
      <c r="S446" s="79"/>
      <c r="T446" s="77"/>
      <c r="U446" s="79"/>
      <c r="V446" s="77"/>
      <c r="W446" s="82"/>
      <c r="X446" s="76"/>
      <c r="Y446" s="77"/>
      <c r="Z446" s="76"/>
      <c r="AA446" s="77"/>
      <c r="AB446" s="76"/>
      <c r="AC446" s="77"/>
      <c r="AD446" s="76"/>
      <c r="AE446" s="77"/>
      <c r="AF446" s="76"/>
      <c r="AG446" s="77"/>
      <c r="AH446" s="76"/>
      <c r="AI446" s="7"/>
      <c r="AJ446" s="27"/>
      <c r="AK446" s="3" t="s">
        <v>41</v>
      </c>
      <c r="AL446" s="3"/>
      <c r="AM446" s="3" t="s">
        <v>43</v>
      </c>
      <c r="AN446" s="18" t="s">
        <v>228</v>
      </c>
      <c r="AO446" s="3">
        <v>2000</v>
      </c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7"/>
      <c r="BA446" s="15"/>
      <c r="BB446" s="15"/>
      <c r="BC446" s="15"/>
      <c r="BD446" s="41"/>
      <c r="BE446" s="41"/>
      <c r="BF446" s="41"/>
      <c r="BG446" s="41"/>
      <c r="BH446" s="41"/>
      <c r="BI446" s="41"/>
      <c r="BJ446" s="41"/>
      <c r="BK446" s="41"/>
      <c r="BL446" s="41"/>
      <c r="BM446" s="41"/>
      <c r="BN446" s="41"/>
    </row>
    <row r="447" spans="1:66" s="5" customFormat="1" x14ac:dyDescent="0.25">
      <c r="A447" s="7"/>
      <c r="M447" s="7"/>
      <c r="N447" s="76"/>
      <c r="O447" s="77"/>
      <c r="P447" s="77"/>
      <c r="Q447" s="76"/>
      <c r="R447" s="77"/>
      <c r="S447" s="79"/>
      <c r="T447" s="77"/>
      <c r="U447" s="79"/>
      <c r="V447" s="77"/>
      <c r="W447" s="82"/>
      <c r="X447" s="76"/>
      <c r="Y447" s="77"/>
      <c r="Z447" s="76"/>
      <c r="AA447" s="77"/>
      <c r="AB447" s="76"/>
      <c r="AC447" s="77"/>
      <c r="AD447" s="76"/>
      <c r="AE447" s="77"/>
      <c r="AF447" s="76"/>
      <c r="AG447" s="77"/>
      <c r="AH447" s="76"/>
      <c r="AI447" s="7"/>
      <c r="AJ447" s="27"/>
      <c r="AK447" s="3" t="s">
        <v>40</v>
      </c>
      <c r="AL447" s="3"/>
      <c r="AM447" s="3" t="s">
        <v>43</v>
      </c>
      <c r="AN447" s="18" t="s">
        <v>228</v>
      </c>
      <c r="AO447" s="3">
        <v>2100</v>
      </c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7"/>
      <c r="BA447" s="15"/>
      <c r="BB447" s="15"/>
      <c r="BC447" s="15"/>
      <c r="BD447" s="41"/>
      <c r="BE447" s="41"/>
      <c r="BF447" s="41"/>
      <c r="BG447" s="41"/>
      <c r="BH447" s="41"/>
      <c r="BI447" s="41"/>
      <c r="BJ447" s="41"/>
      <c r="BK447" s="41"/>
      <c r="BL447" s="41"/>
      <c r="BM447" s="41"/>
      <c r="BN447" s="41"/>
    </row>
    <row r="448" spans="1:66" s="5" customFormat="1" x14ac:dyDescent="0.25">
      <c r="A448" s="7"/>
      <c r="M448" s="7"/>
      <c r="N448" s="76"/>
      <c r="O448" s="77"/>
      <c r="P448" s="77"/>
      <c r="Q448" s="76"/>
      <c r="R448" s="77"/>
      <c r="S448" s="79"/>
      <c r="T448" s="77"/>
      <c r="U448" s="79"/>
      <c r="V448" s="77"/>
      <c r="W448" s="82"/>
      <c r="X448" s="76"/>
      <c r="Y448" s="77"/>
      <c r="Z448" s="76"/>
      <c r="AA448" s="77"/>
      <c r="AB448" s="76"/>
      <c r="AC448" s="77"/>
      <c r="AD448" s="76"/>
      <c r="AE448" s="77"/>
      <c r="AF448" s="76"/>
      <c r="AG448" s="77"/>
      <c r="AH448" s="76"/>
      <c r="AI448" s="7"/>
      <c r="AJ448" s="27"/>
      <c r="AK448" s="3" t="s">
        <v>42</v>
      </c>
      <c r="AL448" s="3"/>
      <c r="AM448" s="3" t="s">
        <v>10</v>
      </c>
      <c r="AN448" s="18" t="s">
        <v>228</v>
      </c>
      <c r="AO448" s="3">
        <v>30</v>
      </c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7"/>
      <c r="BA448" s="15"/>
      <c r="BB448" s="15"/>
      <c r="BC448" s="15"/>
      <c r="BD448" s="41"/>
      <c r="BE448" s="41"/>
      <c r="BF448" s="41"/>
      <c r="BG448" s="41"/>
      <c r="BH448" s="41"/>
      <c r="BI448" s="41"/>
      <c r="BJ448" s="41"/>
      <c r="BK448" s="41"/>
      <c r="BL448" s="41"/>
      <c r="BM448" s="41"/>
      <c r="BN448" s="41"/>
    </row>
    <row r="449" spans="1:66" s="5" customFormat="1" x14ac:dyDescent="0.25">
      <c r="A449" s="7"/>
      <c r="M449" s="7"/>
      <c r="N449" s="76"/>
      <c r="O449" s="77"/>
      <c r="P449" s="77"/>
      <c r="Q449" s="76"/>
      <c r="R449" s="77"/>
      <c r="S449" s="79"/>
      <c r="T449" s="77"/>
      <c r="U449" s="79"/>
      <c r="V449" s="77"/>
      <c r="W449" s="82"/>
      <c r="X449" s="76"/>
      <c r="Y449" s="77"/>
      <c r="Z449" s="76"/>
      <c r="AA449" s="77"/>
      <c r="AB449" s="76"/>
      <c r="AC449" s="77"/>
      <c r="AD449" s="76"/>
      <c r="AE449" s="77"/>
      <c r="AF449" s="76"/>
      <c r="AG449" s="77"/>
      <c r="AH449" s="76"/>
      <c r="AI449" s="7"/>
      <c r="AJ449" s="27"/>
      <c r="AK449" s="3" t="s">
        <v>67</v>
      </c>
      <c r="AL449" s="3"/>
      <c r="AM449" s="3" t="s">
        <v>118</v>
      </c>
      <c r="AN449" s="18" t="s">
        <v>228</v>
      </c>
      <c r="AO449" s="3">
        <v>0.125</v>
      </c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7"/>
      <c r="BA449" s="15"/>
      <c r="BB449" s="15"/>
      <c r="BC449" s="15"/>
      <c r="BD449" s="41"/>
      <c r="BE449" s="41"/>
      <c r="BF449" s="41"/>
      <c r="BG449" s="41"/>
      <c r="BH449" s="41"/>
      <c r="BI449" s="41"/>
      <c r="BJ449" s="41"/>
      <c r="BK449" s="41"/>
      <c r="BL449" s="41"/>
      <c r="BM449" s="41"/>
      <c r="BN449" s="41"/>
    </row>
    <row r="450" spans="1:66" s="5" customFormat="1" x14ac:dyDescent="0.25">
      <c r="A450" s="7"/>
      <c r="M450" s="7"/>
      <c r="N450" s="76"/>
      <c r="O450" s="77"/>
      <c r="P450" s="77"/>
      <c r="Q450" s="76"/>
      <c r="R450" s="77"/>
      <c r="S450" s="79"/>
      <c r="T450" s="77"/>
      <c r="U450" s="79"/>
      <c r="V450" s="77"/>
      <c r="W450" s="82"/>
      <c r="X450" s="76"/>
      <c r="Y450" s="77"/>
      <c r="Z450" s="76"/>
      <c r="AA450" s="77"/>
      <c r="AB450" s="76"/>
      <c r="AC450" s="77"/>
      <c r="AD450" s="76"/>
      <c r="AE450" s="77"/>
      <c r="AF450" s="76"/>
      <c r="AG450" s="77"/>
      <c r="AH450" s="76"/>
      <c r="AI450" s="7"/>
      <c r="AJ450" s="27"/>
      <c r="AK450" s="3" t="s">
        <v>38</v>
      </c>
      <c r="AL450" s="3"/>
      <c r="AM450" s="3" t="s">
        <v>17</v>
      </c>
      <c r="AN450" s="18" t="s">
        <v>228</v>
      </c>
      <c r="AO450" s="23">
        <v>15521</v>
      </c>
      <c r="AP450" s="23">
        <f>AO450</f>
        <v>15521</v>
      </c>
      <c r="AQ450" s="23">
        <f t="shared" ref="AQ450:AY450" si="36">AP450</f>
        <v>15521</v>
      </c>
      <c r="AR450" s="23">
        <f t="shared" si="36"/>
        <v>15521</v>
      </c>
      <c r="AS450" s="23">
        <f t="shared" si="36"/>
        <v>15521</v>
      </c>
      <c r="AT450" s="23">
        <f t="shared" si="36"/>
        <v>15521</v>
      </c>
      <c r="AU450" s="23">
        <f t="shared" si="36"/>
        <v>15521</v>
      </c>
      <c r="AV450" s="23">
        <f t="shared" si="36"/>
        <v>15521</v>
      </c>
      <c r="AW450" s="23">
        <f t="shared" si="36"/>
        <v>15521</v>
      </c>
      <c r="AX450" s="23">
        <f t="shared" si="36"/>
        <v>15521</v>
      </c>
      <c r="AY450" s="23">
        <f t="shared" si="36"/>
        <v>15521</v>
      </c>
      <c r="AZ450" s="7"/>
      <c r="BA450" s="15"/>
      <c r="BB450" s="15"/>
      <c r="BC450" s="15"/>
      <c r="BD450" s="41"/>
      <c r="BE450" s="41"/>
      <c r="BF450" s="41"/>
      <c r="BG450" s="41"/>
      <c r="BH450" s="41"/>
      <c r="BI450" s="41"/>
      <c r="BJ450" s="41"/>
      <c r="BK450" s="41"/>
      <c r="BL450" s="41"/>
      <c r="BM450" s="41"/>
      <c r="BN450" s="41"/>
    </row>
    <row r="451" spans="1:66" s="5" customFormat="1" x14ac:dyDescent="0.25">
      <c r="A451" s="7"/>
      <c r="M451" s="7"/>
      <c r="N451" s="76"/>
      <c r="O451" s="77"/>
      <c r="P451" s="77"/>
      <c r="Q451" s="76"/>
      <c r="R451" s="77"/>
      <c r="S451" s="79"/>
      <c r="T451" s="77"/>
      <c r="U451" s="79"/>
      <c r="V451" s="77"/>
      <c r="W451" s="82"/>
      <c r="X451" s="76"/>
      <c r="Y451" s="77"/>
      <c r="Z451" s="76"/>
      <c r="AA451" s="77"/>
      <c r="AB451" s="76"/>
      <c r="AC451" s="77"/>
      <c r="AD451" s="76"/>
      <c r="AE451" s="77"/>
      <c r="AF451" s="76"/>
      <c r="AG451" s="77"/>
      <c r="AH451" s="76"/>
      <c r="AI451" s="7"/>
      <c r="AJ451" s="27"/>
      <c r="AK451" s="3" t="s">
        <v>44</v>
      </c>
      <c r="AL451" s="3"/>
      <c r="AM451" s="3" t="s">
        <v>17</v>
      </c>
      <c r="AN451" s="18" t="s">
        <v>228</v>
      </c>
      <c r="AO451" s="23"/>
      <c r="AP451" s="162"/>
      <c r="AQ451" s="162"/>
      <c r="AR451" s="162"/>
      <c r="AS451" s="162"/>
      <c r="AT451" s="162"/>
      <c r="AU451" s="162"/>
      <c r="AV451" s="162"/>
      <c r="AW451" s="162"/>
      <c r="AX451" s="162"/>
      <c r="AY451" s="162"/>
      <c r="AZ451" s="7"/>
      <c r="BA451" s="15"/>
      <c r="BB451" s="15"/>
      <c r="BC451" s="15"/>
      <c r="BD451" s="41"/>
      <c r="BE451" s="41"/>
      <c r="BF451" s="41"/>
      <c r="BG451" s="41"/>
      <c r="BH451" s="41"/>
      <c r="BI451" s="41"/>
      <c r="BJ451" s="41"/>
      <c r="BK451" s="41"/>
      <c r="BL451" s="41"/>
      <c r="BM451" s="41"/>
      <c r="BN451" s="41"/>
    </row>
    <row r="452" spans="1:66" s="5" customFormat="1" x14ac:dyDescent="0.25">
      <c r="A452" s="7"/>
      <c r="M452" s="7"/>
      <c r="N452" s="76"/>
      <c r="O452" s="77"/>
      <c r="P452" s="77"/>
      <c r="Q452" s="76"/>
      <c r="R452" s="77"/>
      <c r="S452" s="79"/>
      <c r="T452" s="77"/>
      <c r="U452" s="79"/>
      <c r="V452" s="77"/>
      <c r="W452" s="82"/>
      <c r="X452" s="76"/>
      <c r="Y452" s="77"/>
      <c r="Z452" s="76"/>
      <c r="AA452" s="77"/>
      <c r="AB452" s="76"/>
      <c r="AC452" s="77"/>
      <c r="AD452" s="76"/>
      <c r="AE452" s="77"/>
      <c r="AF452" s="76"/>
      <c r="AG452" s="77"/>
      <c r="AH452" s="76"/>
      <c r="AI452" s="7"/>
      <c r="AJ452" s="27"/>
      <c r="AK452" s="3" t="s">
        <v>51</v>
      </c>
      <c r="AL452" s="3"/>
      <c r="AM452" s="3" t="s">
        <v>17</v>
      </c>
      <c r="AN452" s="18" t="s">
        <v>228</v>
      </c>
      <c r="AO452" s="23"/>
      <c r="AP452" s="162"/>
      <c r="AQ452" s="162"/>
      <c r="AR452" s="162"/>
      <c r="AS452" s="162"/>
      <c r="AT452" s="162"/>
      <c r="AU452" s="162"/>
      <c r="AV452" s="162"/>
      <c r="AW452" s="162"/>
      <c r="AX452" s="162"/>
      <c r="AY452" s="162"/>
      <c r="AZ452" s="7"/>
      <c r="BA452" s="15"/>
      <c r="BB452" s="15"/>
      <c r="BC452" s="15"/>
      <c r="BD452" s="41"/>
      <c r="BE452" s="41"/>
      <c r="BF452" s="41"/>
      <c r="BG452" s="41"/>
      <c r="BH452" s="41"/>
      <c r="BI452" s="41"/>
      <c r="BJ452" s="41"/>
      <c r="BK452" s="41"/>
      <c r="BL452" s="41"/>
      <c r="BM452" s="41"/>
      <c r="BN452" s="41"/>
    </row>
    <row r="453" spans="1:66" s="5" customFormat="1" x14ac:dyDescent="0.25">
      <c r="A453" s="7"/>
      <c r="M453" s="7"/>
      <c r="N453" s="76"/>
      <c r="O453" s="77"/>
      <c r="P453" s="77"/>
      <c r="Q453" s="76"/>
      <c r="R453" s="77"/>
      <c r="S453" s="79"/>
      <c r="T453" s="77"/>
      <c r="U453" s="79"/>
      <c r="V453" s="77"/>
      <c r="W453" s="82"/>
      <c r="X453" s="76"/>
      <c r="Y453" s="77"/>
      <c r="Z453" s="76"/>
      <c r="AA453" s="77"/>
      <c r="AB453" s="76"/>
      <c r="AC453" s="77"/>
      <c r="AD453" s="76"/>
      <c r="AE453" s="77"/>
      <c r="AF453" s="76"/>
      <c r="AG453" s="77"/>
      <c r="AH453" s="76"/>
      <c r="AI453" s="7"/>
      <c r="AJ453" s="27"/>
      <c r="AK453" s="3" t="s">
        <v>95</v>
      </c>
      <c r="AL453" s="3" t="s">
        <v>143</v>
      </c>
      <c r="AM453" s="3" t="s">
        <v>17</v>
      </c>
      <c r="AN453" s="18" t="s">
        <v>228</v>
      </c>
      <c r="AO453" s="23">
        <f>AO456*$AO$24</f>
        <v>8.8000000000000007</v>
      </c>
      <c r="AP453" s="162"/>
      <c r="AQ453" s="162"/>
      <c r="AR453" s="162"/>
      <c r="AS453" s="162"/>
      <c r="AT453" s="162"/>
      <c r="AU453" s="162"/>
      <c r="AV453" s="162"/>
      <c r="AW453" s="162"/>
      <c r="AX453" s="162"/>
      <c r="AY453" s="162"/>
      <c r="AZ453" s="7"/>
      <c r="BA453" s="15"/>
      <c r="BB453" s="15"/>
      <c r="BC453" s="15"/>
      <c r="BD453" s="41"/>
      <c r="BE453" s="41"/>
      <c r="BF453" s="41"/>
      <c r="BG453" s="41"/>
      <c r="BH453" s="41"/>
      <c r="BI453" s="41"/>
      <c r="BJ453" s="41"/>
      <c r="BK453" s="41"/>
      <c r="BL453" s="41"/>
      <c r="BM453" s="41"/>
      <c r="BN453" s="41"/>
    </row>
    <row r="454" spans="1:66" s="5" customFormat="1" x14ac:dyDescent="0.25">
      <c r="A454" s="7"/>
      <c r="M454" s="7"/>
      <c r="N454" s="76"/>
      <c r="O454" s="77"/>
      <c r="P454" s="77"/>
      <c r="Q454" s="76"/>
      <c r="R454" s="77"/>
      <c r="S454" s="79"/>
      <c r="T454" s="77"/>
      <c r="U454" s="79"/>
      <c r="V454" s="77"/>
      <c r="W454" s="82"/>
      <c r="X454" s="76"/>
      <c r="Y454" s="77"/>
      <c r="Z454" s="76"/>
      <c r="AA454" s="77"/>
      <c r="AB454" s="76"/>
      <c r="AC454" s="77"/>
      <c r="AD454" s="76"/>
      <c r="AE454" s="77"/>
      <c r="AF454" s="76"/>
      <c r="AG454" s="77"/>
      <c r="AH454" s="76"/>
      <c r="AI454" s="7"/>
      <c r="AJ454" s="27"/>
      <c r="AK454" s="3" t="s">
        <v>191</v>
      </c>
      <c r="AL454" s="3"/>
      <c r="AM454" s="3" t="s">
        <v>118</v>
      </c>
      <c r="AN454" s="18" t="s">
        <v>228</v>
      </c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7"/>
      <c r="BA454" s="15"/>
      <c r="BB454" s="15"/>
      <c r="BC454" s="15"/>
      <c r="BD454" s="41"/>
      <c r="BE454" s="41"/>
      <c r="BF454" s="41"/>
      <c r="BG454" s="41"/>
      <c r="BH454" s="41"/>
      <c r="BI454" s="41"/>
      <c r="BJ454" s="41"/>
      <c r="BK454" s="41"/>
      <c r="BL454" s="41"/>
      <c r="BM454" s="41"/>
      <c r="BN454" s="41"/>
    </row>
    <row r="455" spans="1:66" s="5" customFormat="1" x14ac:dyDescent="0.25">
      <c r="A455" s="7"/>
      <c r="M455" s="7"/>
      <c r="N455" s="76"/>
      <c r="O455" s="77"/>
      <c r="P455" s="77"/>
      <c r="Q455" s="76"/>
      <c r="R455" s="77"/>
      <c r="S455" s="79"/>
      <c r="T455" s="77"/>
      <c r="U455" s="79"/>
      <c r="V455" s="77"/>
      <c r="W455" s="82"/>
      <c r="X455" s="76"/>
      <c r="Y455" s="77"/>
      <c r="Z455" s="76"/>
      <c r="AA455" s="77"/>
      <c r="AB455" s="76"/>
      <c r="AC455" s="77"/>
      <c r="AD455" s="76"/>
      <c r="AE455" s="77"/>
      <c r="AF455" s="76"/>
      <c r="AG455" s="77"/>
      <c r="AH455" s="76"/>
      <c r="AI455" s="7"/>
      <c r="AJ455" s="27"/>
      <c r="AK455" s="3" t="s">
        <v>192</v>
      </c>
      <c r="AL455" s="3"/>
      <c r="AM455" s="3" t="s">
        <v>118</v>
      </c>
      <c r="AN455" s="18" t="s">
        <v>228</v>
      </c>
      <c r="AO455" s="3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7"/>
      <c r="BA455" s="15"/>
      <c r="BB455" s="15"/>
      <c r="BC455" s="15"/>
      <c r="BD455" s="41"/>
      <c r="BE455" s="41"/>
      <c r="BF455" s="41"/>
      <c r="BG455" s="41"/>
      <c r="BH455" s="41"/>
      <c r="BI455" s="41"/>
      <c r="BJ455" s="41"/>
      <c r="BK455" s="41"/>
      <c r="BL455" s="41"/>
      <c r="BM455" s="41"/>
      <c r="BN455" s="41"/>
    </row>
    <row r="456" spans="1:66" s="5" customFormat="1" x14ac:dyDescent="0.25">
      <c r="A456" s="7"/>
      <c r="M456" s="7"/>
      <c r="N456" s="76"/>
      <c r="O456" s="77"/>
      <c r="P456" s="77"/>
      <c r="Q456" s="76"/>
      <c r="R456" s="77"/>
      <c r="S456" s="79"/>
      <c r="T456" s="77"/>
      <c r="U456" s="79"/>
      <c r="V456" s="77"/>
      <c r="W456" s="82"/>
      <c r="X456" s="76"/>
      <c r="Y456" s="77"/>
      <c r="Z456" s="76"/>
      <c r="AA456" s="77"/>
      <c r="AB456" s="76"/>
      <c r="AC456" s="77"/>
      <c r="AD456" s="76"/>
      <c r="AE456" s="77"/>
      <c r="AF456" s="76"/>
      <c r="AG456" s="77"/>
      <c r="AH456" s="76"/>
      <c r="AI456" s="7"/>
      <c r="AJ456" s="27"/>
      <c r="AK456" s="95" t="s">
        <v>94</v>
      </c>
      <c r="AL456" s="3" t="s">
        <v>143</v>
      </c>
      <c r="AM456" s="3" t="s">
        <v>57</v>
      </c>
      <c r="AN456" s="18" t="s">
        <v>228</v>
      </c>
      <c r="AO456" s="22">
        <v>0.4</v>
      </c>
      <c r="AP456" s="22">
        <f>AO456</f>
        <v>0.4</v>
      </c>
      <c r="AQ456" s="22">
        <f t="shared" ref="AQ456:AY456" si="37">AP456</f>
        <v>0.4</v>
      </c>
      <c r="AR456" s="22">
        <f t="shared" si="37"/>
        <v>0.4</v>
      </c>
      <c r="AS456" s="22">
        <f t="shared" si="37"/>
        <v>0.4</v>
      </c>
      <c r="AT456" s="22">
        <f t="shared" si="37"/>
        <v>0.4</v>
      </c>
      <c r="AU456" s="22">
        <f t="shared" si="37"/>
        <v>0.4</v>
      </c>
      <c r="AV456" s="22">
        <f t="shared" si="37"/>
        <v>0.4</v>
      </c>
      <c r="AW456" s="22">
        <f t="shared" si="37"/>
        <v>0.4</v>
      </c>
      <c r="AX456" s="22">
        <f t="shared" si="37"/>
        <v>0.4</v>
      </c>
      <c r="AY456" s="22">
        <f t="shared" si="37"/>
        <v>0.4</v>
      </c>
      <c r="AZ456" s="7"/>
      <c r="BA456" s="15"/>
      <c r="BB456" s="15"/>
      <c r="BC456" s="15"/>
      <c r="BD456" s="41"/>
      <c r="BE456" s="41"/>
      <c r="BF456" s="41"/>
      <c r="BG456" s="41"/>
      <c r="BH456" s="41"/>
      <c r="BI456" s="41"/>
      <c r="BJ456" s="41"/>
      <c r="BK456" s="41"/>
      <c r="BL456" s="41"/>
      <c r="BM456" s="41"/>
      <c r="BN456" s="41"/>
    </row>
    <row r="457" spans="1:66" s="5" customFormat="1" x14ac:dyDescent="0.25">
      <c r="A457" s="7"/>
      <c r="M457" s="7"/>
      <c r="N457" s="76"/>
      <c r="O457" s="77"/>
      <c r="P457" s="77"/>
      <c r="Q457" s="76"/>
      <c r="R457" s="77"/>
      <c r="S457" s="79"/>
      <c r="T457" s="77"/>
      <c r="U457" s="79"/>
      <c r="V457" s="77"/>
      <c r="W457" s="82"/>
      <c r="X457" s="76"/>
      <c r="Y457" s="77"/>
      <c r="Z457" s="76"/>
      <c r="AA457" s="77"/>
      <c r="AB457" s="76"/>
      <c r="AC457" s="77"/>
      <c r="AD457" s="76"/>
      <c r="AE457" s="77"/>
      <c r="AF457" s="76"/>
      <c r="AG457" s="77"/>
      <c r="AH457" s="76"/>
      <c r="AI457" s="7"/>
      <c r="AJ457" s="27"/>
      <c r="AK457" s="3" t="s">
        <v>91</v>
      </c>
      <c r="AL457" s="3"/>
      <c r="AM457" s="3" t="s">
        <v>118</v>
      </c>
      <c r="AN457" s="18" t="s">
        <v>228</v>
      </c>
      <c r="AO457" s="22">
        <v>0.03</v>
      </c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7"/>
      <c r="BA457" s="15"/>
      <c r="BB457" s="15"/>
      <c r="BC457" s="15"/>
      <c r="BD457" s="41"/>
      <c r="BE457" s="41"/>
      <c r="BF457" s="41"/>
      <c r="BG457" s="41"/>
      <c r="BH457" s="41"/>
      <c r="BI457" s="41"/>
      <c r="BJ457" s="41"/>
      <c r="BK457" s="41"/>
      <c r="BL457" s="41"/>
      <c r="BM457" s="41"/>
      <c r="BN457" s="41"/>
    </row>
    <row r="458" spans="1:66" s="5" customFormat="1" x14ac:dyDescent="0.25">
      <c r="A458" s="7"/>
      <c r="M458" s="7"/>
      <c r="N458" s="76"/>
      <c r="O458" s="77"/>
      <c r="P458" s="77"/>
      <c r="Q458" s="76"/>
      <c r="R458" s="77"/>
      <c r="S458" s="79"/>
      <c r="T458" s="77"/>
      <c r="U458" s="79"/>
      <c r="V458" s="77"/>
      <c r="W458" s="82"/>
      <c r="X458" s="76"/>
      <c r="Y458" s="77"/>
      <c r="Z458" s="76"/>
      <c r="AA458" s="77"/>
      <c r="AB458" s="76"/>
      <c r="AC458" s="77"/>
      <c r="AD458" s="76"/>
      <c r="AE458" s="77"/>
      <c r="AF458" s="76"/>
      <c r="AG458" s="77"/>
      <c r="AH458" s="76"/>
      <c r="AI458" s="7"/>
      <c r="AJ458" s="27"/>
      <c r="AK458" s="3"/>
      <c r="AL458" s="3"/>
      <c r="AM458" s="3"/>
      <c r="AN458" s="18"/>
      <c r="AO458" s="3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7"/>
      <c r="BA458" s="15"/>
      <c r="BB458" s="15"/>
      <c r="BC458" s="15"/>
      <c r="BD458" s="41"/>
      <c r="BE458" s="41"/>
      <c r="BF458" s="41"/>
      <c r="BG458" s="41"/>
      <c r="BH458" s="41"/>
      <c r="BI458" s="41"/>
      <c r="BJ458" s="41"/>
      <c r="BK458" s="41"/>
      <c r="BL458" s="41"/>
      <c r="BM458" s="41"/>
      <c r="BN458" s="41"/>
    </row>
    <row r="459" spans="1:66" s="5" customFormat="1" x14ac:dyDescent="0.25">
      <c r="A459" s="7"/>
      <c r="M459" s="7"/>
      <c r="N459" s="76"/>
      <c r="O459" s="77"/>
      <c r="P459" s="77"/>
      <c r="Q459" s="76"/>
      <c r="R459" s="77"/>
      <c r="S459" s="79"/>
      <c r="T459" s="77"/>
      <c r="U459" s="79"/>
      <c r="V459" s="77"/>
      <c r="W459" s="82"/>
      <c r="X459" s="76"/>
      <c r="Y459" s="77"/>
      <c r="Z459" s="76"/>
      <c r="AA459" s="77"/>
      <c r="AB459" s="76"/>
      <c r="AC459" s="77"/>
      <c r="AD459" s="76"/>
      <c r="AE459" s="77"/>
      <c r="AF459" s="76"/>
      <c r="AG459" s="77"/>
      <c r="AH459" s="76"/>
      <c r="AI459" s="7"/>
      <c r="AJ459" s="27"/>
      <c r="AK459" s="3"/>
      <c r="AL459" s="3"/>
      <c r="AM459" s="3"/>
      <c r="AN459" s="18"/>
      <c r="AO459" s="3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7"/>
      <c r="BA459" s="15"/>
      <c r="BB459" s="15"/>
      <c r="BC459" s="15"/>
      <c r="BD459" s="41"/>
      <c r="BE459" s="41"/>
      <c r="BF459" s="41"/>
      <c r="BG459" s="41"/>
      <c r="BH459" s="41"/>
      <c r="BI459" s="41"/>
      <c r="BJ459" s="41"/>
      <c r="BK459" s="41"/>
      <c r="BL459" s="41"/>
      <c r="BM459" s="41"/>
      <c r="BN459" s="41"/>
    </row>
    <row r="460" spans="1:66" s="5" customFormat="1" x14ac:dyDescent="0.25">
      <c r="A460" s="7"/>
      <c r="M460" s="7"/>
      <c r="N460" s="76"/>
      <c r="O460" s="77"/>
      <c r="P460" s="77"/>
      <c r="Q460" s="76"/>
      <c r="R460" s="77"/>
      <c r="S460" s="79"/>
      <c r="T460" s="77"/>
      <c r="U460" s="79"/>
      <c r="V460" s="77"/>
      <c r="W460" s="82"/>
      <c r="X460" s="76"/>
      <c r="Y460" s="77"/>
      <c r="Z460" s="76"/>
      <c r="AA460" s="77"/>
      <c r="AB460" s="76"/>
      <c r="AC460" s="77"/>
      <c r="AD460" s="76"/>
      <c r="AE460" s="77"/>
      <c r="AF460" s="76"/>
      <c r="AG460" s="77"/>
      <c r="AH460" s="76"/>
      <c r="AI460" s="7"/>
      <c r="AJ460" s="27"/>
      <c r="AK460" s="3"/>
      <c r="AL460" s="3"/>
      <c r="AM460" s="3"/>
      <c r="AN460" s="18"/>
      <c r="AO460" s="3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7"/>
      <c r="BA460" s="15"/>
      <c r="BB460" s="15"/>
      <c r="BC460" s="15"/>
      <c r="BD460" s="41"/>
      <c r="BE460" s="41"/>
      <c r="BF460" s="41"/>
      <c r="BG460" s="41"/>
      <c r="BH460" s="41"/>
      <c r="BI460" s="41"/>
      <c r="BJ460" s="41"/>
      <c r="BK460" s="41"/>
      <c r="BL460" s="41"/>
      <c r="BM460" s="41"/>
      <c r="BN460" s="41"/>
    </row>
    <row r="461" spans="1:66" s="5" customFormat="1" x14ac:dyDescent="0.25">
      <c r="A461" s="7"/>
      <c r="B461" s="5" t="str">
        <f t="array" ref="B461">IFERROR(INDEX(DemandSupply,MATCH(INDEX($R$1:R461,SMALL(ROW($R$1:R461)+(10000*($R$1:R461="")),COUNTA($R$1:R461))),Sectors,0)),"")</f>
        <v>Supply</v>
      </c>
      <c r="M461" s="7"/>
      <c r="N461" s="76"/>
      <c r="O461" s="77"/>
      <c r="P461" s="77"/>
      <c r="Q461" s="76"/>
      <c r="R461" s="77"/>
      <c r="S461" s="79"/>
      <c r="T461" s="77"/>
      <c r="U461" s="79"/>
      <c r="V461" s="77"/>
      <c r="W461" s="80"/>
      <c r="X461" s="31" t="s">
        <v>88</v>
      </c>
      <c r="Y461" s="77"/>
      <c r="Z461" s="76"/>
      <c r="AA461" s="77"/>
      <c r="AB461" s="76"/>
      <c r="AC461" s="77"/>
      <c r="AD461" s="76"/>
      <c r="AE461" s="77"/>
      <c r="AF461" s="76"/>
      <c r="AG461" s="77"/>
      <c r="AH461" s="76"/>
      <c r="AI461" s="7"/>
      <c r="AJ461" s="28" t="str">
        <f t="shared" si="31"/>
        <v>Renewables</v>
      </c>
      <c r="AK461" s="3"/>
      <c r="AL461" s="3"/>
      <c r="AM461" s="3"/>
      <c r="AN461" s="18"/>
      <c r="AO461" s="3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7"/>
      <c r="BA461" s="15"/>
      <c r="BB461" s="15"/>
      <c r="BC461" s="15"/>
      <c r="BD461" s="41"/>
      <c r="BE461" s="41"/>
      <c r="BF461" s="41"/>
      <c r="BG461" s="41"/>
      <c r="BH461" s="41"/>
      <c r="BI461" s="41"/>
      <c r="BJ461" s="41"/>
      <c r="BK461" s="41"/>
      <c r="BL461" s="41"/>
      <c r="BM461" s="41"/>
      <c r="BN461" s="41"/>
    </row>
    <row r="462" spans="1:66" s="5" customFormat="1" x14ac:dyDescent="0.25">
      <c r="A462" s="7"/>
      <c r="B462" s="5" t="str">
        <f t="array" ref="B462">IFERROR(INDEX(DemandSupply,MATCH(INDEX($R$1:R462,SMALL(ROW($R$1:R462)+(10000*($R$1:R462="")),COUNTA($R$1:R462))),Sectors,0)),"")</f>
        <v>Supply</v>
      </c>
      <c r="M462" s="7"/>
      <c r="N462" s="76"/>
      <c r="O462" s="77"/>
      <c r="P462" s="77"/>
      <c r="Q462" s="76"/>
      <c r="R462" s="77"/>
      <c r="S462" s="79"/>
      <c r="T462" s="77"/>
      <c r="U462" s="79"/>
      <c r="V462" s="77"/>
      <c r="W462" s="77"/>
      <c r="X462" s="76"/>
      <c r="Y462" s="77"/>
      <c r="Z462" s="76"/>
      <c r="AA462" s="77"/>
      <c r="AB462" s="76"/>
      <c r="AC462" s="77"/>
      <c r="AD462" s="76"/>
      <c r="AE462" s="77"/>
      <c r="AF462" s="76"/>
      <c r="AG462" s="77"/>
      <c r="AH462" s="76"/>
      <c r="AI462" s="7"/>
      <c r="AJ462" s="27" t="str">
        <f t="shared" si="31"/>
        <v/>
      </c>
      <c r="AK462" s="3"/>
      <c r="AL462" s="3"/>
      <c r="AM462" s="3"/>
      <c r="AN462" s="18"/>
      <c r="AO462" s="3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7"/>
      <c r="BA462" s="15"/>
      <c r="BB462" s="15"/>
      <c r="BC462" s="15"/>
      <c r="BD462" s="41"/>
      <c r="BE462" s="41"/>
      <c r="BF462" s="41"/>
      <c r="BG462" s="41"/>
      <c r="BH462" s="41"/>
      <c r="BI462" s="41"/>
      <c r="BJ462" s="41"/>
      <c r="BK462" s="41"/>
      <c r="BL462" s="41"/>
      <c r="BM462" s="41"/>
      <c r="BN462" s="41"/>
    </row>
    <row r="463" spans="1:66" x14ac:dyDescent="0.25">
      <c r="A463" s="7"/>
      <c r="B463" s="5" t="str">
        <f t="array" ref="B463">IFERROR(INDEX(DemandSupply,MATCH(INDEX($R$1:R463,SMALL(ROW($R$1:R463)+(10000*($R$1:R463="")),COUNTA($R$1:R463))),Sectors,0)),"")</f>
        <v>Supply</v>
      </c>
      <c r="M463" s="7"/>
      <c r="U463" s="77"/>
      <c r="W463" s="77"/>
      <c r="Y463" s="77"/>
      <c r="AA463" s="77"/>
      <c r="AC463" s="77"/>
      <c r="AE463" s="77"/>
      <c r="AG463" s="77"/>
      <c r="AI463" s="7"/>
      <c r="AN463" s="18"/>
      <c r="AO463" s="23"/>
      <c r="AP463" s="23"/>
      <c r="AQ463" s="23"/>
      <c r="AR463" s="23"/>
      <c r="AS463" s="23"/>
      <c r="AT463" s="23"/>
      <c r="AU463" s="23"/>
      <c r="AV463" s="23"/>
      <c r="AW463" s="23"/>
      <c r="AX463" s="23"/>
      <c r="AY463" s="23"/>
      <c r="AZ463" s="7"/>
      <c r="BA463" s="15"/>
      <c r="BB463" s="15"/>
      <c r="BC463" s="15"/>
      <c r="BD463" s="41"/>
      <c r="BE463" s="41"/>
      <c r="BF463" s="41"/>
      <c r="BG463" s="41"/>
      <c r="BH463" s="41"/>
      <c r="BI463" s="41"/>
      <c r="BJ463" s="41"/>
      <c r="BK463" s="41"/>
      <c r="BL463" s="41"/>
      <c r="BM463" s="41"/>
      <c r="BN463" s="41"/>
    </row>
  </sheetData>
  <conditionalFormatting sqref="N3:P402 N413:P100046">
    <cfRule type="cellIs" dxfId="13" priority="8" stopIfTrue="1" operator="notEqual">
      <formula>0</formula>
    </cfRule>
  </conditionalFormatting>
  <conditionalFormatting sqref="R3:R402 R413:R100046">
    <cfRule type="expression" dxfId="12" priority="9" stopIfTrue="1">
      <formula>AND(R3&lt;&gt;0,INDEX(DemandSupply,MATCH(R3,Sectors,0))="Demand")</formula>
    </cfRule>
    <cfRule type="expression" dxfId="11" priority="11" stopIfTrue="1">
      <formula>AND(R3&lt;&gt;0,INDEX(DemandSupply,MATCH(R3,Sectors,0))="Supply")</formula>
    </cfRule>
  </conditionalFormatting>
  <conditionalFormatting sqref="T3:AH402 T413:AH100046">
    <cfRule type="expression" dxfId="10" priority="10" stopIfTrue="1">
      <formula>AND(T3&lt;&gt;0,$B3="Demand")</formula>
    </cfRule>
    <cfRule type="expression" dxfId="9" priority="12" stopIfTrue="1">
      <formula>AND(T3&lt;&gt;0,$B3="Supply")</formula>
    </cfRule>
  </conditionalFormatting>
  <conditionalFormatting sqref="AJ3:BN402 AJ413:BN100046">
    <cfRule type="expression" dxfId="8" priority="13" stopIfTrue="1">
      <formula>$AJ3&lt;&gt;""</formula>
    </cfRule>
  </conditionalFormatting>
  <conditionalFormatting sqref="AK3:AK402 AK413:AK100046">
    <cfRule type="expression" dxfId="7" priority="14" stopIfTrue="1">
      <formula>$AK3="Technology"</formula>
    </cfRule>
  </conditionalFormatting>
  <conditionalFormatting sqref="N403:P412">
    <cfRule type="cellIs" dxfId="6" priority="1" stopIfTrue="1" operator="notEqual">
      <formula>0</formula>
    </cfRule>
  </conditionalFormatting>
  <conditionalFormatting sqref="R403:R412">
    <cfRule type="expression" dxfId="5" priority="2" stopIfTrue="1">
      <formula>AND(R403&lt;&gt;0,INDEX(DemandSupply,MATCH(R403,Sectors,0))="Demand")</formula>
    </cfRule>
    <cfRule type="expression" dxfId="4" priority="4" stopIfTrue="1">
      <formula>AND(R403&lt;&gt;0,INDEX(DemandSupply,MATCH(R403,Sectors,0))="Supply")</formula>
    </cfRule>
  </conditionalFormatting>
  <conditionalFormatting sqref="T403:AH412">
    <cfRule type="expression" dxfId="3" priority="3" stopIfTrue="1">
      <formula>AND(T403&lt;&gt;0,$B403="Demand")</formula>
    </cfRule>
    <cfRule type="expression" dxfId="2" priority="5" stopIfTrue="1">
      <formula>AND(T403&lt;&gt;0,$B403="Supply")</formula>
    </cfRule>
  </conditionalFormatting>
  <conditionalFormatting sqref="AJ403:BN412">
    <cfRule type="expression" dxfId="1" priority="6" stopIfTrue="1">
      <formula>$AJ403&lt;&gt;""</formula>
    </cfRule>
  </conditionalFormatting>
  <conditionalFormatting sqref="AK403:AK412">
    <cfRule type="expression" dxfId="0" priority="7" stopIfTrue="1">
      <formula>$AK403="Technology"</formula>
    </cfRule>
  </conditionalFormatting>
  <dataValidations disablePrompts="1" count="1">
    <dataValidation type="list" allowBlank="1" showInputMessage="1" showErrorMessage="1" sqref="AN153 AN15 AN33 AN53 AN123 AN9 AN210 AN336 AN20 AN367 AN384 AN391 AN416" xr:uid="{87A47A8D-0106-47D3-8FB9-F6C03FC86F58}">
      <formula1>Competition</formula1>
    </dataValidation>
  </dataValidations>
  <hyperlinks>
    <hyperlink ref="AL10" location="AB" display="Alberta" xr:uid="{24F8C709-4339-4746-9C1A-A47F5E46601D}"/>
    <hyperlink ref="AJ7" location="$AJ$7" display="$AJ$7" xr:uid="{8B0137A1-CA11-4DB8-94B3-5FB9D46EB984}"/>
    <hyperlink ref="P12" location="$P$12" display="$P$12" xr:uid="{A00539EB-ED69-4CA0-A8CD-598F0C3C77B8}"/>
    <hyperlink ref="R18" location="$R$18" display="$R$18" xr:uid="{FECE9C28-985C-4770-A3AB-1C5B4367721C}"/>
    <hyperlink ref="N7" location="$N$7" display="$N$7" xr:uid="{068FF690-A95B-4670-8352-B1A6F60F9726}"/>
    <hyperlink ref="AJ18" location="$AJ$18" display="$AJ$18" xr:uid="{E06909DB-D24A-4118-83D3-60582514D8A3}"/>
    <hyperlink ref="T31" location="$T$31" display="$T$31" xr:uid="{0BFE3CE2-7126-46B8-92BE-DBE7F508C1AF}"/>
    <hyperlink ref="V51" location="$V$51" display="$V$51" xr:uid="{AC69F5FC-BE6E-447D-B37F-2EECDBF336F0}"/>
    <hyperlink ref="X121" location="$X$121" display="$X$121" xr:uid="{57FF1B97-B486-4669-A583-8AAE15A2953E}"/>
    <hyperlink ref="Z151" location="$Z$151" display="$Z$151" xr:uid="{0FDF796E-DEDC-4726-AB67-DDB70E21A1BE}"/>
    <hyperlink ref="X208" location="$X$208" display="$X$208" xr:uid="{2448D2C5-F46C-4376-BAD5-03F930F537CC}"/>
    <hyperlink ref="R365" location="$R$365" display="$R$365" xr:uid="{E4A648B1-BAFE-44B6-AC8B-AE36B8C874EC}"/>
    <hyperlink ref="T382" location="$T$382" display="$T$382" xr:uid="{8467D7B9-11E3-4726-9EDB-EB364E824B5A}"/>
    <hyperlink ref="V389" location="$V$384" display="$V$384" xr:uid="{F1ADEA5E-B258-46C5-96EB-80715123B904}"/>
    <hyperlink ref="X414" location="$X$386" display="$X$386" xr:uid="{C9A1F272-69D9-4603-8288-681167745538}"/>
    <hyperlink ref="X461" location="$X$388" display="$X$388" xr:uid="{40D92029-ECF7-40B5-A6EF-3D49DA49D975}"/>
    <hyperlink ref="AJ4" location="$AJ$4" display="$AJ$4" xr:uid="{366EBB12-6F4B-44FE-A51E-DBFCACBC76A2}"/>
    <hyperlink ref="AJ31" location="$AJ$31" display="$AJ$31" xr:uid="{3D816F71-A7DC-4A4E-B125-C7504FF63D71}"/>
    <hyperlink ref="AJ51" location="$AJ$51" display="$AJ$51" xr:uid="{BFDD0A66-017C-4184-9FC2-6373C8CAC8D3}"/>
    <hyperlink ref="AJ121" location="$AJ$121" display="$AJ$121" xr:uid="{D8975DE9-AC0D-418F-8D7A-5337F56BC691}"/>
    <hyperlink ref="AJ151" location="$AJ$151" display="$AJ$151" xr:uid="{020A9474-219A-45E7-A3D4-38BC109224DB}"/>
    <hyperlink ref="AJ208" location="$AJ$208" display="$AJ$208" xr:uid="{3E825E99-B7DD-4CBF-B35E-50C53FBB1149}"/>
    <hyperlink ref="AJ334" location="$AJ$334" display="$AJ$334" xr:uid="{95E196CB-86D6-4CC4-BD04-9A0CCB954F7D}"/>
    <hyperlink ref="AJ362" location="$AJ$362" display="$AJ$362" xr:uid="{71102C35-E152-4777-9A45-BF64866B41FB}"/>
    <hyperlink ref="AJ365" location="$AJ$365" display="$AJ$365" xr:uid="{ACC3267B-B827-42D1-A596-28B2DF27DF55}"/>
    <hyperlink ref="AJ12" location="$AJ$12" display="$AJ$12" xr:uid="{E3A996F2-126A-46A0-B32B-B8FE40E721A0}"/>
    <hyperlink ref="AK1" location="Model!Y1" display="Close all nodes" xr:uid="{339D1C2E-EA68-424B-A8A1-E79C2944C3DB}"/>
    <hyperlink ref="AN107" location="$AB$43" display="$AB$43" xr:uid="{982300C2-7CEC-4D11-9028-12C2CCED18DD}"/>
    <hyperlink ref="N4" location="$N$4" display="$N$4" xr:uid="{A68818D1-30D7-4E6D-B58E-C1AA2FEF3E36}"/>
    <hyperlink ref="AJ382" location="$AJ$382" display="$AJ$382" xr:uid="{B3565607-E0F5-4D21-B7E9-0D144420D02D}"/>
    <hyperlink ref="AJ389" location="$AJ$384" display="$AJ$384" xr:uid="{8349BD98-F01B-4325-A752-09883CEB6AC3}"/>
    <hyperlink ref="AJ414" location="$AJ$386" display="$AJ$386" xr:uid="{E2236E69-B8C6-4450-BCC2-72B129F226DE}"/>
    <hyperlink ref="AJ461" location="$AJ$388" display="$AJ$388" xr:uid="{E81EDCEB-36CC-4B5B-84BC-CABBEAC65DE8}"/>
    <hyperlink ref="V334" location="$V$334" display="$V$334" xr:uid="{78109602-7692-4866-8DE9-5A1A8234B7E1}"/>
    <hyperlink ref="V362" location="$V$362" display="$V$362" xr:uid="{2573A400-3FCC-4490-8045-4B18801A8FA3}"/>
  </hyperlink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EAFB0-7A93-4D90-AF18-F0D4729F4AD5}">
  <sheetPr codeName="Sheet3">
    <tabColor rgb="FFFFFF00"/>
  </sheetPr>
  <dimension ref="A1:AO10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5" x14ac:dyDescent="0.25"/>
  <cols>
    <col min="1" max="1" width="35.85546875" bestFit="1" customWidth="1"/>
    <col min="2" max="2" width="4.42578125" customWidth="1"/>
    <col min="3" max="3" width="11.7109375" style="114" bestFit="1" customWidth="1"/>
    <col min="4" max="4" width="12.140625" customWidth="1"/>
    <col min="5" max="5" width="11.7109375" style="114" bestFit="1" customWidth="1"/>
    <col min="6" max="6" width="10.140625" customWidth="1"/>
    <col min="7" max="7" width="11.7109375" style="114" bestFit="1" customWidth="1"/>
    <col min="8" max="8" width="11.85546875" style="104" bestFit="1" customWidth="1"/>
    <col min="9" max="9" width="10.140625" style="104" bestFit="1" customWidth="1"/>
    <col min="10" max="10" width="28.42578125" bestFit="1" customWidth="1"/>
    <col min="11" max="11" width="11.28515625" customWidth="1"/>
    <col min="12" max="12" width="13.85546875" style="114" bestFit="1" customWidth="1"/>
    <col min="13" max="13" width="13.85546875" style="104" customWidth="1"/>
    <col min="14" max="14" width="13.140625" style="104" bestFit="1" customWidth="1"/>
    <col min="15" max="15" width="9.5703125" style="104" customWidth="1"/>
    <col min="16" max="16" width="16.42578125" bestFit="1" customWidth="1"/>
    <col min="17" max="17" width="13.42578125" style="114" bestFit="1" customWidth="1"/>
    <col min="18" max="18" width="13.28515625" bestFit="1" customWidth="1"/>
    <col min="19" max="19" width="12.7109375" bestFit="1" customWidth="1"/>
    <col min="20" max="20" width="17.42578125" bestFit="1" customWidth="1"/>
    <col min="21" max="21" width="17.7109375" bestFit="1" customWidth="1"/>
    <col min="22" max="22" width="15.42578125" bestFit="1" customWidth="1"/>
    <col min="23" max="23" width="12.7109375" style="114" bestFit="1" customWidth="1"/>
    <col min="24" max="24" width="13.28515625" bestFit="1" customWidth="1"/>
    <col min="25" max="25" width="12.7109375" bestFit="1" customWidth="1"/>
    <col min="26" max="26" width="25.7109375" style="101" bestFit="1" customWidth="1"/>
    <col min="27" max="27" width="8.28515625" style="101" bestFit="1" customWidth="1"/>
    <col min="28" max="28" width="13.140625" bestFit="1" customWidth="1"/>
    <col min="29" max="29" width="12.7109375" style="114" bestFit="1" customWidth="1"/>
    <col min="30" max="30" width="13.140625" style="101" bestFit="1" customWidth="1"/>
    <col min="33" max="33" width="25.7109375" bestFit="1" customWidth="1"/>
    <col min="34" max="34" width="16.7109375" bestFit="1" customWidth="1"/>
    <col min="39" max="39" width="9.85546875" customWidth="1"/>
    <col min="40" max="40" width="10" customWidth="1"/>
  </cols>
  <sheetData>
    <row r="1" spans="1:41" s="99" customFormat="1" x14ac:dyDescent="0.25">
      <c r="C1" s="112" t="s">
        <v>5</v>
      </c>
      <c r="E1" s="112" t="s">
        <v>0</v>
      </c>
      <c r="G1" s="112" t="s">
        <v>130</v>
      </c>
      <c r="L1" s="112" t="s">
        <v>1</v>
      </c>
      <c r="M1" s="103"/>
      <c r="N1" s="103"/>
      <c r="O1" s="103"/>
      <c r="Q1" s="112" t="s">
        <v>86</v>
      </c>
      <c r="W1" s="112" t="s">
        <v>35</v>
      </c>
      <c r="Z1" s="106"/>
      <c r="AA1" s="106"/>
      <c r="AC1" s="112" t="s">
        <v>71</v>
      </c>
      <c r="AD1" s="106"/>
    </row>
    <row r="2" spans="1:41" x14ac:dyDescent="0.25">
      <c r="C2" s="113" t="s">
        <v>180</v>
      </c>
      <c r="D2" s="1" t="s">
        <v>181</v>
      </c>
      <c r="E2" s="113" t="s">
        <v>180</v>
      </c>
      <c r="F2" s="117" t="s">
        <v>181</v>
      </c>
      <c r="G2" s="113" t="s">
        <v>180</v>
      </c>
      <c r="H2" s="117" t="s">
        <v>182</v>
      </c>
      <c r="I2" s="117" t="s">
        <v>180</v>
      </c>
      <c r="J2" s="1"/>
      <c r="K2" s="1" t="s">
        <v>181</v>
      </c>
      <c r="L2" s="113" t="s">
        <v>180</v>
      </c>
      <c r="M2" s="105" t="s">
        <v>189</v>
      </c>
      <c r="N2" s="105" t="s">
        <v>189</v>
      </c>
      <c r="O2" s="105"/>
      <c r="P2" s="117" t="s">
        <v>181</v>
      </c>
      <c r="Q2" s="118" t="s">
        <v>180</v>
      </c>
      <c r="R2" s="105" t="s">
        <v>189</v>
      </c>
      <c r="S2" s="105" t="s">
        <v>189</v>
      </c>
      <c r="T2" s="1"/>
      <c r="U2" s="1" t="s">
        <v>181</v>
      </c>
      <c r="V2" s="1" t="s">
        <v>181</v>
      </c>
      <c r="W2" s="113" t="s">
        <v>180</v>
      </c>
      <c r="X2" s="105" t="s">
        <v>189</v>
      </c>
      <c r="Y2" s="105" t="s">
        <v>189</v>
      </c>
      <c r="Z2" s="107"/>
      <c r="AA2" s="107" t="s">
        <v>181</v>
      </c>
      <c r="AB2" s="1" t="s">
        <v>181</v>
      </c>
      <c r="AC2" s="113" t="s">
        <v>181</v>
      </c>
      <c r="AD2" s="107" t="s">
        <v>181</v>
      </c>
    </row>
    <row r="3" spans="1:41" s="143" customFormat="1" ht="60" x14ac:dyDescent="0.25">
      <c r="A3" s="154" t="s">
        <v>206</v>
      </c>
      <c r="C3" s="121" t="s">
        <v>52</v>
      </c>
      <c r="D3" s="122" t="s">
        <v>177</v>
      </c>
      <c r="E3" s="121" t="s">
        <v>101</v>
      </c>
      <c r="F3" s="122" t="s">
        <v>178</v>
      </c>
      <c r="G3" s="121" t="s">
        <v>179</v>
      </c>
      <c r="H3" s="123" t="s">
        <v>167</v>
      </c>
      <c r="I3" s="124" t="s">
        <v>104</v>
      </c>
      <c r="J3" s="122"/>
      <c r="K3" s="122" t="s">
        <v>175</v>
      </c>
      <c r="L3" s="121" t="s">
        <v>39</v>
      </c>
      <c r="M3" s="123" t="s">
        <v>190</v>
      </c>
      <c r="N3" s="124" t="s">
        <v>104</v>
      </c>
      <c r="O3" s="123"/>
      <c r="P3" s="124" t="s">
        <v>54</v>
      </c>
      <c r="Q3" s="125" t="s">
        <v>36</v>
      </c>
      <c r="R3" s="123" t="s">
        <v>190</v>
      </c>
      <c r="S3" s="124" t="s">
        <v>104</v>
      </c>
      <c r="T3" s="122"/>
      <c r="U3" s="122" t="s">
        <v>186</v>
      </c>
      <c r="V3" s="122" t="s">
        <v>187</v>
      </c>
      <c r="W3" s="121" t="s">
        <v>36</v>
      </c>
      <c r="X3" s="123" t="s">
        <v>190</v>
      </c>
      <c r="Y3" s="124" t="s">
        <v>104</v>
      </c>
      <c r="Z3" s="126"/>
      <c r="AA3" s="126" t="s">
        <v>184</v>
      </c>
      <c r="AB3" s="122" t="s">
        <v>185</v>
      </c>
      <c r="AC3" s="121" t="s">
        <v>184</v>
      </c>
      <c r="AD3" s="126" t="s">
        <v>185</v>
      </c>
      <c r="AG3" s="163" t="s">
        <v>209</v>
      </c>
      <c r="AH3" s="144" t="s">
        <v>183</v>
      </c>
      <c r="AI3" s="143" t="s">
        <v>37</v>
      </c>
      <c r="AJ3" s="143" t="s">
        <v>197</v>
      </c>
      <c r="AK3" s="143" t="s">
        <v>45</v>
      </c>
      <c r="AL3" s="143" t="s">
        <v>198</v>
      </c>
      <c r="AM3" s="143" t="s">
        <v>199</v>
      </c>
      <c r="AN3" s="143" t="s">
        <v>200</v>
      </c>
      <c r="AO3" s="143" t="s">
        <v>201</v>
      </c>
    </row>
    <row r="4" spans="1:41" x14ac:dyDescent="0.25">
      <c r="A4" s="127" t="s">
        <v>195</v>
      </c>
      <c r="C4" s="150">
        <f>Model!$AO$13</f>
        <v>3004198</v>
      </c>
      <c r="D4" s="54">
        <f>Model!$AO$16</f>
        <v>0.38461538461538458</v>
      </c>
      <c r="E4" s="151">
        <f>D4*C4</f>
        <v>1155460.769230769</v>
      </c>
      <c r="F4" s="54">
        <f>Model!$AO$29</f>
        <v>1</v>
      </c>
      <c r="G4" s="151">
        <f>F4*E4</f>
        <v>1155460.769230769</v>
      </c>
      <c r="H4" s="108">
        <f>INDEX(Model!$AO$34:$AO$37,MATCH($J4,Model!$AN$34:$AN$37,0))</f>
        <v>0.14000000000000001</v>
      </c>
      <c r="I4" s="129">
        <f>G4*H4</f>
        <v>161764.50769230767</v>
      </c>
      <c r="J4" s="54" t="s">
        <v>27</v>
      </c>
      <c r="K4" s="108">
        <f>INDEX(Model!$AO$38:$AO$41,MATCH($J4,Model!$AN$34:$AN$37,0))</f>
        <v>84.759907824534466</v>
      </c>
      <c r="L4" s="128">
        <f>K4*I4</f>
        <v>13711144.761281194</v>
      </c>
      <c r="M4" s="108">
        <f>Model!$AO$119</f>
        <v>0</v>
      </c>
      <c r="N4" s="129">
        <f t="shared" ref="N4:N8" si="0">L4*M4</f>
        <v>0</v>
      </c>
      <c r="O4" s="108" t="s">
        <v>33</v>
      </c>
      <c r="P4" s="108">
        <f>INDEX(Model!$AO$55:$AO$119,MATCH($O4,Model!$AN$55:$AN$119,0)+MATCH(Model!$AL$117,Model!$AL$55:$AL$119,0)-1)</f>
        <v>0.309</v>
      </c>
      <c r="Q4" s="128">
        <f>N4*P4</f>
        <v>0</v>
      </c>
      <c r="R4" s="146">
        <f>Model!$AO$139</f>
        <v>6.0000000000000001E-3</v>
      </c>
      <c r="S4" s="129">
        <f t="shared" ref="S4" si="1">Q4*R4</f>
        <v>0</v>
      </c>
      <c r="T4" s="54" t="s">
        <v>34</v>
      </c>
      <c r="U4" s="54"/>
      <c r="V4" s="54">
        <f>Model!$AO$138</f>
        <v>1</v>
      </c>
      <c r="W4" s="128"/>
      <c r="X4" s="146"/>
      <c r="Y4" s="129">
        <f t="shared" ref="Y4:Y67" si="2">W4*X4</f>
        <v>0</v>
      </c>
      <c r="Z4" s="109"/>
      <c r="AA4" s="109"/>
      <c r="AB4" s="54"/>
      <c r="AC4" s="115">
        <f>V4*S4+AA4*Y4</f>
        <v>0</v>
      </c>
      <c r="AD4" s="109">
        <f>AB4*Y4</f>
        <v>0</v>
      </c>
      <c r="AG4" s="1" t="s">
        <v>33</v>
      </c>
      <c r="AH4" s="136">
        <f t="shared" ref="AH4:AH6" si="3">(AJ4*AK4/(1-(1+AK4)^(-AL4))+SUM(AM4:AO4))^-AI4</f>
        <v>2.3644047760233659E-37</v>
      </c>
      <c r="AI4">
        <f>Model!$AO$54</f>
        <v>10</v>
      </c>
      <c r="AJ4">
        <f>Model!AO112</f>
        <v>18325</v>
      </c>
      <c r="AK4">
        <f>Model!AO111</f>
        <v>0.25</v>
      </c>
      <c r="AL4">
        <f>Model!AO110</f>
        <v>25</v>
      </c>
      <c r="AM4">
        <f>Model!AO113</f>
        <v>0</v>
      </c>
      <c r="AN4">
        <f>Model!AO114</f>
        <v>0</v>
      </c>
    </row>
    <row r="5" spans="1:41" x14ac:dyDescent="0.25">
      <c r="C5" s="165">
        <f>Model!$AO$13</f>
        <v>3004198</v>
      </c>
      <c r="D5" s="110">
        <f>Model!$AO$16</f>
        <v>0.38461538461538458</v>
      </c>
      <c r="E5" s="166">
        <f t="shared" ref="E5:E68" si="4">D5*C5</f>
        <v>1155460.769230769</v>
      </c>
      <c r="F5" s="110">
        <f>Model!$AO$29</f>
        <v>1</v>
      </c>
      <c r="G5" s="166">
        <f t="shared" ref="G5:G68" si="5">F5*E5</f>
        <v>1155460.769230769</v>
      </c>
      <c r="H5" s="111">
        <f>INDEX(Model!$AO$34:$AO$37,MATCH($J5,Model!$AN$34:$AN$37,0))</f>
        <v>0.14000000000000001</v>
      </c>
      <c r="I5" s="130">
        <f t="shared" ref="I5:I68" si="6">G5*H5</f>
        <v>161764.50769230767</v>
      </c>
      <c r="J5" s="110" t="s">
        <v>27</v>
      </c>
      <c r="K5" s="111">
        <f>INDEX(Model!$AO$38:$AO$41,MATCH($J5,Model!$AN$34:$AN$37,0))</f>
        <v>84.759907824534466</v>
      </c>
      <c r="L5" s="132">
        <f>K5*I5</f>
        <v>13711144.761281194</v>
      </c>
      <c r="M5" s="111">
        <f>Model!$AO$119</f>
        <v>0</v>
      </c>
      <c r="N5" s="130">
        <f t="shared" si="0"/>
        <v>0</v>
      </c>
      <c r="O5" s="111" t="s">
        <v>33</v>
      </c>
      <c r="P5" s="111">
        <f>INDEX(Model!$AO$55:$AO$119,MATCH($O5,Model!$AN$55:$AN$119,0)+MATCH(Model!$AL$117,Model!$AL$55:$AL$119,0)-1)</f>
        <v>0.309</v>
      </c>
      <c r="Q5" s="132">
        <f t="shared" ref="Q5:Q68" si="7">N5*P5</f>
        <v>0</v>
      </c>
      <c r="R5" s="147">
        <f>Model!$AO$149</f>
        <v>0.99399999999999999</v>
      </c>
      <c r="S5" s="130">
        <f t="shared" ref="S5:S68" si="8">Q5*R5</f>
        <v>0</v>
      </c>
      <c r="T5" s="110" t="s">
        <v>35</v>
      </c>
      <c r="U5" s="110">
        <f>Model!$AO$148</f>
        <v>1</v>
      </c>
      <c r="V5" s="110"/>
      <c r="W5" s="132">
        <f>S5*U5</f>
        <v>0</v>
      </c>
      <c r="X5" s="149"/>
      <c r="Y5" s="130">
        <f t="shared" si="2"/>
        <v>0</v>
      </c>
      <c r="Z5" s="110" t="s">
        <v>66</v>
      </c>
      <c r="AA5" s="110">
        <f>Model!$AO$179</f>
        <v>0.52600000000000002</v>
      </c>
      <c r="AB5" s="110"/>
      <c r="AC5" s="116">
        <f t="shared" ref="AC5:AC68" si="9">V5*S5+AA5*Y5</f>
        <v>0</v>
      </c>
      <c r="AD5" s="110">
        <f t="shared" ref="AD5:AD68" si="10">AB5*Y5</f>
        <v>0</v>
      </c>
      <c r="AG5" s="1" t="s">
        <v>32</v>
      </c>
      <c r="AH5" s="136">
        <f t="shared" si="3"/>
        <v>5.9218915519278998E-35</v>
      </c>
      <c r="AI5">
        <f>Model!$AO$54</f>
        <v>10</v>
      </c>
      <c r="AJ5">
        <f>Model!AO99</f>
        <v>10548</v>
      </c>
      <c r="AK5">
        <f>Model!AO98</f>
        <v>0.25</v>
      </c>
      <c r="AL5">
        <f>Model!AO97</f>
        <v>25</v>
      </c>
      <c r="AM5">
        <f>Model!AO100</f>
        <v>0</v>
      </c>
      <c r="AN5">
        <f>Model!AO101</f>
        <v>0</v>
      </c>
    </row>
    <row r="6" spans="1:41" x14ac:dyDescent="0.25">
      <c r="C6" s="150">
        <f>Model!$AO$13</f>
        <v>3004198</v>
      </c>
      <c r="D6" s="54">
        <f>Model!$AO$16</f>
        <v>0.38461538461538458</v>
      </c>
      <c r="E6" s="151">
        <f t="shared" si="4"/>
        <v>1155460.769230769</v>
      </c>
      <c r="F6" s="54">
        <f>Model!$AO$29</f>
        <v>1</v>
      </c>
      <c r="G6" s="151">
        <f t="shared" si="5"/>
        <v>1155460.769230769</v>
      </c>
      <c r="H6" s="108">
        <f>INDEX(Model!$AO$34:$AO$37,MATCH($J6,Model!$AN$34:$AN$37,0))</f>
        <v>0.14000000000000001</v>
      </c>
      <c r="I6" s="129">
        <f t="shared" si="6"/>
        <v>161764.50769230767</v>
      </c>
      <c r="J6" s="54" t="s">
        <v>27</v>
      </c>
      <c r="K6" s="108">
        <f>INDEX(Model!$AO$38:$AO$41,MATCH($J6,Model!$AN$34:$AN$37,0))</f>
        <v>84.759907824534466</v>
      </c>
      <c r="L6" s="128">
        <f>K6*I6</f>
        <v>13711144.761281194</v>
      </c>
      <c r="M6" s="108">
        <f>Model!$AO$119</f>
        <v>0</v>
      </c>
      <c r="N6" s="129">
        <f t="shared" si="0"/>
        <v>0</v>
      </c>
      <c r="O6" s="108" t="s">
        <v>33</v>
      </c>
      <c r="P6" s="108">
        <f>INDEX(Model!$AO$55:$AO$119,MATCH($O6,Model!$AN$55:$AN$119,0)+MATCH(Model!$AL$117,Model!$AL$55:$AL$119,0)-1)</f>
        <v>0.309</v>
      </c>
      <c r="Q6" s="128">
        <f t="shared" si="7"/>
        <v>0</v>
      </c>
      <c r="R6" s="146">
        <f>Model!$AO$149</f>
        <v>0.99399999999999999</v>
      </c>
      <c r="S6" s="129">
        <f t="shared" si="8"/>
        <v>0</v>
      </c>
      <c r="T6" s="54" t="s">
        <v>35</v>
      </c>
      <c r="U6" s="54">
        <f>Model!$AO$148</f>
        <v>1</v>
      </c>
      <c r="V6" s="54"/>
      <c r="W6" s="128">
        <f>S6*U6</f>
        <v>0</v>
      </c>
      <c r="X6" s="175">
        <v>0</v>
      </c>
      <c r="Y6" s="129">
        <f t="shared" si="2"/>
        <v>0</v>
      </c>
      <c r="Z6" s="109" t="s">
        <v>139</v>
      </c>
      <c r="AA6" s="109">
        <f>Model!$AO$192</f>
        <v>0.4</v>
      </c>
      <c r="AB6" s="54"/>
      <c r="AC6" s="115">
        <f t="shared" si="9"/>
        <v>0</v>
      </c>
      <c r="AD6" s="109">
        <f t="shared" si="10"/>
        <v>0</v>
      </c>
      <c r="AG6" s="1" t="s">
        <v>31</v>
      </c>
      <c r="AH6" s="136">
        <f t="shared" si="3"/>
        <v>5.8011808796853376E-29</v>
      </c>
      <c r="AI6">
        <f>Model!$AO$54</f>
        <v>10</v>
      </c>
      <c r="AJ6">
        <f>Model!AO86</f>
        <v>2655</v>
      </c>
      <c r="AK6">
        <f>Model!AO85</f>
        <v>0.25</v>
      </c>
      <c r="AL6">
        <f>Model!AO84</f>
        <v>25</v>
      </c>
      <c r="AM6">
        <f>Model!AO87</f>
        <v>0</v>
      </c>
      <c r="AN6">
        <f>Model!AO88</f>
        <v>0</v>
      </c>
    </row>
    <row r="7" spans="1:41" x14ac:dyDescent="0.25">
      <c r="A7" s="134" t="s">
        <v>140</v>
      </c>
      <c r="C7" s="150">
        <f>Model!$AO$13</f>
        <v>3004198</v>
      </c>
      <c r="D7" s="54">
        <f>Model!$AO$16</f>
        <v>0.38461538461538458</v>
      </c>
      <c r="E7" s="151">
        <f t="shared" si="4"/>
        <v>1155460.769230769</v>
      </c>
      <c r="F7" s="54">
        <f>Model!$AO$29</f>
        <v>1</v>
      </c>
      <c r="G7" s="151">
        <f t="shared" si="5"/>
        <v>1155460.769230769</v>
      </c>
      <c r="H7" s="108">
        <f>INDEX(Model!$AO$34:$AO$37,MATCH($J7,Model!$AN$34:$AN$37,0))</f>
        <v>0.14000000000000001</v>
      </c>
      <c r="I7" s="129">
        <f t="shared" si="6"/>
        <v>161764.50769230767</v>
      </c>
      <c r="J7" s="54" t="s">
        <v>27</v>
      </c>
      <c r="K7" s="108">
        <f>INDEX(Model!$AO$38:$AO$41,MATCH($J7,Model!$AN$34:$AN$37,0))</f>
        <v>84.759907824534466</v>
      </c>
      <c r="L7" s="128">
        <f>K7*I7</f>
        <v>13711144.761281194</v>
      </c>
      <c r="M7" s="108">
        <f>Model!$AO$119</f>
        <v>0</v>
      </c>
      <c r="N7" s="129">
        <f t="shared" si="0"/>
        <v>0</v>
      </c>
      <c r="O7" s="108" t="s">
        <v>33</v>
      </c>
      <c r="P7" s="108">
        <f>INDEX(Model!$AO$55:$AO$119,MATCH($O7,Model!$AN$55:$AN$119,0)+MATCH(Model!$AL$117,Model!$AL$55:$AL$119,0)-1)</f>
        <v>0.309</v>
      </c>
      <c r="Q7" s="128">
        <f t="shared" si="7"/>
        <v>0</v>
      </c>
      <c r="R7" s="146">
        <f>Model!$AO$149</f>
        <v>0.99399999999999999</v>
      </c>
      <c r="S7" s="129">
        <f t="shared" si="8"/>
        <v>0</v>
      </c>
      <c r="T7" s="54" t="s">
        <v>35</v>
      </c>
      <c r="U7" s="54">
        <f>Model!$AO$148</f>
        <v>1</v>
      </c>
      <c r="V7" s="54"/>
      <c r="W7" s="128">
        <f>S7*U7</f>
        <v>0</v>
      </c>
      <c r="X7" s="175">
        <f>Model!$AO$166/SUM(Model!$AO$166,Model!$AO$206)</f>
        <v>0.9494949494949495</v>
      </c>
      <c r="Y7" s="129">
        <f t="shared" si="2"/>
        <v>0</v>
      </c>
      <c r="Z7" s="109" t="s">
        <v>64</v>
      </c>
      <c r="AA7" s="109"/>
      <c r="AB7" s="54">
        <f>Model!$AO$165</f>
        <v>1.613</v>
      </c>
      <c r="AC7" s="115">
        <f t="shared" si="9"/>
        <v>0</v>
      </c>
      <c r="AD7" s="109">
        <f t="shared" si="10"/>
        <v>0</v>
      </c>
      <c r="AG7" s="1"/>
      <c r="AH7" s="136"/>
    </row>
    <row r="8" spans="1:41" x14ac:dyDescent="0.25">
      <c r="A8" s="100" t="s">
        <v>188</v>
      </c>
      <c r="C8" s="150">
        <f>Model!$AO$13</f>
        <v>3004198</v>
      </c>
      <c r="D8" s="54">
        <f>Model!$AO$16</f>
        <v>0.38461538461538458</v>
      </c>
      <c r="E8" s="151">
        <f t="shared" si="4"/>
        <v>1155460.769230769</v>
      </c>
      <c r="F8" s="54">
        <f>Model!$AO$29</f>
        <v>1</v>
      </c>
      <c r="G8" s="151">
        <f t="shared" si="5"/>
        <v>1155460.769230769</v>
      </c>
      <c r="H8" s="108">
        <f>INDEX(Model!$AO$34:$AO$37,MATCH($J8,Model!$AN$34:$AN$37,0))</f>
        <v>0.14000000000000001</v>
      </c>
      <c r="I8" s="129">
        <f t="shared" si="6"/>
        <v>161764.50769230767</v>
      </c>
      <c r="J8" s="54" t="s">
        <v>27</v>
      </c>
      <c r="K8" s="108">
        <f>INDEX(Model!$AO$38:$AO$41,MATCH($J8,Model!$AN$34:$AN$37,0))</f>
        <v>84.759907824534466</v>
      </c>
      <c r="L8" s="128">
        <f>K8*I8</f>
        <v>13711144.761281194</v>
      </c>
      <c r="M8" s="108">
        <f>Model!$AO$119</f>
        <v>0</v>
      </c>
      <c r="N8" s="129">
        <f t="shared" si="0"/>
        <v>0</v>
      </c>
      <c r="O8" s="108" t="s">
        <v>33</v>
      </c>
      <c r="P8" s="108">
        <f>INDEX(Model!$AO$55:$AO$119,MATCH($O8,Model!$AN$55:$AN$119,0)+MATCH(Model!$AL$117,Model!$AL$55:$AL$119,0)-1)</f>
        <v>0.309</v>
      </c>
      <c r="Q8" s="128">
        <f t="shared" si="7"/>
        <v>0</v>
      </c>
      <c r="R8" s="146">
        <f>Model!$AO$149</f>
        <v>0.99399999999999999</v>
      </c>
      <c r="S8" s="129">
        <f t="shared" si="8"/>
        <v>0</v>
      </c>
      <c r="T8" s="54" t="s">
        <v>35</v>
      </c>
      <c r="U8" s="54">
        <f>Model!$AO$148</f>
        <v>1</v>
      </c>
      <c r="V8" s="54"/>
      <c r="W8" s="128">
        <f>S8*U8</f>
        <v>0</v>
      </c>
      <c r="X8" s="175">
        <f>Model!$AO$206/SUM(Model!$AO$166,Model!$AO$206)</f>
        <v>5.0505050505050511E-2</v>
      </c>
      <c r="Y8" s="129">
        <f t="shared" si="2"/>
        <v>0</v>
      </c>
      <c r="Z8" s="109" t="s">
        <v>65</v>
      </c>
      <c r="AA8" s="109"/>
      <c r="AB8" s="54">
        <f>Model!$AO$205</f>
        <v>1.111</v>
      </c>
      <c r="AC8" s="115">
        <f t="shared" si="9"/>
        <v>0</v>
      </c>
      <c r="AD8" s="109">
        <f t="shared" si="10"/>
        <v>0</v>
      </c>
      <c r="AG8" s="1" t="s">
        <v>34</v>
      </c>
      <c r="AH8" s="136">
        <f>(AJ8*AK8/(1-(1+AK8)^(-AL8))+SUM(AM8:AO8))^-AI8</f>
        <v>4.1920840987895374E-29</v>
      </c>
      <c r="AI8">
        <f>Model!$AO$124</f>
        <v>10</v>
      </c>
      <c r="AJ8">
        <f>Model!AO130</f>
        <v>2655</v>
      </c>
      <c r="AK8">
        <f>Model!AO129</f>
        <v>0.25</v>
      </c>
      <c r="AL8">
        <f>Model!AO128</f>
        <v>25</v>
      </c>
      <c r="AM8">
        <f>Model!AO131</f>
        <v>0</v>
      </c>
      <c r="AN8">
        <f>Model!AO132</f>
        <v>0</v>
      </c>
      <c r="AO8" s="145">
        <f>Model!AO133</f>
        <v>22</v>
      </c>
    </row>
    <row r="9" spans="1:41" x14ac:dyDescent="0.25">
      <c r="C9" s="150">
        <f>Model!$AO$13</f>
        <v>3004198</v>
      </c>
      <c r="D9" s="54">
        <f>Model!$AO$16</f>
        <v>0.38461538461538458</v>
      </c>
      <c r="E9" s="151">
        <f t="shared" si="4"/>
        <v>1155460.769230769</v>
      </c>
      <c r="F9" s="54">
        <f>Model!$AO$29</f>
        <v>1</v>
      </c>
      <c r="G9" s="151">
        <f t="shared" si="5"/>
        <v>1155460.769230769</v>
      </c>
      <c r="H9" s="108">
        <f>INDEX(Model!$AO$34:$AO$37,MATCH($J9,Model!$AN$34:$AN$37,0))</f>
        <v>0.14000000000000001</v>
      </c>
      <c r="I9" s="129">
        <f t="shared" si="6"/>
        <v>161764.50769230767</v>
      </c>
      <c r="J9" s="54" t="s">
        <v>27</v>
      </c>
      <c r="K9" s="108">
        <f>INDEX(Model!$AO$38:$AO$41,MATCH($J9,Model!$AN$34:$AN$37,0))</f>
        <v>84.759907824534466</v>
      </c>
      <c r="L9" s="128">
        <f>K9*I9</f>
        <v>13711144.761281194</v>
      </c>
      <c r="M9" s="108">
        <f>Model!$AO$80</f>
        <v>0.83299999999999996</v>
      </c>
      <c r="N9" s="129">
        <f>L9*M9</f>
        <v>11421383.586147234</v>
      </c>
      <c r="O9" s="108" t="s">
        <v>29</v>
      </c>
      <c r="P9" s="108">
        <f>INDEX(Model!$AO$55:$AO$119,MATCH($O9,Model!$AN$55:$AN$119,0)+MATCH(Model!$AL$117,Model!$AL$55:$AL$119,0)-1)</f>
        <v>0.63300000000000001</v>
      </c>
      <c r="Q9" s="128">
        <f t="shared" si="7"/>
        <v>7229735.8100311989</v>
      </c>
      <c r="R9" s="146">
        <f>Model!$AO$139</f>
        <v>6.0000000000000001E-3</v>
      </c>
      <c r="S9" s="129">
        <f t="shared" si="8"/>
        <v>43378.414860187193</v>
      </c>
      <c r="T9" s="54" t="s">
        <v>34</v>
      </c>
      <c r="U9" s="54"/>
      <c r="V9" s="54">
        <f>Model!$AO$138</f>
        <v>1</v>
      </c>
      <c r="W9" s="128"/>
      <c r="X9" s="146"/>
      <c r="Y9" s="129">
        <f t="shared" si="2"/>
        <v>0</v>
      </c>
      <c r="Z9" s="109"/>
      <c r="AA9" s="109"/>
      <c r="AB9" s="54"/>
      <c r="AC9" s="115">
        <f t="shared" si="9"/>
        <v>43378.414860187193</v>
      </c>
      <c r="AD9" s="109">
        <f t="shared" si="10"/>
        <v>0</v>
      </c>
      <c r="AG9" s="1" t="s">
        <v>35</v>
      </c>
      <c r="AH9" s="136">
        <f>Model!AO143^-AI9</f>
        <v>9.5898138380678763E-28</v>
      </c>
      <c r="AI9">
        <f>Model!$AO$124</f>
        <v>10</v>
      </c>
    </row>
    <row r="10" spans="1:41" x14ac:dyDescent="0.25">
      <c r="A10" s="135" t="s">
        <v>196</v>
      </c>
      <c r="C10" s="165">
        <f>Model!$AO$13</f>
        <v>3004198</v>
      </c>
      <c r="D10" s="110">
        <f>Model!$AO$16</f>
        <v>0.38461538461538458</v>
      </c>
      <c r="E10" s="166">
        <f t="shared" si="4"/>
        <v>1155460.769230769</v>
      </c>
      <c r="F10" s="110">
        <f>Model!$AO$29</f>
        <v>1</v>
      </c>
      <c r="G10" s="166">
        <f t="shared" si="5"/>
        <v>1155460.769230769</v>
      </c>
      <c r="H10" s="111">
        <f>INDEX(Model!$AO$34:$AO$37,MATCH($J10,Model!$AN$34:$AN$37,0))</f>
        <v>0.14000000000000001</v>
      </c>
      <c r="I10" s="130">
        <f t="shared" si="6"/>
        <v>161764.50769230767</v>
      </c>
      <c r="J10" s="110" t="s">
        <v>27</v>
      </c>
      <c r="K10" s="111">
        <f>INDEX(Model!$AO$38:$AO$41,MATCH($J10,Model!$AN$34:$AN$37,0))</f>
        <v>84.759907824534466</v>
      </c>
      <c r="L10" s="132">
        <f>K10*I10</f>
        <v>13711144.761281194</v>
      </c>
      <c r="M10" s="111">
        <f>Model!$AO$80</f>
        <v>0.83299999999999996</v>
      </c>
      <c r="N10" s="130">
        <f t="shared" ref="N10:N73" si="11">L10*M10</f>
        <v>11421383.586147234</v>
      </c>
      <c r="O10" s="111" t="s">
        <v>29</v>
      </c>
      <c r="P10" s="111">
        <f>INDEX(Model!$AO$55:$AO$119,MATCH($O10,Model!$AN$55:$AN$119,0)+MATCH(Model!$AL$117,Model!$AL$55:$AL$119,0)-1)</f>
        <v>0.63300000000000001</v>
      </c>
      <c r="Q10" s="132">
        <f t="shared" si="7"/>
        <v>7229735.8100311989</v>
      </c>
      <c r="R10" s="147">
        <f>Model!$AO$149</f>
        <v>0.99399999999999999</v>
      </c>
      <c r="S10" s="130">
        <f t="shared" si="8"/>
        <v>7186357.3951710118</v>
      </c>
      <c r="T10" s="110" t="s">
        <v>35</v>
      </c>
      <c r="U10" s="110">
        <f>Model!$AO$148</f>
        <v>1</v>
      </c>
      <c r="V10" s="110"/>
      <c r="W10" s="132">
        <f>S10*U10</f>
        <v>7186357.3951710118</v>
      </c>
      <c r="X10" s="149"/>
      <c r="Y10" s="130">
        <f t="shared" si="2"/>
        <v>0</v>
      </c>
      <c r="Z10" s="110" t="s">
        <v>66</v>
      </c>
      <c r="AA10" s="110">
        <f>Model!$AO$179</f>
        <v>0.52600000000000002</v>
      </c>
      <c r="AB10" s="110"/>
      <c r="AC10" s="116">
        <f t="shared" si="9"/>
        <v>0</v>
      </c>
      <c r="AD10" s="110">
        <f t="shared" si="10"/>
        <v>0</v>
      </c>
      <c r="AG10" s="1"/>
      <c r="AH10" s="136"/>
    </row>
    <row r="11" spans="1:41" x14ac:dyDescent="0.25">
      <c r="A11" s="174" t="s">
        <v>229</v>
      </c>
      <c r="C11" s="150">
        <f>Model!$AO$13</f>
        <v>3004198</v>
      </c>
      <c r="D11" s="54">
        <f>Model!$AO$16</f>
        <v>0.38461538461538458</v>
      </c>
      <c r="E11" s="151">
        <f t="shared" si="4"/>
        <v>1155460.769230769</v>
      </c>
      <c r="F11" s="54">
        <f>Model!$AO$29</f>
        <v>1</v>
      </c>
      <c r="G11" s="151">
        <f t="shared" si="5"/>
        <v>1155460.769230769</v>
      </c>
      <c r="H11" s="108">
        <f>INDEX(Model!$AO$34:$AO$37,MATCH($J11,Model!$AN$34:$AN$37,0))</f>
        <v>0.14000000000000001</v>
      </c>
      <c r="I11" s="129">
        <f t="shared" si="6"/>
        <v>161764.50769230767</v>
      </c>
      <c r="J11" s="54" t="s">
        <v>27</v>
      </c>
      <c r="K11" s="108">
        <f>INDEX(Model!$AO$38:$AO$41,MATCH($J11,Model!$AN$34:$AN$37,0))</f>
        <v>84.759907824534466</v>
      </c>
      <c r="L11" s="128">
        <f>K11*I11</f>
        <v>13711144.761281194</v>
      </c>
      <c r="M11" s="108">
        <f>Model!$AO$80</f>
        <v>0.83299999999999996</v>
      </c>
      <c r="N11" s="129">
        <f t="shared" si="11"/>
        <v>11421383.586147234</v>
      </c>
      <c r="O11" s="108" t="s">
        <v>29</v>
      </c>
      <c r="P11" s="108">
        <f>INDEX(Model!$AO$55:$AO$119,MATCH($O11,Model!$AN$55:$AN$119,0)+MATCH(Model!$AL$117,Model!$AL$55:$AL$119,0)-1)</f>
        <v>0.63300000000000001</v>
      </c>
      <c r="Q11" s="128">
        <f t="shared" si="7"/>
        <v>7229735.8100311989</v>
      </c>
      <c r="R11" s="146">
        <f>Model!$AO$149</f>
        <v>0.99399999999999999</v>
      </c>
      <c r="S11" s="129">
        <f t="shared" si="8"/>
        <v>7186357.3951710118</v>
      </c>
      <c r="T11" s="54" t="s">
        <v>35</v>
      </c>
      <c r="U11" s="54">
        <f>Model!$AO$148</f>
        <v>1</v>
      </c>
      <c r="V11" s="54"/>
      <c r="W11" s="128">
        <f>S11*U11</f>
        <v>7186357.3951710118</v>
      </c>
      <c r="X11" s="175">
        <v>0</v>
      </c>
      <c r="Y11" s="129">
        <f t="shared" si="2"/>
        <v>0</v>
      </c>
      <c r="Z11" s="109" t="s">
        <v>139</v>
      </c>
      <c r="AA11" s="109">
        <f>Model!$AO$192</f>
        <v>0.4</v>
      </c>
      <c r="AB11" s="110"/>
      <c r="AC11" s="115">
        <f t="shared" si="9"/>
        <v>0</v>
      </c>
      <c r="AD11" s="109">
        <f t="shared" si="10"/>
        <v>0</v>
      </c>
      <c r="AG11" s="1" t="s">
        <v>139</v>
      </c>
      <c r="AH11" s="136">
        <f>(AJ11*AK11/(1-(1+AK11)^(-AL11))+SUM(AM11:AO11))^-AI11</f>
        <v>1.2632895040547378E-36</v>
      </c>
      <c r="AI11">
        <f>Model!$AO$154</f>
        <v>10</v>
      </c>
      <c r="AJ11">
        <f>Model!AO186</f>
        <v>15521</v>
      </c>
      <c r="AK11">
        <f>Model!AO185</f>
        <v>0.25</v>
      </c>
      <c r="AL11">
        <f>Model!AO184</f>
        <v>50</v>
      </c>
      <c r="AM11">
        <f>Model!AO187</f>
        <v>0</v>
      </c>
      <c r="AN11">
        <f>Model!AO188</f>
        <v>0</v>
      </c>
      <c r="AO11" s="145">
        <f>Model!AO189</f>
        <v>8.8000000000000007</v>
      </c>
    </row>
    <row r="12" spans="1:41" x14ac:dyDescent="0.25">
      <c r="C12" s="150">
        <f>Model!$AO$13</f>
        <v>3004198</v>
      </c>
      <c r="D12" s="54">
        <f>Model!$AO$16</f>
        <v>0.38461538461538458</v>
      </c>
      <c r="E12" s="151">
        <f t="shared" si="4"/>
        <v>1155460.769230769</v>
      </c>
      <c r="F12" s="54">
        <f>Model!$AO$29</f>
        <v>1</v>
      </c>
      <c r="G12" s="151">
        <f t="shared" si="5"/>
        <v>1155460.769230769</v>
      </c>
      <c r="H12" s="108">
        <f>INDEX(Model!$AO$34:$AO$37,MATCH($J12,Model!$AN$34:$AN$37,0))</f>
        <v>0.14000000000000001</v>
      </c>
      <c r="I12" s="129">
        <f t="shared" si="6"/>
        <v>161764.50769230767</v>
      </c>
      <c r="J12" s="54" t="s">
        <v>27</v>
      </c>
      <c r="K12" s="108">
        <f>INDEX(Model!$AO$38:$AO$41,MATCH($J12,Model!$AN$34:$AN$37,0))</f>
        <v>84.759907824534466</v>
      </c>
      <c r="L12" s="128">
        <f>K12*I12</f>
        <v>13711144.761281194</v>
      </c>
      <c r="M12" s="108">
        <f>Model!$AO$80</f>
        <v>0.83299999999999996</v>
      </c>
      <c r="N12" s="129">
        <f t="shared" si="11"/>
        <v>11421383.586147234</v>
      </c>
      <c r="O12" s="108" t="s">
        <v>29</v>
      </c>
      <c r="P12" s="108">
        <f>INDEX(Model!$AO$55:$AO$119,MATCH($O12,Model!$AN$55:$AN$119,0)+MATCH(Model!$AL$117,Model!$AL$55:$AL$119,0)-1)</f>
        <v>0.63300000000000001</v>
      </c>
      <c r="Q12" s="128">
        <f t="shared" si="7"/>
        <v>7229735.8100311989</v>
      </c>
      <c r="R12" s="146">
        <f>Model!$AO$149</f>
        <v>0.99399999999999999</v>
      </c>
      <c r="S12" s="129">
        <f t="shared" si="8"/>
        <v>7186357.3951710118</v>
      </c>
      <c r="T12" s="54" t="s">
        <v>35</v>
      </c>
      <c r="U12" s="54">
        <f>Model!$AO$148</f>
        <v>1</v>
      </c>
      <c r="V12" s="54"/>
      <c r="W12" s="128">
        <f>S12*U12</f>
        <v>7186357.3951710118</v>
      </c>
      <c r="X12" s="175">
        <f>Model!$AO$166/SUM(Model!$AO$166,Model!$AO$206)</f>
        <v>0.9494949494949495</v>
      </c>
      <c r="Y12" s="129">
        <f t="shared" si="2"/>
        <v>6823410.0519805569</v>
      </c>
      <c r="Z12" s="109" t="s">
        <v>64</v>
      </c>
      <c r="AA12" s="109"/>
      <c r="AB12" s="54">
        <f>Model!$AO$165</f>
        <v>1.613</v>
      </c>
      <c r="AC12" s="115">
        <f t="shared" si="9"/>
        <v>0</v>
      </c>
      <c r="AD12" s="109">
        <f t="shared" si="10"/>
        <v>11006160.413844638</v>
      </c>
      <c r="AG12" s="1" t="s">
        <v>65</v>
      </c>
      <c r="AH12" s="136">
        <f>(AJ12*AK12/(1-(1+AK12)^(-AL12))+SUM(AM12:AO12))^-AI12</f>
        <v>2.292137010387118E-30</v>
      </c>
      <c r="AI12">
        <f>Model!$AO$154</f>
        <v>10</v>
      </c>
      <c r="AJ12">
        <f>Model!AO199</f>
        <v>3565</v>
      </c>
      <c r="AK12">
        <f>Model!AO198</f>
        <v>0.25</v>
      </c>
      <c r="AL12">
        <f>Model!AO197</f>
        <v>18</v>
      </c>
      <c r="AM12">
        <f>Model!AO200</f>
        <v>0</v>
      </c>
      <c r="AN12">
        <f>Model!AO201</f>
        <v>0</v>
      </c>
      <c r="AO12" s="145">
        <f>Model!AO202</f>
        <v>12.798719999999999</v>
      </c>
    </row>
    <row r="13" spans="1:41" x14ac:dyDescent="0.25">
      <c r="C13" s="150">
        <f>Model!$AO$13</f>
        <v>3004198</v>
      </c>
      <c r="D13" s="54">
        <f>Model!$AO$16</f>
        <v>0.38461538461538458</v>
      </c>
      <c r="E13" s="151">
        <f t="shared" si="4"/>
        <v>1155460.769230769</v>
      </c>
      <c r="F13" s="54">
        <f>Model!$AO$29</f>
        <v>1</v>
      </c>
      <c r="G13" s="151">
        <f t="shared" si="5"/>
        <v>1155460.769230769</v>
      </c>
      <c r="H13" s="108">
        <f>INDEX(Model!$AO$34:$AO$37,MATCH($J13,Model!$AN$34:$AN$37,0))</f>
        <v>0.14000000000000001</v>
      </c>
      <c r="I13" s="129">
        <f t="shared" si="6"/>
        <v>161764.50769230767</v>
      </c>
      <c r="J13" s="54" t="s">
        <v>27</v>
      </c>
      <c r="K13" s="108">
        <f>INDEX(Model!$AO$38:$AO$41,MATCH($J13,Model!$AN$34:$AN$37,0))</f>
        <v>84.759907824534466</v>
      </c>
      <c r="L13" s="128">
        <f>K13*I13</f>
        <v>13711144.761281194</v>
      </c>
      <c r="M13" s="108">
        <f>Model!$AO$80</f>
        <v>0.83299999999999996</v>
      </c>
      <c r="N13" s="129">
        <f t="shared" si="11"/>
        <v>11421383.586147234</v>
      </c>
      <c r="O13" s="108" t="s">
        <v>29</v>
      </c>
      <c r="P13" s="108">
        <f>INDEX(Model!$AO$55:$AO$119,MATCH($O13,Model!$AN$55:$AN$119,0)+MATCH(Model!$AL$117,Model!$AL$55:$AL$119,0)-1)</f>
        <v>0.63300000000000001</v>
      </c>
      <c r="Q13" s="128">
        <f t="shared" si="7"/>
        <v>7229735.8100311989</v>
      </c>
      <c r="R13" s="146">
        <f>Model!$AO$149</f>
        <v>0.99399999999999999</v>
      </c>
      <c r="S13" s="129">
        <f t="shared" si="8"/>
        <v>7186357.3951710118</v>
      </c>
      <c r="T13" s="54" t="s">
        <v>35</v>
      </c>
      <c r="U13" s="54">
        <f>Model!$AO$148</f>
        <v>1</v>
      </c>
      <c r="V13" s="54"/>
      <c r="W13" s="128">
        <f>S13*U13</f>
        <v>7186357.3951710118</v>
      </c>
      <c r="X13" s="175">
        <f>Model!$AO$206/SUM(Model!$AO$166,Model!$AO$206)</f>
        <v>5.0505050505050511E-2</v>
      </c>
      <c r="Y13" s="129">
        <f t="shared" si="2"/>
        <v>362947.34319045517</v>
      </c>
      <c r="Z13" s="109" t="s">
        <v>65</v>
      </c>
      <c r="AA13" s="109"/>
      <c r="AB13" s="54">
        <f>Model!$AO$205</f>
        <v>1.111</v>
      </c>
      <c r="AC13" s="115">
        <f t="shared" si="9"/>
        <v>0</v>
      </c>
      <c r="AD13" s="109">
        <f t="shared" si="10"/>
        <v>403234.49828459567</v>
      </c>
      <c r="AG13" s="1" t="s">
        <v>66</v>
      </c>
      <c r="AH13" s="136">
        <f t="shared" ref="AH13" si="12">(AJ13*AK13/(1-(1+AK13)^(-AL13))+SUM(AM13:AO13))^-AI13</f>
        <v>6.0774662815168554E-32</v>
      </c>
      <c r="AI13">
        <f>Model!$AO$154</f>
        <v>10</v>
      </c>
      <c r="AJ13">
        <f>Model!AO172</f>
        <v>4886</v>
      </c>
      <c r="AK13">
        <f>Model!AO171</f>
        <v>0.25</v>
      </c>
      <c r="AL13">
        <f>Model!AO170</f>
        <v>12</v>
      </c>
      <c r="AM13">
        <f>Model!AO173</f>
        <v>0</v>
      </c>
      <c r="AN13">
        <f>Model!AO174</f>
        <v>0</v>
      </c>
      <c r="AO13" s="145">
        <f>Model!AO175</f>
        <v>11.572000000000001</v>
      </c>
    </row>
    <row r="14" spans="1:41" x14ac:dyDescent="0.25">
      <c r="C14" s="150">
        <f>Model!$AO$13</f>
        <v>3004198</v>
      </c>
      <c r="D14" s="54">
        <f>Model!$AO$16</f>
        <v>0.38461538461538458</v>
      </c>
      <c r="E14" s="151">
        <f t="shared" si="4"/>
        <v>1155460.769230769</v>
      </c>
      <c r="F14" s="54">
        <f>Model!$AO$29</f>
        <v>1</v>
      </c>
      <c r="G14" s="151">
        <f t="shared" si="5"/>
        <v>1155460.769230769</v>
      </c>
      <c r="H14" s="108">
        <f>INDEX(Model!$AO$34:$AO$37,MATCH($J14,Model!$AN$34:$AN$37,0))</f>
        <v>0.14000000000000001</v>
      </c>
      <c r="I14" s="129">
        <f t="shared" si="6"/>
        <v>161764.50769230767</v>
      </c>
      <c r="J14" s="54" t="s">
        <v>27</v>
      </c>
      <c r="K14" s="108">
        <f>INDEX(Model!$AO$38:$AO$41,MATCH($J14,Model!$AN$34:$AN$37,0))</f>
        <v>84.759907824534466</v>
      </c>
      <c r="L14" s="128">
        <f>K14*I14</f>
        <v>13711144.761281194</v>
      </c>
      <c r="M14" s="108">
        <f>Model!$AO$67</f>
        <v>0.16700000000000001</v>
      </c>
      <c r="N14" s="129">
        <f t="shared" si="11"/>
        <v>2289761.1751339594</v>
      </c>
      <c r="O14" s="108" t="s">
        <v>30</v>
      </c>
      <c r="P14" s="108">
        <f>INDEX(Model!$AO$55:$AO$119,MATCH($O14,Model!$AN$55:$AN$119,0)+MATCH(Model!$AL$117,Model!$AL$55:$AL$119,0)-1)</f>
        <v>0.997</v>
      </c>
      <c r="Q14" s="128">
        <f t="shared" si="7"/>
        <v>2282891.8916085577</v>
      </c>
      <c r="R14" s="146">
        <f>Model!$AO$139</f>
        <v>6.0000000000000001E-3</v>
      </c>
      <c r="S14" s="129">
        <f t="shared" si="8"/>
        <v>13697.351349651346</v>
      </c>
      <c r="T14" s="54" t="s">
        <v>34</v>
      </c>
      <c r="U14" s="54"/>
      <c r="V14" s="54">
        <f>Model!$AO$138</f>
        <v>1</v>
      </c>
      <c r="W14" s="128"/>
      <c r="X14" s="146"/>
      <c r="Y14" s="129">
        <f t="shared" si="2"/>
        <v>0</v>
      </c>
      <c r="Z14" s="109"/>
      <c r="AA14" s="109"/>
      <c r="AB14" s="54"/>
      <c r="AC14" s="115">
        <f t="shared" si="9"/>
        <v>13697.351349651346</v>
      </c>
      <c r="AD14" s="109">
        <f t="shared" si="10"/>
        <v>0</v>
      </c>
    </row>
    <row r="15" spans="1:41" x14ac:dyDescent="0.25">
      <c r="C15" s="165">
        <f>Model!$AO$13</f>
        <v>3004198</v>
      </c>
      <c r="D15" s="110">
        <f>Model!$AO$16</f>
        <v>0.38461538461538458</v>
      </c>
      <c r="E15" s="166">
        <f t="shared" si="4"/>
        <v>1155460.769230769</v>
      </c>
      <c r="F15" s="110">
        <f>Model!$AO$29</f>
        <v>1</v>
      </c>
      <c r="G15" s="166">
        <f t="shared" si="5"/>
        <v>1155460.769230769</v>
      </c>
      <c r="H15" s="111">
        <f>INDEX(Model!$AO$34:$AO$37,MATCH($J15,Model!$AN$34:$AN$37,0))</f>
        <v>0.14000000000000001</v>
      </c>
      <c r="I15" s="130">
        <f t="shared" si="6"/>
        <v>161764.50769230767</v>
      </c>
      <c r="J15" s="110" t="s">
        <v>27</v>
      </c>
      <c r="K15" s="111">
        <f>INDEX(Model!$AO$38:$AO$41,MATCH($J15,Model!$AN$34:$AN$37,0))</f>
        <v>84.759907824534466</v>
      </c>
      <c r="L15" s="132">
        <f>K15*I15</f>
        <v>13711144.761281194</v>
      </c>
      <c r="M15" s="111">
        <f>Model!$AO$67</f>
        <v>0.16700000000000001</v>
      </c>
      <c r="N15" s="130">
        <f t="shared" si="11"/>
        <v>2289761.1751339594</v>
      </c>
      <c r="O15" s="111" t="s">
        <v>30</v>
      </c>
      <c r="P15" s="111">
        <f>INDEX(Model!$AO$55:$AO$119,MATCH($O15,Model!$AN$55:$AN$119,0)+MATCH(Model!$AL$117,Model!$AL$55:$AL$119,0)-1)</f>
        <v>0.997</v>
      </c>
      <c r="Q15" s="132">
        <f t="shared" si="7"/>
        <v>2282891.8916085577</v>
      </c>
      <c r="R15" s="147">
        <f>Model!$AO$149</f>
        <v>0.99399999999999999</v>
      </c>
      <c r="S15" s="130">
        <f t="shared" si="8"/>
        <v>2269194.5402589063</v>
      </c>
      <c r="T15" s="110" t="s">
        <v>35</v>
      </c>
      <c r="U15" s="110">
        <f>Model!$AO$148</f>
        <v>1</v>
      </c>
      <c r="V15" s="110"/>
      <c r="W15" s="132">
        <f>S15*U15</f>
        <v>2269194.5402589063</v>
      </c>
      <c r="X15" s="149"/>
      <c r="Y15" s="130">
        <f t="shared" si="2"/>
        <v>0</v>
      </c>
      <c r="Z15" s="110" t="s">
        <v>66</v>
      </c>
      <c r="AA15" s="110">
        <f>Model!$AO$179</f>
        <v>0.52600000000000002</v>
      </c>
      <c r="AB15" s="110"/>
      <c r="AC15" s="116">
        <f t="shared" si="9"/>
        <v>0</v>
      </c>
      <c r="AD15" s="110">
        <f t="shared" si="10"/>
        <v>0</v>
      </c>
      <c r="AG15" s="1"/>
    </row>
    <row r="16" spans="1:41" x14ac:dyDescent="0.25">
      <c r="C16" s="150">
        <f>Model!$AO$13</f>
        <v>3004198</v>
      </c>
      <c r="D16" s="54">
        <f>Model!$AO$16</f>
        <v>0.38461538461538458</v>
      </c>
      <c r="E16" s="151">
        <f t="shared" si="4"/>
        <v>1155460.769230769</v>
      </c>
      <c r="F16" s="54">
        <f>Model!$AO$29</f>
        <v>1</v>
      </c>
      <c r="G16" s="151">
        <f t="shared" si="5"/>
        <v>1155460.769230769</v>
      </c>
      <c r="H16" s="108">
        <f>INDEX(Model!$AO$34:$AO$37,MATCH($J16,Model!$AN$34:$AN$37,0))</f>
        <v>0.14000000000000001</v>
      </c>
      <c r="I16" s="129">
        <f t="shared" si="6"/>
        <v>161764.50769230767</v>
      </c>
      <c r="J16" s="54" t="s">
        <v>27</v>
      </c>
      <c r="K16" s="108">
        <f>INDEX(Model!$AO$38:$AO$41,MATCH($J16,Model!$AN$34:$AN$37,0))</f>
        <v>84.759907824534466</v>
      </c>
      <c r="L16" s="128">
        <f>K16*I16</f>
        <v>13711144.761281194</v>
      </c>
      <c r="M16" s="108">
        <f>Model!$AO$67</f>
        <v>0.16700000000000001</v>
      </c>
      <c r="N16" s="129">
        <f t="shared" si="11"/>
        <v>2289761.1751339594</v>
      </c>
      <c r="O16" s="108" t="s">
        <v>30</v>
      </c>
      <c r="P16" s="108">
        <f>INDEX(Model!$AO$55:$AO$119,MATCH($O16,Model!$AN$55:$AN$119,0)+MATCH(Model!$AL$117,Model!$AL$55:$AL$119,0)-1)</f>
        <v>0.997</v>
      </c>
      <c r="Q16" s="128">
        <f t="shared" si="7"/>
        <v>2282891.8916085577</v>
      </c>
      <c r="R16" s="146">
        <f>Model!$AO$149</f>
        <v>0.99399999999999999</v>
      </c>
      <c r="S16" s="129">
        <f t="shared" si="8"/>
        <v>2269194.5402589063</v>
      </c>
      <c r="T16" s="54" t="s">
        <v>35</v>
      </c>
      <c r="U16" s="54">
        <f>Model!$AO$148</f>
        <v>1</v>
      </c>
      <c r="V16" s="54"/>
      <c r="W16" s="128">
        <f>S16*U16</f>
        <v>2269194.5402589063</v>
      </c>
      <c r="X16" s="175">
        <v>0</v>
      </c>
      <c r="Y16" s="129">
        <f t="shared" si="2"/>
        <v>0</v>
      </c>
      <c r="Z16" s="109" t="s">
        <v>139</v>
      </c>
      <c r="AA16" s="109">
        <f>Model!$AO$192</f>
        <v>0.4</v>
      </c>
      <c r="AB16" s="54"/>
      <c r="AC16" s="115">
        <f t="shared" si="9"/>
        <v>0</v>
      </c>
      <c r="AD16" s="109">
        <f t="shared" si="10"/>
        <v>0</v>
      </c>
      <c r="AG16" s="1"/>
    </row>
    <row r="17" spans="3:41" x14ac:dyDescent="0.25">
      <c r="C17" s="150">
        <f>Model!$AO$13</f>
        <v>3004198</v>
      </c>
      <c r="D17" s="54">
        <f>Model!$AO$16</f>
        <v>0.38461538461538458</v>
      </c>
      <c r="E17" s="151">
        <f t="shared" si="4"/>
        <v>1155460.769230769</v>
      </c>
      <c r="F17" s="54">
        <f>Model!$AO$29</f>
        <v>1</v>
      </c>
      <c r="G17" s="151">
        <f t="shared" si="5"/>
        <v>1155460.769230769</v>
      </c>
      <c r="H17" s="108">
        <f>INDEX(Model!$AO$34:$AO$37,MATCH($J17,Model!$AN$34:$AN$37,0))</f>
        <v>0.14000000000000001</v>
      </c>
      <c r="I17" s="129">
        <f t="shared" si="6"/>
        <v>161764.50769230767</v>
      </c>
      <c r="J17" s="54" t="s">
        <v>27</v>
      </c>
      <c r="K17" s="108">
        <f>INDEX(Model!$AO$38:$AO$41,MATCH($J17,Model!$AN$34:$AN$37,0))</f>
        <v>84.759907824534466</v>
      </c>
      <c r="L17" s="128">
        <f>K17*I17</f>
        <v>13711144.761281194</v>
      </c>
      <c r="M17" s="108">
        <f>Model!$AO$67</f>
        <v>0.16700000000000001</v>
      </c>
      <c r="N17" s="129">
        <f t="shared" si="11"/>
        <v>2289761.1751339594</v>
      </c>
      <c r="O17" s="108" t="s">
        <v>30</v>
      </c>
      <c r="P17" s="108">
        <f>INDEX(Model!$AO$55:$AO$119,MATCH($O17,Model!$AN$55:$AN$119,0)+MATCH(Model!$AL$117,Model!$AL$55:$AL$119,0)-1)</f>
        <v>0.997</v>
      </c>
      <c r="Q17" s="128">
        <f t="shared" si="7"/>
        <v>2282891.8916085577</v>
      </c>
      <c r="R17" s="146">
        <f>Model!$AO$149</f>
        <v>0.99399999999999999</v>
      </c>
      <c r="S17" s="129">
        <f t="shared" si="8"/>
        <v>2269194.5402589063</v>
      </c>
      <c r="T17" s="54" t="s">
        <v>35</v>
      </c>
      <c r="U17" s="54">
        <f>Model!$AO$148</f>
        <v>1</v>
      </c>
      <c r="V17" s="54"/>
      <c r="W17" s="128">
        <f>S17*U17</f>
        <v>2269194.5402589063</v>
      </c>
      <c r="X17" s="175">
        <f>Model!$AO$166/SUM(Model!$AO$166,Model!$AO$206)</f>
        <v>0.9494949494949495</v>
      </c>
      <c r="Y17" s="129">
        <f t="shared" si="2"/>
        <v>2154588.7553973454</v>
      </c>
      <c r="Z17" s="109" t="s">
        <v>64</v>
      </c>
      <c r="AA17" s="109"/>
      <c r="AB17" s="109">
        <f>Model!$AO$165</f>
        <v>1.613</v>
      </c>
      <c r="AC17" s="115">
        <f t="shared" si="9"/>
        <v>0</v>
      </c>
      <c r="AD17" s="109">
        <f t="shared" si="10"/>
        <v>3475351.6624559183</v>
      </c>
      <c r="AG17" s="1"/>
    </row>
    <row r="18" spans="3:41" x14ac:dyDescent="0.25">
      <c r="C18" s="150">
        <f>Model!$AO$13</f>
        <v>3004198</v>
      </c>
      <c r="D18" s="54">
        <f>Model!$AO$16</f>
        <v>0.38461538461538458</v>
      </c>
      <c r="E18" s="151">
        <f t="shared" si="4"/>
        <v>1155460.769230769</v>
      </c>
      <c r="F18" s="54">
        <f>Model!$AO$29</f>
        <v>1</v>
      </c>
      <c r="G18" s="151">
        <f t="shared" si="5"/>
        <v>1155460.769230769</v>
      </c>
      <c r="H18" s="108">
        <f>INDEX(Model!$AO$34:$AO$37,MATCH($J18,Model!$AN$34:$AN$37,0))</f>
        <v>0.14000000000000001</v>
      </c>
      <c r="I18" s="129">
        <f t="shared" si="6"/>
        <v>161764.50769230767</v>
      </c>
      <c r="J18" s="54" t="s">
        <v>27</v>
      </c>
      <c r="K18" s="108">
        <f>INDEX(Model!$AO$38:$AO$41,MATCH($J18,Model!$AN$34:$AN$37,0))</f>
        <v>84.759907824534466</v>
      </c>
      <c r="L18" s="128">
        <f>K18*I18</f>
        <v>13711144.761281194</v>
      </c>
      <c r="M18" s="108">
        <f>Model!$AO$67</f>
        <v>0.16700000000000001</v>
      </c>
      <c r="N18" s="129">
        <f t="shared" si="11"/>
        <v>2289761.1751339594</v>
      </c>
      <c r="O18" s="108" t="s">
        <v>30</v>
      </c>
      <c r="P18" s="108">
        <f>INDEX(Model!$AO$55:$AO$119,MATCH($O18,Model!$AN$55:$AN$119,0)+MATCH(Model!$AL$117,Model!$AL$55:$AL$119,0)-1)</f>
        <v>0.997</v>
      </c>
      <c r="Q18" s="128">
        <f t="shared" si="7"/>
        <v>2282891.8916085577</v>
      </c>
      <c r="R18" s="146">
        <f>Model!$AO$149</f>
        <v>0.99399999999999999</v>
      </c>
      <c r="S18" s="129">
        <f t="shared" si="8"/>
        <v>2269194.5402589063</v>
      </c>
      <c r="T18" s="54" t="s">
        <v>35</v>
      </c>
      <c r="U18" s="54">
        <f>Model!$AO$148</f>
        <v>1</v>
      </c>
      <c r="V18" s="54"/>
      <c r="W18" s="128">
        <f>S18*U18</f>
        <v>2269194.5402589063</v>
      </c>
      <c r="X18" s="175">
        <f>Model!$AO$206/SUM(Model!$AO$166,Model!$AO$206)</f>
        <v>5.0505050505050511E-2</v>
      </c>
      <c r="Y18" s="129">
        <f t="shared" si="2"/>
        <v>114605.78486156094</v>
      </c>
      <c r="Z18" s="109" t="s">
        <v>65</v>
      </c>
      <c r="AA18" s="109"/>
      <c r="AB18" s="109">
        <f>Model!$AO$205</f>
        <v>1.111</v>
      </c>
      <c r="AC18" s="115">
        <f t="shared" si="9"/>
        <v>0</v>
      </c>
      <c r="AD18" s="109">
        <f t="shared" si="10"/>
        <v>127327.0269811942</v>
      </c>
      <c r="AG18" s="1"/>
    </row>
    <row r="19" spans="3:41" x14ac:dyDescent="0.25">
      <c r="C19" s="150">
        <f>Model!$AO$13</f>
        <v>3004198</v>
      </c>
      <c r="D19" s="54">
        <f>Model!$AO$16</f>
        <v>0.38461538461538458</v>
      </c>
      <c r="E19" s="151">
        <f t="shared" si="4"/>
        <v>1155460.769230769</v>
      </c>
      <c r="F19" s="54">
        <f>Model!$AO$29</f>
        <v>1</v>
      </c>
      <c r="G19" s="151">
        <f t="shared" si="5"/>
        <v>1155460.769230769</v>
      </c>
      <c r="H19" s="108">
        <f>INDEX(Model!$AO$34:$AO$37,MATCH($J19,Model!$AN$34:$AN$37,0))</f>
        <v>0.14000000000000001</v>
      </c>
      <c r="I19" s="129">
        <f t="shared" si="6"/>
        <v>161764.50769230767</v>
      </c>
      <c r="J19" s="54" t="s">
        <v>27</v>
      </c>
      <c r="K19" s="108">
        <f>INDEX(Model!$AO$38:$AO$41,MATCH($J19,Model!$AN$34:$AN$37,0))</f>
        <v>84.759907824534466</v>
      </c>
      <c r="L19" s="128">
        <f>K19*I19</f>
        <v>13711144.761281194</v>
      </c>
      <c r="M19" s="108">
        <f>Model!$AO$106</f>
        <v>0</v>
      </c>
      <c r="N19" s="129">
        <f t="shared" si="11"/>
        <v>0</v>
      </c>
      <c r="O19" s="108" t="s">
        <v>32</v>
      </c>
      <c r="P19" s="108">
        <f>INDEX(Model!$AO$55:$AO$119,MATCH($O19,Model!$AN$55:$AN$119,0)+MATCH(Model!$AL$117,Model!$AL$55:$AL$119,0)-1)</f>
        <v>0.36</v>
      </c>
      <c r="Q19" s="128">
        <f t="shared" si="7"/>
        <v>0</v>
      </c>
      <c r="R19" s="146">
        <f>Model!$AO$139</f>
        <v>6.0000000000000001E-3</v>
      </c>
      <c r="S19" s="129">
        <f t="shared" si="8"/>
        <v>0</v>
      </c>
      <c r="T19" s="54" t="s">
        <v>34</v>
      </c>
      <c r="U19" s="54"/>
      <c r="V19" s="54">
        <f>Model!$AO$138</f>
        <v>1</v>
      </c>
      <c r="W19" s="128"/>
      <c r="X19" s="146"/>
      <c r="Y19" s="129">
        <f t="shared" si="2"/>
        <v>0</v>
      </c>
      <c r="Z19" s="109"/>
      <c r="AA19" s="109"/>
      <c r="AB19" s="109"/>
      <c r="AC19" s="115">
        <f t="shared" si="9"/>
        <v>0</v>
      </c>
      <c r="AD19" s="109">
        <f t="shared" si="10"/>
        <v>0</v>
      </c>
      <c r="AO19" s="145"/>
    </row>
    <row r="20" spans="3:41" x14ac:dyDescent="0.25">
      <c r="C20" s="165">
        <f>Model!$AO$13</f>
        <v>3004198</v>
      </c>
      <c r="D20" s="110">
        <f>Model!$AO$16</f>
        <v>0.38461538461538458</v>
      </c>
      <c r="E20" s="166">
        <f t="shared" si="4"/>
        <v>1155460.769230769</v>
      </c>
      <c r="F20" s="110">
        <f>Model!$AO$29</f>
        <v>1</v>
      </c>
      <c r="G20" s="166">
        <f t="shared" si="5"/>
        <v>1155460.769230769</v>
      </c>
      <c r="H20" s="111">
        <f>INDEX(Model!$AO$34:$AO$37,MATCH($J20,Model!$AN$34:$AN$37,0))</f>
        <v>0.14000000000000001</v>
      </c>
      <c r="I20" s="130">
        <f t="shared" si="6"/>
        <v>161764.50769230767</v>
      </c>
      <c r="J20" s="110" t="s">
        <v>27</v>
      </c>
      <c r="K20" s="111">
        <f>INDEX(Model!$AO$38:$AO$41,MATCH($J20,Model!$AN$34:$AN$37,0))</f>
        <v>84.759907824534466</v>
      </c>
      <c r="L20" s="132">
        <f>K20*I20</f>
        <v>13711144.761281194</v>
      </c>
      <c r="M20" s="111">
        <f>Model!$AO$106</f>
        <v>0</v>
      </c>
      <c r="N20" s="130">
        <f t="shared" si="11"/>
        <v>0</v>
      </c>
      <c r="O20" s="111" t="s">
        <v>32</v>
      </c>
      <c r="P20" s="111">
        <f>INDEX(Model!$AO$55:$AO$119,MATCH($O20,Model!$AN$55:$AN$119,0)+MATCH(Model!$AL$117,Model!$AL$55:$AL$119,0)-1)</f>
        <v>0.36</v>
      </c>
      <c r="Q20" s="132">
        <f t="shared" si="7"/>
        <v>0</v>
      </c>
      <c r="R20" s="147">
        <f>Model!$AO$149</f>
        <v>0.99399999999999999</v>
      </c>
      <c r="S20" s="130">
        <f t="shared" si="8"/>
        <v>0</v>
      </c>
      <c r="T20" s="110" t="s">
        <v>35</v>
      </c>
      <c r="U20" s="110">
        <f>Model!$AO$148</f>
        <v>1</v>
      </c>
      <c r="V20" s="110"/>
      <c r="W20" s="132">
        <f>S20*U20</f>
        <v>0</v>
      </c>
      <c r="X20" s="149"/>
      <c r="Y20" s="130">
        <f t="shared" si="2"/>
        <v>0</v>
      </c>
      <c r="Z20" s="110" t="s">
        <v>66</v>
      </c>
      <c r="AA20" s="110">
        <f>Model!$AO$179</f>
        <v>0.52600000000000002</v>
      </c>
      <c r="AB20" s="110"/>
      <c r="AC20" s="116">
        <f t="shared" si="9"/>
        <v>0</v>
      </c>
      <c r="AD20" s="110">
        <f t="shared" si="10"/>
        <v>0</v>
      </c>
    </row>
    <row r="21" spans="3:41" x14ac:dyDescent="0.25">
      <c r="C21" s="150">
        <f>Model!$AO$13</f>
        <v>3004198</v>
      </c>
      <c r="D21" s="54">
        <f>Model!$AO$16</f>
        <v>0.38461538461538458</v>
      </c>
      <c r="E21" s="151">
        <f t="shared" si="4"/>
        <v>1155460.769230769</v>
      </c>
      <c r="F21" s="54">
        <f>Model!$AO$29</f>
        <v>1</v>
      </c>
      <c r="G21" s="151">
        <f t="shared" si="5"/>
        <v>1155460.769230769</v>
      </c>
      <c r="H21" s="108">
        <f>INDEX(Model!$AO$34:$AO$37,MATCH($J21,Model!$AN$34:$AN$37,0))</f>
        <v>0.14000000000000001</v>
      </c>
      <c r="I21" s="129">
        <f t="shared" si="6"/>
        <v>161764.50769230767</v>
      </c>
      <c r="J21" s="54" t="s">
        <v>27</v>
      </c>
      <c r="K21" s="108">
        <f>INDEX(Model!$AO$38:$AO$41,MATCH($J21,Model!$AN$34:$AN$37,0))</f>
        <v>84.759907824534466</v>
      </c>
      <c r="L21" s="128">
        <f>K21*I21</f>
        <v>13711144.761281194</v>
      </c>
      <c r="M21" s="108">
        <f>Model!$AO$106</f>
        <v>0</v>
      </c>
      <c r="N21" s="129">
        <f t="shared" si="11"/>
        <v>0</v>
      </c>
      <c r="O21" s="108" t="s">
        <v>32</v>
      </c>
      <c r="P21" s="108">
        <f>INDEX(Model!$AO$55:$AO$119,MATCH($O21,Model!$AN$55:$AN$119,0)+MATCH(Model!$AL$117,Model!$AL$55:$AL$119,0)-1)</f>
        <v>0.36</v>
      </c>
      <c r="Q21" s="128">
        <f t="shared" si="7"/>
        <v>0</v>
      </c>
      <c r="R21" s="146">
        <f>Model!$AO$149</f>
        <v>0.99399999999999999</v>
      </c>
      <c r="S21" s="129">
        <f t="shared" si="8"/>
        <v>0</v>
      </c>
      <c r="T21" s="54" t="s">
        <v>35</v>
      </c>
      <c r="U21" s="54">
        <f>Model!$AO$148</f>
        <v>1</v>
      </c>
      <c r="V21" s="54"/>
      <c r="W21" s="128">
        <f>S21*U21</f>
        <v>0</v>
      </c>
      <c r="X21" s="175">
        <v>0</v>
      </c>
      <c r="Y21" s="129">
        <f t="shared" si="2"/>
        <v>0</v>
      </c>
      <c r="Z21" s="109" t="s">
        <v>139</v>
      </c>
      <c r="AA21" s="109">
        <f>Model!$AO$192</f>
        <v>0.4</v>
      </c>
      <c r="AB21" s="109"/>
      <c r="AC21" s="115">
        <f t="shared" si="9"/>
        <v>0</v>
      </c>
      <c r="AD21" s="109">
        <f t="shared" si="10"/>
        <v>0</v>
      </c>
    </row>
    <row r="22" spans="3:41" x14ac:dyDescent="0.25">
      <c r="C22" s="150">
        <f>Model!$AO$13</f>
        <v>3004198</v>
      </c>
      <c r="D22" s="54">
        <f>Model!$AO$16</f>
        <v>0.38461538461538458</v>
      </c>
      <c r="E22" s="151">
        <f t="shared" si="4"/>
        <v>1155460.769230769</v>
      </c>
      <c r="F22" s="54">
        <f>Model!$AO$29</f>
        <v>1</v>
      </c>
      <c r="G22" s="151">
        <f t="shared" si="5"/>
        <v>1155460.769230769</v>
      </c>
      <c r="H22" s="108">
        <f>INDEX(Model!$AO$34:$AO$37,MATCH($J22,Model!$AN$34:$AN$37,0))</f>
        <v>0.14000000000000001</v>
      </c>
      <c r="I22" s="129">
        <f t="shared" si="6"/>
        <v>161764.50769230767</v>
      </c>
      <c r="J22" s="54" t="s">
        <v>27</v>
      </c>
      <c r="K22" s="108">
        <f>INDEX(Model!$AO$38:$AO$41,MATCH($J22,Model!$AN$34:$AN$37,0))</f>
        <v>84.759907824534466</v>
      </c>
      <c r="L22" s="128">
        <f>K22*I22</f>
        <v>13711144.761281194</v>
      </c>
      <c r="M22" s="108">
        <f>Model!$AO$106</f>
        <v>0</v>
      </c>
      <c r="N22" s="129">
        <f t="shared" si="11"/>
        <v>0</v>
      </c>
      <c r="O22" s="108" t="s">
        <v>32</v>
      </c>
      <c r="P22" s="108">
        <f>INDEX(Model!$AO$55:$AO$119,MATCH($O22,Model!$AN$55:$AN$119,0)+MATCH(Model!$AL$117,Model!$AL$55:$AL$119,0)-1)</f>
        <v>0.36</v>
      </c>
      <c r="Q22" s="128">
        <f t="shared" si="7"/>
        <v>0</v>
      </c>
      <c r="R22" s="146">
        <f>Model!$AO$149</f>
        <v>0.99399999999999999</v>
      </c>
      <c r="S22" s="129">
        <f t="shared" si="8"/>
        <v>0</v>
      </c>
      <c r="T22" s="54" t="s">
        <v>35</v>
      </c>
      <c r="U22" s="54">
        <f>Model!$AO$148</f>
        <v>1</v>
      </c>
      <c r="V22" s="54"/>
      <c r="W22" s="128">
        <f>S22*U22</f>
        <v>0</v>
      </c>
      <c r="X22" s="175">
        <f>Model!$AO$166/SUM(Model!$AO$166,Model!$AO$206)</f>
        <v>0.9494949494949495</v>
      </c>
      <c r="Y22" s="129">
        <f t="shared" si="2"/>
        <v>0</v>
      </c>
      <c r="Z22" s="109" t="s">
        <v>64</v>
      </c>
      <c r="AA22" s="109"/>
      <c r="AB22" s="109">
        <f>Model!$AO$165</f>
        <v>1.613</v>
      </c>
      <c r="AC22" s="115">
        <f t="shared" si="9"/>
        <v>0</v>
      </c>
      <c r="AD22" s="109">
        <f t="shared" si="10"/>
        <v>0</v>
      </c>
    </row>
    <row r="23" spans="3:41" x14ac:dyDescent="0.25">
      <c r="C23" s="150">
        <f>Model!$AO$13</f>
        <v>3004198</v>
      </c>
      <c r="D23" s="54">
        <f>Model!$AO$16</f>
        <v>0.38461538461538458</v>
      </c>
      <c r="E23" s="151">
        <f t="shared" si="4"/>
        <v>1155460.769230769</v>
      </c>
      <c r="F23" s="54">
        <f>Model!$AO$29</f>
        <v>1</v>
      </c>
      <c r="G23" s="151">
        <f t="shared" si="5"/>
        <v>1155460.769230769</v>
      </c>
      <c r="H23" s="108">
        <f>INDEX(Model!$AO$34:$AO$37,MATCH($J23,Model!$AN$34:$AN$37,0))</f>
        <v>0.14000000000000001</v>
      </c>
      <c r="I23" s="129">
        <f t="shared" si="6"/>
        <v>161764.50769230767</v>
      </c>
      <c r="J23" s="54" t="s">
        <v>27</v>
      </c>
      <c r="K23" s="108">
        <f>INDEX(Model!$AO$38:$AO$41,MATCH($J23,Model!$AN$34:$AN$37,0))</f>
        <v>84.759907824534466</v>
      </c>
      <c r="L23" s="128">
        <f>K23*I23</f>
        <v>13711144.761281194</v>
      </c>
      <c r="M23" s="108">
        <f>Model!$AO$106</f>
        <v>0</v>
      </c>
      <c r="N23" s="129">
        <f t="shared" si="11"/>
        <v>0</v>
      </c>
      <c r="O23" s="108" t="s">
        <v>32</v>
      </c>
      <c r="P23" s="108">
        <f>INDEX(Model!$AO$55:$AO$119,MATCH($O23,Model!$AN$55:$AN$119,0)+MATCH(Model!$AL$117,Model!$AL$55:$AL$119,0)-1)</f>
        <v>0.36</v>
      </c>
      <c r="Q23" s="128">
        <f t="shared" si="7"/>
        <v>0</v>
      </c>
      <c r="R23" s="146">
        <f>Model!$AO$149</f>
        <v>0.99399999999999999</v>
      </c>
      <c r="S23" s="129">
        <f t="shared" si="8"/>
        <v>0</v>
      </c>
      <c r="T23" s="54" t="s">
        <v>35</v>
      </c>
      <c r="U23" s="54">
        <f>Model!$AO$148</f>
        <v>1</v>
      </c>
      <c r="V23" s="54"/>
      <c r="W23" s="128">
        <f>S23*U23</f>
        <v>0</v>
      </c>
      <c r="X23" s="175">
        <f>Model!$AO$206/SUM(Model!$AO$166,Model!$AO$206)</f>
        <v>5.0505050505050511E-2</v>
      </c>
      <c r="Y23" s="129">
        <f t="shared" si="2"/>
        <v>0</v>
      </c>
      <c r="Z23" s="109" t="s">
        <v>65</v>
      </c>
      <c r="AA23" s="109"/>
      <c r="AB23" s="109">
        <f>Model!$AO$205</f>
        <v>1.111</v>
      </c>
      <c r="AC23" s="115">
        <f t="shared" si="9"/>
        <v>0</v>
      </c>
      <c r="AD23" s="109">
        <f t="shared" si="10"/>
        <v>0</v>
      </c>
      <c r="AO23" s="145"/>
    </row>
    <row r="24" spans="3:41" x14ac:dyDescent="0.25">
      <c r="C24" s="150">
        <f>Model!$AO$13</f>
        <v>3004198</v>
      </c>
      <c r="D24" s="54">
        <f>Model!$AO$16</f>
        <v>0.38461538461538458</v>
      </c>
      <c r="E24" s="151">
        <f t="shared" si="4"/>
        <v>1155460.769230769</v>
      </c>
      <c r="F24" s="54">
        <f>Model!$AO$29</f>
        <v>1</v>
      </c>
      <c r="G24" s="151">
        <f t="shared" si="5"/>
        <v>1155460.769230769</v>
      </c>
      <c r="H24" s="108">
        <f>INDEX(Model!$AO$34:$AO$37,MATCH($J24,Model!$AN$34:$AN$37,0))</f>
        <v>0.14000000000000001</v>
      </c>
      <c r="I24" s="129">
        <f t="shared" si="6"/>
        <v>161764.50769230767</v>
      </c>
      <c r="J24" s="54" t="s">
        <v>27</v>
      </c>
      <c r="K24" s="108">
        <f>INDEX(Model!$AO$38:$AO$41,MATCH($J24,Model!$AN$34:$AN$37,0))</f>
        <v>84.759907824534466</v>
      </c>
      <c r="L24" s="128">
        <f>K24*I24</f>
        <v>13711144.761281194</v>
      </c>
      <c r="M24" s="108">
        <f>Model!$AO$93</f>
        <v>0</v>
      </c>
      <c r="N24" s="129">
        <f t="shared" si="11"/>
        <v>0</v>
      </c>
      <c r="O24" s="108" t="s">
        <v>31</v>
      </c>
      <c r="P24" s="108">
        <f>INDEX(Model!$AO$55:$AO$119,MATCH($O24,Model!$AN$55:$AN$119,0)+MATCH(Model!$AL$117,Model!$AL$55:$AL$119,0)-1)</f>
        <v>0.51500000000000001</v>
      </c>
      <c r="Q24" s="128">
        <f t="shared" si="7"/>
        <v>0</v>
      </c>
      <c r="R24" s="146">
        <f>Model!$AO$139</f>
        <v>6.0000000000000001E-3</v>
      </c>
      <c r="S24" s="129">
        <f t="shared" si="8"/>
        <v>0</v>
      </c>
      <c r="T24" s="54" t="s">
        <v>34</v>
      </c>
      <c r="U24" s="54"/>
      <c r="V24" s="54">
        <f>Model!$AO$138</f>
        <v>1</v>
      </c>
      <c r="W24" s="128"/>
      <c r="X24" s="146"/>
      <c r="Y24" s="129">
        <f t="shared" si="2"/>
        <v>0</v>
      </c>
      <c r="Z24" s="109"/>
      <c r="AA24" s="109"/>
      <c r="AB24" s="54"/>
      <c r="AC24" s="115">
        <f t="shared" si="9"/>
        <v>0</v>
      </c>
      <c r="AD24" s="109">
        <f t="shared" si="10"/>
        <v>0</v>
      </c>
      <c r="AO24" s="145"/>
    </row>
    <row r="25" spans="3:41" x14ac:dyDescent="0.25">
      <c r="C25" s="165">
        <f>Model!$AO$13</f>
        <v>3004198</v>
      </c>
      <c r="D25" s="110">
        <f>Model!$AO$16</f>
        <v>0.38461538461538458</v>
      </c>
      <c r="E25" s="166">
        <f t="shared" si="4"/>
        <v>1155460.769230769</v>
      </c>
      <c r="F25" s="110">
        <f>Model!$AO$29</f>
        <v>1</v>
      </c>
      <c r="G25" s="166">
        <f t="shared" si="5"/>
        <v>1155460.769230769</v>
      </c>
      <c r="H25" s="111">
        <f>INDEX(Model!$AO$34:$AO$37,MATCH($J25,Model!$AN$34:$AN$37,0))</f>
        <v>0.14000000000000001</v>
      </c>
      <c r="I25" s="130">
        <f t="shared" si="6"/>
        <v>161764.50769230767</v>
      </c>
      <c r="J25" s="110" t="s">
        <v>27</v>
      </c>
      <c r="K25" s="111">
        <f>INDEX(Model!$AO$38:$AO$41,MATCH($J25,Model!$AN$34:$AN$37,0))</f>
        <v>84.759907824534466</v>
      </c>
      <c r="L25" s="132">
        <f>K25*I25</f>
        <v>13711144.761281194</v>
      </c>
      <c r="M25" s="111">
        <f>Model!$AO$93</f>
        <v>0</v>
      </c>
      <c r="N25" s="130">
        <f t="shared" si="11"/>
        <v>0</v>
      </c>
      <c r="O25" s="111" t="s">
        <v>31</v>
      </c>
      <c r="P25" s="111">
        <f>INDEX(Model!$AO$55:$AO$119,MATCH($O25,Model!$AN$55:$AN$119,0)+MATCH(Model!$AL$117,Model!$AL$55:$AL$119,0)-1)</f>
        <v>0.51500000000000001</v>
      </c>
      <c r="Q25" s="132">
        <f t="shared" si="7"/>
        <v>0</v>
      </c>
      <c r="R25" s="147">
        <f>Model!$AO$149</f>
        <v>0.99399999999999999</v>
      </c>
      <c r="S25" s="130">
        <f t="shared" si="8"/>
        <v>0</v>
      </c>
      <c r="T25" s="110" t="s">
        <v>35</v>
      </c>
      <c r="U25" s="110">
        <f>Model!$AO$148</f>
        <v>1</v>
      </c>
      <c r="V25" s="110"/>
      <c r="W25" s="132">
        <f>S25*U25</f>
        <v>0</v>
      </c>
      <c r="X25" s="149"/>
      <c r="Y25" s="130">
        <f t="shared" si="2"/>
        <v>0</v>
      </c>
      <c r="Z25" s="110" t="s">
        <v>66</v>
      </c>
      <c r="AA25" s="110">
        <f>Model!$AO$179</f>
        <v>0.52600000000000002</v>
      </c>
      <c r="AB25" s="110"/>
      <c r="AC25" s="116">
        <f t="shared" si="9"/>
        <v>0</v>
      </c>
      <c r="AD25" s="110">
        <f t="shared" si="10"/>
        <v>0</v>
      </c>
      <c r="AO25" s="145"/>
    </row>
    <row r="26" spans="3:41" x14ac:dyDescent="0.25">
      <c r="C26" s="150">
        <f>Model!$AO$13</f>
        <v>3004198</v>
      </c>
      <c r="D26" s="54">
        <f>Model!$AO$16</f>
        <v>0.38461538461538458</v>
      </c>
      <c r="E26" s="151">
        <f t="shared" si="4"/>
        <v>1155460.769230769</v>
      </c>
      <c r="F26" s="54">
        <f>Model!$AO$29</f>
        <v>1</v>
      </c>
      <c r="G26" s="151">
        <f t="shared" si="5"/>
        <v>1155460.769230769</v>
      </c>
      <c r="H26" s="108">
        <f>INDEX(Model!$AO$34:$AO$37,MATCH($J26,Model!$AN$34:$AN$37,0))</f>
        <v>0.14000000000000001</v>
      </c>
      <c r="I26" s="129">
        <f t="shared" si="6"/>
        <v>161764.50769230767</v>
      </c>
      <c r="J26" s="54" t="s">
        <v>27</v>
      </c>
      <c r="K26" s="108">
        <f>INDEX(Model!$AO$38:$AO$41,MATCH($J26,Model!$AN$34:$AN$37,0))</f>
        <v>84.759907824534466</v>
      </c>
      <c r="L26" s="128">
        <f>K26*I26</f>
        <v>13711144.761281194</v>
      </c>
      <c r="M26" s="108">
        <f>Model!$AO$93</f>
        <v>0</v>
      </c>
      <c r="N26" s="129">
        <f t="shared" si="11"/>
        <v>0</v>
      </c>
      <c r="O26" s="108" t="s">
        <v>31</v>
      </c>
      <c r="P26" s="108">
        <f>INDEX(Model!$AO$55:$AO$119,MATCH($O26,Model!$AN$55:$AN$119,0)+MATCH(Model!$AL$117,Model!$AL$55:$AL$119,0)-1)</f>
        <v>0.51500000000000001</v>
      </c>
      <c r="Q26" s="128">
        <f t="shared" si="7"/>
        <v>0</v>
      </c>
      <c r="R26" s="146">
        <f>Model!$AO$149</f>
        <v>0.99399999999999999</v>
      </c>
      <c r="S26" s="129">
        <f t="shared" si="8"/>
        <v>0</v>
      </c>
      <c r="T26" s="54" t="s">
        <v>35</v>
      </c>
      <c r="U26" s="54">
        <f>Model!$AO$148</f>
        <v>1</v>
      </c>
      <c r="V26" s="54"/>
      <c r="W26" s="128">
        <f>S26*U26</f>
        <v>0</v>
      </c>
      <c r="X26" s="175">
        <v>0</v>
      </c>
      <c r="Y26" s="129">
        <f t="shared" si="2"/>
        <v>0</v>
      </c>
      <c r="Z26" s="109" t="s">
        <v>139</v>
      </c>
      <c r="AA26" s="109">
        <f>Model!$AO$192</f>
        <v>0.4</v>
      </c>
      <c r="AB26" s="54"/>
      <c r="AC26" s="115">
        <f t="shared" si="9"/>
        <v>0</v>
      </c>
      <c r="AD26" s="109">
        <f t="shared" si="10"/>
        <v>0</v>
      </c>
      <c r="AO26" s="145"/>
    </row>
    <row r="27" spans="3:41" x14ac:dyDescent="0.25">
      <c r="C27" s="150">
        <f>Model!$AO$13</f>
        <v>3004198</v>
      </c>
      <c r="D27" s="54">
        <f>Model!$AO$16</f>
        <v>0.38461538461538458</v>
      </c>
      <c r="E27" s="151">
        <f t="shared" si="4"/>
        <v>1155460.769230769</v>
      </c>
      <c r="F27" s="54">
        <f>Model!$AO$29</f>
        <v>1</v>
      </c>
      <c r="G27" s="151">
        <f t="shared" si="5"/>
        <v>1155460.769230769</v>
      </c>
      <c r="H27" s="108">
        <f>INDEX(Model!$AO$34:$AO$37,MATCH($J27,Model!$AN$34:$AN$37,0))</f>
        <v>0.14000000000000001</v>
      </c>
      <c r="I27" s="129">
        <f t="shared" si="6"/>
        <v>161764.50769230767</v>
      </c>
      <c r="J27" s="54" t="s">
        <v>27</v>
      </c>
      <c r="K27" s="108">
        <f>INDEX(Model!$AO$38:$AO$41,MATCH($J27,Model!$AN$34:$AN$37,0))</f>
        <v>84.759907824534466</v>
      </c>
      <c r="L27" s="128">
        <f>K27*I27</f>
        <v>13711144.761281194</v>
      </c>
      <c r="M27" s="108">
        <f>Model!$AO$93</f>
        <v>0</v>
      </c>
      <c r="N27" s="129">
        <f t="shared" si="11"/>
        <v>0</v>
      </c>
      <c r="O27" s="108" t="s">
        <v>31</v>
      </c>
      <c r="P27" s="108">
        <f>INDEX(Model!$AO$55:$AO$119,MATCH($O27,Model!$AN$55:$AN$119,0)+MATCH(Model!$AL$117,Model!$AL$55:$AL$119,0)-1)</f>
        <v>0.51500000000000001</v>
      </c>
      <c r="Q27" s="128">
        <f t="shared" si="7"/>
        <v>0</v>
      </c>
      <c r="R27" s="146">
        <f>Model!$AO$149</f>
        <v>0.99399999999999999</v>
      </c>
      <c r="S27" s="129">
        <f t="shared" si="8"/>
        <v>0</v>
      </c>
      <c r="T27" s="54" t="s">
        <v>35</v>
      </c>
      <c r="U27" s="54">
        <f>Model!$AO$148</f>
        <v>1</v>
      </c>
      <c r="V27" s="54"/>
      <c r="W27" s="128">
        <f>S27*U27</f>
        <v>0</v>
      </c>
      <c r="X27" s="175">
        <f>Model!$AO$166/SUM(Model!$AO$166,Model!$AO$206)</f>
        <v>0.9494949494949495</v>
      </c>
      <c r="Y27" s="129">
        <f t="shared" si="2"/>
        <v>0</v>
      </c>
      <c r="Z27" s="109" t="s">
        <v>64</v>
      </c>
      <c r="AA27" s="109"/>
      <c r="AB27" s="54">
        <f>Model!$AO$165</f>
        <v>1.613</v>
      </c>
      <c r="AC27" s="115">
        <f t="shared" si="9"/>
        <v>0</v>
      </c>
      <c r="AD27" s="109">
        <f t="shared" si="10"/>
        <v>0</v>
      </c>
      <c r="AO27" s="145"/>
    </row>
    <row r="28" spans="3:41" x14ac:dyDescent="0.25">
      <c r="C28" s="150">
        <f>Model!$AO$13</f>
        <v>3004198</v>
      </c>
      <c r="D28" s="54">
        <f>Model!$AO$16</f>
        <v>0.38461538461538458</v>
      </c>
      <c r="E28" s="151">
        <f t="shared" si="4"/>
        <v>1155460.769230769</v>
      </c>
      <c r="F28" s="54">
        <f>Model!$AO$29</f>
        <v>1</v>
      </c>
      <c r="G28" s="151">
        <f t="shared" si="5"/>
        <v>1155460.769230769</v>
      </c>
      <c r="H28" s="108">
        <f>INDEX(Model!$AO$34:$AO$37,MATCH($J28,Model!$AN$34:$AN$37,0))</f>
        <v>0.14000000000000001</v>
      </c>
      <c r="I28" s="129">
        <f t="shared" si="6"/>
        <v>161764.50769230767</v>
      </c>
      <c r="J28" s="109" t="s">
        <v>27</v>
      </c>
      <c r="K28" s="119">
        <f>INDEX(Model!$AO$38:$AO$41,MATCH($J28,Model!$AN$34:$AN$37,0))</f>
        <v>84.759907824534466</v>
      </c>
      <c r="L28" s="133">
        <f>K28*I28</f>
        <v>13711144.761281194</v>
      </c>
      <c r="M28" s="119">
        <f>Model!$AO$93</f>
        <v>0</v>
      </c>
      <c r="N28" s="131">
        <f t="shared" si="11"/>
        <v>0</v>
      </c>
      <c r="O28" s="119" t="s">
        <v>31</v>
      </c>
      <c r="P28" s="119">
        <f>INDEX(Model!$AO$55:$AO$119,MATCH($O28,Model!$AN$55:$AN$119,0)+MATCH(Model!$AL$117,Model!$AL$55:$AL$119,0)-1)</f>
        <v>0.51500000000000001</v>
      </c>
      <c r="Q28" s="133">
        <f t="shared" si="7"/>
        <v>0</v>
      </c>
      <c r="R28" s="148">
        <f>Model!$AO$149</f>
        <v>0.99399999999999999</v>
      </c>
      <c r="S28" s="131">
        <f t="shared" si="8"/>
        <v>0</v>
      </c>
      <c r="T28" s="109" t="s">
        <v>35</v>
      </c>
      <c r="U28" s="109">
        <f>Model!$AO$148</f>
        <v>1</v>
      </c>
      <c r="V28" s="109"/>
      <c r="W28" s="133">
        <f>S28*U28</f>
        <v>0</v>
      </c>
      <c r="X28" s="175">
        <f>Model!$AO$206/SUM(Model!$AO$166,Model!$AO$206)</f>
        <v>5.0505050505050511E-2</v>
      </c>
      <c r="Y28" s="131">
        <f t="shared" si="2"/>
        <v>0</v>
      </c>
      <c r="Z28" s="109" t="s">
        <v>65</v>
      </c>
      <c r="AA28" s="109"/>
      <c r="AB28" s="109">
        <f>Model!$AO$205</f>
        <v>1.111</v>
      </c>
      <c r="AC28" s="120">
        <f t="shared" si="9"/>
        <v>0</v>
      </c>
      <c r="AD28" s="109">
        <f t="shared" si="10"/>
        <v>0</v>
      </c>
      <c r="AO28" s="145"/>
    </row>
    <row r="29" spans="3:41" x14ac:dyDescent="0.25">
      <c r="C29" s="150">
        <f>Model!$AO$13</f>
        <v>3004198</v>
      </c>
      <c r="D29" s="54">
        <f>Model!$AO$16</f>
        <v>0.38461538461538458</v>
      </c>
      <c r="E29" s="151">
        <f t="shared" si="4"/>
        <v>1155460.769230769</v>
      </c>
      <c r="F29" s="54">
        <f>Model!$AO$29</f>
        <v>1</v>
      </c>
      <c r="G29" s="151">
        <f t="shared" si="5"/>
        <v>1155460.769230769</v>
      </c>
      <c r="H29" s="108">
        <f>INDEX(Model!$AO$34:$AO$37,MATCH($J29,Model!$AN$34:$AN$37,0))</f>
        <v>4.0590758000000005E-2</v>
      </c>
      <c r="I29" s="129">
        <f t="shared" si="6"/>
        <v>46901.028462339993</v>
      </c>
      <c r="J29" s="109" t="s">
        <v>28</v>
      </c>
      <c r="K29" s="119">
        <f>INDEX(Model!$AO$38:$AO$41,MATCH($J29,Model!$AN$34:$AN$37,0))</f>
        <v>91.721414046613475</v>
      </c>
      <c r="L29" s="133">
        <f>K29*I29</f>
        <v>4301828.6508062901</v>
      </c>
      <c r="M29" s="119">
        <f>Model!$AO$119</f>
        <v>0</v>
      </c>
      <c r="N29" s="131">
        <f t="shared" si="11"/>
        <v>0</v>
      </c>
      <c r="O29" s="119" t="s">
        <v>33</v>
      </c>
      <c r="P29" s="119">
        <f>INDEX(Model!$AO$55:$AO$119,MATCH($O29,Model!$AN$55:$AN$119,0)+MATCH(Model!$AL$117,Model!$AL$55:$AL$119,0)-1)</f>
        <v>0.309</v>
      </c>
      <c r="Q29" s="133">
        <f t="shared" si="7"/>
        <v>0</v>
      </c>
      <c r="R29" s="148">
        <f>Model!$AO$139</f>
        <v>6.0000000000000001E-3</v>
      </c>
      <c r="S29" s="131">
        <f t="shared" si="8"/>
        <v>0</v>
      </c>
      <c r="T29" s="109" t="s">
        <v>34</v>
      </c>
      <c r="U29" s="109"/>
      <c r="V29" s="109">
        <f>Model!$AO$138</f>
        <v>1</v>
      </c>
      <c r="W29" s="133"/>
      <c r="X29" s="148"/>
      <c r="Y29" s="131">
        <f t="shared" si="2"/>
        <v>0</v>
      </c>
      <c r="Z29" s="109"/>
      <c r="AA29" s="109"/>
      <c r="AB29" s="109"/>
      <c r="AC29" s="120">
        <f t="shared" si="9"/>
        <v>0</v>
      </c>
      <c r="AD29" s="109">
        <f t="shared" si="10"/>
        <v>0</v>
      </c>
      <c r="AO29" s="145"/>
    </row>
    <row r="30" spans="3:41" x14ac:dyDescent="0.25">
      <c r="C30" s="150">
        <f>Model!$AO$13</f>
        <v>3004198</v>
      </c>
      <c r="D30" s="54">
        <f>Model!$AO$16</f>
        <v>0.38461538461538458</v>
      </c>
      <c r="E30" s="151">
        <f t="shared" si="4"/>
        <v>1155460.769230769</v>
      </c>
      <c r="F30" s="54">
        <f>Model!$AO$29</f>
        <v>1</v>
      </c>
      <c r="G30" s="151">
        <f t="shared" si="5"/>
        <v>1155460.769230769</v>
      </c>
      <c r="H30" s="108">
        <f>INDEX(Model!$AO$34:$AO$37,MATCH($J30,Model!$AN$34:$AN$37,0))</f>
        <v>4.0590758000000005E-2</v>
      </c>
      <c r="I30" s="129">
        <f t="shared" si="6"/>
        <v>46901.028462339993</v>
      </c>
      <c r="J30" s="109" t="s">
        <v>28</v>
      </c>
      <c r="K30" s="119">
        <f>INDEX(Model!$AO$38:$AO$41,MATCH($J30,Model!$AN$34:$AN$37,0))</f>
        <v>91.721414046613475</v>
      </c>
      <c r="L30" s="133">
        <f>K30*I30</f>
        <v>4301828.6508062901</v>
      </c>
      <c r="M30" s="119">
        <f>Model!$AO$119</f>
        <v>0</v>
      </c>
      <c r="N30" s="131">
        <f t="shared" si="11"/>
        <v>0</v>
      </c>
      <c r="O30" s="119" t="s">
        <v>33</v>
      </c>
      <c r="P30" s="119">
        <f>INDEX(Model!$AO$55:$AO$119,MATCH($O30,Model!$AN$55:$AN$119,0)+MATCH(Model!$AL$117,Model!$AL$55:$AL$119,0)-1)</f>
        <v>0.309</v>
      </c>
      <c r="Q30" s="133">
        <f t="shared" si="7"/>
        <v>0</v>
      </c>
      <c r="R30" s="148">
        <f>Model!$AO$149</f>
        <v>0.99399999999999999</v>
      </c>
      <c r="S30" s="131">
        <f t="shared" si="8"/>
        <v>0</v>
      </c>
      <c r="T30" s="109" t="s">
        <v>35</v>
      </c>
      <c r="U30" s="109">
        <f>Model!$AO$148</f>
        <v>1</v>
      </c>
      <c r="V30" s="109"/>
      <c r="W30" s="133">
        <f>S30*U30</f>
        <v>0</v>
      </c>
      <c r="X30" s="148">
        <f>Model!$AO$180</f>
        <v>0.01</v>
      </c>
      <c r="Y30" s="131">
        <f t="shared" si="2"/>
        <v>0</v>
      </c>
      <c r="Z30" s="109" t="s">
        <v>66</v>
      </c>
      <c r="AA30" s="109">
        <f>Model!$AO$179</f>
        <v>0.52600000000000002</v>
      </c>
      <c r="AB30" s="109"/>
      <c r="AC30" s="120">
        <f t="shared" si="9"/>
        <v>0</v>
      </c>
      <c r="AD30" s="109">
        <f t="shared" si="10"/>
        <v>0</v>
      </c>
      <c r="AO30" s="145"/>
    </row>
    <row r="31" spans="3:41" x14ac:dyDescent="0.25">
      <c r="C31" s="150">
        <f>Model!$AO$13</f>
        <v>3004198</v>
      </c>
      <c r="D31" s="54">
        <f>Model!$AO$16</f>
        <v>0.38461538461538458</v>
      </c>
      <c r="E31" s="151">
        <f t="shared" si="4"/>
        <v>1155460.769230769</v>
      </c>
      <c r="F31" s="54">
        <f>Model!$AO$29</f>
        <v>1</v>
      </c>
      <c r="G31" s="151">
        <f t="shared" si="5"/>
        <v>1155460.769230769</v>
      </c>
      <c r="H31" s="108">
        <f>INDEX(Model!$AO$34:$AO$37,MATCH($J31,Model!$AN$34:$AN$37,0))</f>
        <v>4.0590758000000005E-2</v>
      </c>
      <c r="I31" s="129">
        <f t="shared" si="6"/>
        <v>46901.028462339993</v>
      </c>
      <c r="J31" s="109" t="s">
        <v>28</v>
      </c>
      <c r="K31" s="119">
        <f>INDEX(Model!$AO$38:$AO$41,MATCH($J31,Model!$AN$34:$AN$37,0))</f>
        <v>91.721414046613475</v>
      </c>
      <c r="L31" s="133">
        <f>K31*I31</f>
        <v>4301828.6508062901</v>
      </c>
      <c r="M31" s="119">
        <f>Model!$AO$119</f>
        <v>0</v>
      </c>
      <c r="N31" s="131">
        <f t="shared" si="11"/>
        <v>0</v>
      </c>
      <c r="O31" s="119" t="s">
        <v>33</v>
      </c>
      <c r="P31" s="119">
        <f>INDEX(Model!$AO$55:$AO$119,MATCH($O31,Model!$AN$55:$AN$119,0)+MATCH(Model!$AL$117,Model!$AL$55:$AL$119,0)-1)</f>
        <v>0.309</v>
      </c>
      <c r="Q31" s="133">
        <f t="shared" si="7"/>
        <v>0</v>
      </c>
      <c r="R31" s="148">
        <f>Model!$AO$149</f>
        <v>0.99399999999999999</v>
      </c>
      <c r="S31" s="131">
        <f t="shared" si="8"/>
        <v>0</v>
      </c>
      <c r="T31" s="109" t="s">
        <v>35</v>
      </c>
      <c r="U31" s="109">
        <f>Model!$AO$148</f>
        <v>1</v>
      </c>
      <c r="V31" s="109"/>
      <c r="W31" s="133">
        <f>S31*U31</f>
        <v>0</v>
      </c>
      <c r="X31" s="148">
        <f>Model!$AO$193</f>
        <v>0</v>
      </c>
      <c r="Y31" s="131">
        <f t="shared" si="2"/>
        <v>0</v>
      </c>
      <c r="Z31" s="109" t="s">
        <v>139</v>
      </c>
      <c r="AA31" s="109">
        <f>Model!$AO$192</f>
        <v>0.4</v>
      </c>
      <c r="AB31" s="109"/>
      <c r="AC31" s="120">
        <f t="shared" si="9"/>
        <v>0</v>
      </c>
      <c r="AD31" s="109">
        <f t="shared" si="10"/>
        <v>0</v>
      </c>
      <c r="AO31" s="145"/>
    </row>
    <row r="32" spans="3:41" x14ac:dyDescent="0.25">
      <c r="C32" s="150">
        <f>Model!$AO$13</f>
        <v>3004198</v>
      </c>
      <c r="D32" s="54">
        <f>Model!$AO$16</f>
        <v>0.38461538461538458</v>
      </c>
      <c r="E32" s="151">
        <f t="shared" si="4"/>
        <v>1155460.769230769</v>
      </c>
      <c r="F32" s="54">
        <f>Model!$AO$29</f>
        <v>1</v>
      </c>
      <c r="G32" s="151">
        <f t="shared" si="5"/>
        <v>1155460.769230769</v>
      </c>
      <c r="H32" s="108">
        <f>INDEX(Model!$AO$34:$AO$37,MATCH($J32,Model!$AN$34:$AN$37,0))</f>
        <v>4.0590758000000005E-2</v>
      </c>
      <c r="I32" s="129">
        <f t="shared" si="6"/>
        <v>46901.028462339993</v>
      </c>
      <c r="J32" s="109" t="s">
        <v>28</v>
      </c>
      <c r="K32" s="119">
        <f>INDEX(Model!$AO$38:$AO$41,MATCH($J32,Model!$AN$34:$AN$37,0))</f>
        <v>91.721414046613475</v>
      </c>
      <c r="L32" s="133">
        <f>K32*I32</f>
        <v>4301828.6508062901</v>
      </c>
      <c r="M32" s="119">
        <f>Model!$AO$119</f>
        <v>0</v>
      </c>
      <c r="N32" s="131">
        <f t="shared" si="11"/>
        <v>0</v>
      </c>
      <c r="O32" s="119" t="s">
        <v>33</v>
      </c>
      <c r="P32" s="119">
        <f>INDEX(Model!$AO$55:$AO$119,MATCH($O32,Model!$AN$55:$AN$119,0)+MATCH(Model!$AL$117,Model!$AL$55:$AL$119,0)-1)</f>
        <v>0.309</v>
      </c>
      <c r="Q32" s="133">
        <f t="shared" si="7"/>
        <v>0</v>
      </c>
      <c r="R32" s="148">
        <f>Model!$AO$149</f>
        <v>0.99399999999999999</v>
      </c>
      <c r="S32" s="131">
        <f t="shared" si="8"/>
        <v>0</v>
      </c>
      <c r="T32" s="109" t="s">
        <v>35</v>
      </c>
      <c r="U32" s="109">
        <f>Model!$AO$148</f>
        <v>1</v>
      </c>
      <c r="V32" s="109"/>
      <c r="W32" s="133">
        <f>S32*U32</f>
        <v>0</v>
      </c>
      <c r="X32" s="148">
        <f>Model!$AO$166</f>
        <v>0.94</v>
      </c>
      <c r="Y32" s="131">
        <f t="shared" si="2"/>
        <v>0</v>
      </c>
      <c r="Z32" s="109" t="s">
        <v>64</v>
      </c>
      <c r="AA32" s="109"/>
      <c r="AB32" s="109">
        <f>Model!$AO$165</f>
        <v>1.613</v>
      </c>
      <c r="AC32" s="120">
        <f t="shared" si="9"/>
        <v>0</v>
      </c>
      <c r="AD32" s="109">
        <f t="shared" si="10"/>
        <v>0</v>
      </c>
      <c r="AO32" s="145"/>
    </row>
    <row r="33" spans="3:41" x14ac:dyDescent="0.25">
      <c r="C33" s="150">
        <f>Model!$AO$13</f>
        <v>3004198</v>
      </c>
      <c r="D33" s="54">
        <f>Model!$AO$16</f>
        <v>0.38461538461538458</v>
      </c>
      <c r="E33" s="151">
        <f t="shared" si="4"/>
        <v>1155460.769230769</v>
      </c>
      <c r="F33" s="54">
        <f>Model!$AO$29</f>
        <v>1</v>
      </c>
      <c r="G33" s="151">
        <f t="shared" si="5"/>
        <v>1155460.769230769</v>
      </c>
      <c r="H33" s="108">
        <f>INDEX(Model!$AO$34:$AO$37,MATCH($J33,Model!$AN$34:$AN$37,0))</f>
        <v>4.0590758000000005E-2</v>
      </c>
      <c r="I33" s="129">
        <f t="shared" si="6"/>
        <v>46901.028462339993</v>
      </c>
      <c r="J33" s="109" t="s">
        <v>28</v>
      </c>
      <c r="K33" s="119">
        <f>INDEX(Model!$AO$38:$AO$41,MATCH($J33,Model!$AN$34:$AN$37,0))</f>
        <v>91.721414046613475</v>
      </c>
      <c r="L33" s="133">
        <f>K33*I33</f>
        <v>4301828.6508062901</v>
      </c>
      <c r="M33" s="119">
        <f>Model!$AO$119</f>
        <v>0</v>
      </c>
      <c r="N33" s="131">
        <f t="shared" si="11"/>
        <v>0</v>
      </c>
      <c r="O33" s="119" t="s">
        <v>33</v>
      </c>
      <c r="P33" s="119">
        <f>INDEX(Model!$AO$55:$AO$119,MATCH($O33,Model!$AN$55:$AN$119,0)+MATCH(Model!$AL$117,Model!$AL$55:$AL$119,0)-1)</f>
        <v>0.309</v>
      </c>
      <c r="Q33" s="133">
        <f t="shared" si="7"/>
        <v>0</v>
      </c>
      <c r="R33" s="148">
        <f>Model!$AO$149</f>
        <v>0.99399999999999999</v>
      </c>
      <c r="S33" s="131">
        <f t="shared" si="8"/>
        <v>0</v>
      </c>
      <c r="T33" s="109" t="s">
        <v>35</v>
      </c>
      <c r="U33" s="109">
        <f>Model!$AO$148</f>
        <v>1</v>
      </c>
      <c r="V33" s="109"/>
      <c r="W33" s="133">
        <f>S33*U33</f>
        <v>0</v>
      </c>
      <c r="X33" s="148">
        <f>Model!$AO$206</f>
        <v>0.05</v>
      </c>
      <c r="Y33" s="131">
        <f t="shared" si="2"/>
        <v>0</v>
      </c>
      <c r="Z33" s="109" t="s">
        <v>65</v>
      </c>
      <c r="AA33" s="109"/>
      <c r="AB33" s="109">
        <f>Model!$AO$205</f>
        <v>1.111</v>
      </c>
      <c r="AC33" s="120">
        <f t="shared" si="9"/>
        <v>0</v>
      </c>
      <c r="AD33" s="109">
        <f t="shared" si="10"/>
        <v>0</v>
      </c>
      <c r="AO33" s="145"/>
    </row>
    <row r="34" spans="3:41" x14ac:dyDescent="0.25">
      <c r="C34" s="150">
        <f>Model!$AO$13</f>
        <v>3004198</v>
      </c>
      <c r="D34" s="54">
        <f>Model!$AO$16</f>
        <v>0.38461538461538458</v>
      </c>
      <c r="E34" s="151">
        <f t="shared" si="4"/>
        <v>1155460.769230769</v>
      </c>
      <c r="F34" s="54">
        <f>Model!$AO$29</f>
        <v>1</v>
      </c>
      <c r="G34" s="151">
        <f t="shared" si="5"/>
        <v>1155460.769230769</v>
      </c>
      <c r="H34" s="108">
        <f>INDEX(Model!$AO$34:$AO$37,MATCH($J34,Model!$AN$34:$AN$37,0))</f>
        <v>4.0590758000000005E-2</v>
      </c>
      <c r="I34" s="129">
        <f t="shared" si="6"/>
        <v>46901.028462339993</v>
      </c>
      <c r="J34" s="109" t="s">
        <v>28</v>
      </c>
      <c r="K34" s="119">
        <f>INDEX(Model!$AO$38:$AO$41,MATCH($J34,Model!$AN$34:$AN$37,0))</f>
        <v>91.721414046613475</v>
      </c>
      <c r="L34" s="133">
        <f>K34*I34</f>
        <v>4301828.6508062901</v>
      </c>
      <c r="M34" s="119">
        <f>Model!$AO$80</f>
        <v>0.83299999999999996</v>
      </c>
      <c r="N34" s="131">
        <f t="shared" si="11"/>
        <v>3583423.2661216394</v>
      </c>
      <c r="O34" s="119" t="s">
        <v>29</v>
      </c>
      <c r="P34" s="119">
        <f>INDEX(Model!$AO$55:$AO$119,MATCH($O34,Model!$AN$55:$AN$119,0)+MATCH(Model!$AL$117,Model!$AL$55:$AL$119,0)-1)</f>
        <v>0.63300000000000001</v>
      </c>
      <c r="Q34" s="133">
        <f t="shared" si="7"/>
        <v>2268306.9274549978</v>
      </c>
      <c r="R34" s="148">
        <f>Model!$AO$139</f>
        <v>6.0000000000000001E-3</v>
      </c>
      <c r="S34" s="131">
        <f t="shared" si="8"/>
        <v>13609.841564729986</v>
      </c>
      <c r="T34" s="109" t="s">
        <v>34</v>
      </c>
      <c r="U34" s="109"/>
      <c r="V34" s="109">
        <f>Model!$AO$138</f>
        <v>1</v>
      </c>
      <c r="W34" s="133"/>
      <c r="X34" s="148"/>
      <c r="Y34" s="131">
        <f t="shared" si="2"/>
        <v>0</v>
      </c>
      <c r="Z34" s="109"/>
      <c r="AA34" s="109"/>
      <c r="AB34" s="109"/>
      <c r="AC34" s="120">
        <f t="shared" si="9"/>
        <v>13609.841564729986</v>
      </c>
      <c r="AD34" s="109">
        <f t="shared" si="10"/>
        <v>0</v>
      </c>
      <c r="AO34" s="145"/>
    </row>
    <row r="35" spans="3:41" x14ac:dyDescent="0.25">
      <c r="C35" s="150">
        <f>Model!$AO$13</f>
        <v>3004198</v>
      </c>
      <c r="D35" s="54">
        <f>Model!$AO$16</f>
        <v>0.38461538461538458</v>
      </c>
      <c r="E35" s="151">
        <f t="shared" si="4"/>
        <v>1155460.769230769</v>
      </c>
      <c r="F35" s="54">
        <f>Model!$AO$29</f>
        <v>1</v>
      </c>
      <c r="G35" s="151">
        <f t="shared" si="5"/>
        <v>1155460.769230769</v>
      </c>
      <c r="H35" s="108">
        <f>INDEX(Model!$AO$34:$AO$37,MATCH($J35,Model!$AN$34:$AN$37,0))</f>
        <v>4.0590758000000005E-2</v>
      </c>
      <c r="I35" s="129">
        <f t="shared" si="6"/>
        <v>46901.028462339993</v>
      </c>
      <c r="J35" s="109" t="s">
        <v>28</v>
      </c>
      <c r="K35" s="119">
        <f>INDEX(Model!$AO$38:$AO$41,MATCH($J35,Model!$AN$34:$AN$37,0))</f>
        <v>91.721414046613475</v>
      </c>
      <c r="L35" s="133">
        <f>K35*I35</f>
        <v>4301828.6508062901</v>
      </c>
      <c r="M35" s="119">
        <f>Model!$AO$80</f>
        <v>0.83299999999999996</v>
      </c>
      <c r="N35" s="131">
        <f t="shared" si="11"/>
        <v>3583423.2661216394</v>
      </c>
      <c r="O35" s="119" t="s">
        <v>29</v>
      </c>
      <c r="P35" s="119">
        <f>INDEX(Model!$AO$55:$AO$119,MATCH($O35,Model!$AN$55:$AN$119,0)+MATCH(Model!$AL$117,Model!$AL$55:$AL$119,0)-1)</f>
        <v>0.63300000000000001</v>
      </c>
      <c r="Q35" s="133">
        <f t="shared" si="7"/>
        <v>2268306.9274549978</v>
      </c>
      <c r="R35" s="148">
        <f>Model!$AO$149</f>
        <v>0.99399999999999999</v>
      </c>
      <c r="S35" s="131">
        <f t="shared" si="8"/>
        <v>2254697.085890268</v>
      </c>
      <c r="T35" s="109" t="s">
        <v>35</v>
      </c>
      <c r="U35" s="109">
        <f>Model!$AO$148</f>
        <v>1</v>
      </c>
      <c r="V35" s="109"/>
      <c r="W35" s="133">
        <f>S35*U35</f>
        <v>2254697.085890268</v>
      </c>
      <c r="X35" s="148">
        <f>Model!$AO$180</f>
        <v>0.01</v>
      </c>
      <c r="Y35" s="131">
        <f t="shared" si="2"/>
        <v>22546.970858902681</v>
      </c>
      <c r="Z35" s="109" t="s">
        <v>66</v>
      </c>
      <c r="AA35" s="109">
        <f>Model!$AO$179</f>
        <v>0.52600000000000002</v>
      </c>
      <c r="AB35" s="109"/>
      <c r="AC35" s="120">
        <f t="shared" si="9"/>
        <v>11859.706671782811</v>
      </c>
      <c r="AD35" s="109">
        <f t="shared" si="10"/>
        <v>0</v>
      </c>
    </row>
    <row r="36" spans="3:41" x14ac:dyDescent="0.25">
      <c r="C36" s="150">
        <f>Model!$AO$13</f>
        <v>3004198</v>
      </c>
      <c r="D36" s="54">
        <f>Model!$AO$16</f>
        <v>0.38461538461538458</v>
      </c>
      <c r="E36" s="151">
        <f t="shared" si="4"/>
        <v>1155460.769230769</v>
      </c>
      <c r="F36" s="54">
        <f>Model!$AO$29</f>
        <v>1</v>
      </c>
      <c r="G36" s="151">
        <f t="shared" si="5"/>
        <v>1155460.769230769</v>
      </c>
      <c r="H36" s="108">
        <f>INDEX(Model!$AO$34:$AO$37,MATCH($J36,Model!$AN$34:$AN$37,0))</f>
        <v>4.0590758000000005E-2</v>
      </c>
      <c r="I36" s="129">
        <f t="shared" si="6"/>
        <v>46901.028462339993</v>
      </c>
      <c r="J36" s="109" t="s">
        <v>28</v>
      </c>
      <c r="K36" s="119">
        <f>INDEX(Model!$AO$38:$AO$41,MATCH($J36,Model!$AN$34:$AN$37,0))</f>
        <v>91.721414046613475</v>
      </c>
      <c r="L36" s="133">
        <f>K36*I36</f>
        <v>4301828.6508062901</v>
      </c>
      <c r="M36" s="119">
        <f>Model!$AO$80</f>
        <v>0.83299999999999996</v>
      </c>
      <c r="N36" s="131">
        <f t="shared" si="11"/>
        <v>3583423.2661216394</v>
      </c>
      <c r="O36" s="119" t="s">
        <v>29</v>
      </c>
      <c r="P36" s="119">
        <f>INDEX(Model!$AO$55:$AO$119,MATCH($O36,Model!$AN$55:$AN$119,0)+MATCH(Model!$AL$117,Model!$AL$55:$AL$119,0)-1)</f>
        <v>0.63300000000000001</v>
      </c>
      <c r="Q36" s="133">
        <f t="shared" si="7"/>
        <v>2268306.9274549978</v>
      </c>
      <c r="R36" s="148">
        <f>Model!$AO$149</f>
        <v>0.99399999999999999</v>
      </c>
      <c r="S36" s="131">
        <f t="shared" si="8"/>
        <v>2254697.085890268</v>
      </c>
      <c r="T36" s="109" t="s">
        <v>35</v>
      </c>
      <c r="U36" s="109">
        <f>Model!$AO$148</f>
        <v>1</v>
      </c>
      <c r="V36" s="109"/>
      <c r="W36" s="133">
        <f>S36*U36</f>
        <v>2254697.085890268</v>
      </c>
      <c r="X36" s="148">
        <f>Model!$AO$193</f>
        <v>0</v>
      </c>
      <c r="Y36" s="131">
        <f t="shared" si="2"/>
        <v>0</v>
      </c>
      <c r="Z36" s="109" t="s">
        <v>139</v>
      </c>
      <c r="AA36" s="109">
        <f>Model!$AO$192</f>
        <v>0.4</v>
      </c>
      <c r="AB36" s="109"/>
      <c r="AC36" s="120">
        <f t="shared" si="9"/>
        <v>0</v>
      </c>
      <c r="AD36" s="109">
        <f t="shared" si="10"/>
        <v>0</v>
      </c>
      <c r="AO36" s="145"/>
    </row>
    <row r="37" spans="3:41" x14ac:dyDescent="0.25">
      <c r="C37" s="150">
        <f>Model!$AO$13</f>
        <v>3004198</v>
      </c>
      <c r="D37" s="54">
        <f>Model!$AO$16</f>
        <v>0.38461538461538458</v>
      </c>
      <c r="E37" s="151">
        <f t="shared" si="4"/>
        <v>1155460.769230769</v>
      </c>
      <c r="F37" s="54">
        <f>Model!$AO$29</f>
        <v>1</v>
      </c>
      <c r="G37" s="151">
        <f t="shared" si="5"/>
        <v>1155460.769230769</v>
      </c>
      <c r="H37" s="108">
        <f>INDEX(Model!$AO$34:$AO$37,MATCH($J37,Model!$AN$34:$AN$37,0))</f>
        <v>4.0590758000000005E-2</v>
      </c>
      <c r="I37" s="129">
        <f t="shared" si="6"/>
        <v>46901.028462339993</v>
      </c>
      <c r="J37" s="109" t="s">
        <v>28</v>
      </c>
      <c r="K37" s="119">
        <f>INDEX(Model!$AO$38:$AO$41,MATCH($J37,Model!$AN$34:$AN$37,0))</f>
        <v>91.721414046613475</v>
      </c>
      <c r="L37" s="133">
        <f>K37*I37</f>
        <v>4301828.6508062901</v>
      </c>
      <c r="M37" s="119">
        <f>Model!$AO$80</f>
        <v>0.83299999999999996</v>
      </c>
      <c r="N37" s="131">
        <f t="shared" si="11"/>
        <v>3583423.2661216394</v>
      </c>
      <c r="O37" s="119" t="s">
        <v>29</v>
      </c>
      <c r="P37" s="119">
        <f>INDEX(Model!$AO$55:$AO$119,MATCH($O37,Model!$AN$55:$AN$119,0)+MATCH(Model!$AL$117,Model!$AL$55:$AL$119,0)-1)</f>
        <v>0.63300000000000001</v>
      </c>
      <c r="Q37" s="133">
        <f t="shared" si="7"/>
        <v>2268306.9274549978</v>
      </c>
      <c r="R37" s="148">
        <f>Model!$AO$149</f>
        <v>0.99399999999999999</v>
      </c>
      <c r="S37" s="131">
        <f t="shared" si="8"/>
        <v>2254697.085890268</v>
      </c>
      <c r="T37" s="109" t="s">
        <v>35</v>
      </c>
      <c r="U37" s="109">
        <f>Model!$AO$148</f>
        <v>1</v>
      </c>
      <c r="V37" s="109"/>
      <c r="W37" s="133">
        <f>S37*U37</f>
        <v>2254697.085890268</v>
      </c>
      <c r="X37" s="148">
        <f>Model!$AO$166</f>
        <v>0.94</v>
      </c>
      <c r="Y37" s="131">
        <f t="shared" si="2"/>
        <v>2119415.260736852</v>
      </c>
      <c r="Z37" s="109" t="s">
        <v>64</v>
      </c>
      <c r="AA37" s="109"/>
      <c r="AB37" s="109">
        <f>Model!$AO$165</f>
        <v>1.613</v>
      </c>
      <c r="AC37" s="120">
        <f t="shared" si="9"/>
        <v>0</v>
      </c>
      <c r="AD37" s="109">
        <f t="shared" si="10"/>
        <v>3418616.8155685421</v>
      </c>
      <c r="AO37" s="145"/>
    </row>
    <row r="38" spans="3:41" x14ac:dyDescent="0.25">
      <c r="C38" s="150">
        <f>Model!$AO$13</f>
        <v>3004198</v>
      </c>
      <c r="D38" s="54">
        <f>Model!$AO$16</f>
        <v>0.38461538461538458</v>
      </c>
      <c r="E38" s="151">
        <f t="shared" si="4"/>
        <v>1155460.769230769</v>
      </c>
      <c r="F38" s="54">
        <f>Model!$AO$29</f>
        <v>1</v>
      </c>
      <c r="G38" s="151">
        <f t="shared" si="5"/>
        <v>1155460.769230769</v>
      </c>
      <c r="H38" s="108">
        <f>INDEX(Model!$AO$34:$AO$37,MATCH($J38,Model!$AN$34:$AN$37,0))</f>
        <v>4.0590758000000005E-2</v>
      </c>
      <c r="I38" s="129">
        <f t="shared" si="6"/>
        <v>46901.028462339993</v>
      </c>
      <c r="J38" s="109" t="s">
        <v>28</v>
      </c>
      <c r="K38" s="119">
        <f>INDEX(Model!$AO$38:$AO$41,MATCH($J38,Model!$AN$34:$AN$37,0))</f>
        <v>91.721414046613475</v>
      </c>
      <c r="L38" s="133">
        <f>K38*I38</f>
        <v>4301828.6508062901</v>
      </c>
      <c r="M38" s="119">
        <f>Model!$AO$80</f>
        <v>0.83299999999999996</v>
      </c>
      <c r="N38" s="131">
        <f t="shared" si="11"/>
        <v>3583423.2661216394</v>
      </c>
      <c r="O38" s="119" t="s">
        <v>29</v>
      </c>
      <c r="P38" s="119">
        <f>INDEX(Model!$AO$55:$AO$119,MATCH($O38,Model!$AN$55:$AN$119,0)+MATCH(Model!$AL$117,Model!$AL$55:$AL$119,0)-1)</f>
        <v>0.63300000000000001</v>
      </c>
      <c r="Q38" s="133">
        <f t="shared" si="7"/>
        <v>2268306.9274549978</v>
      </c>
      <c r="R38" s="148">
        <f>Model!$AO$149</f>
        <v>0.99399999999999999</v>
      </c>
      <c r="S38" s="131">
        <f t="shared" si="8"/>
        <v>2254697.085890268</v>
      </c>
      <c r="T38" s="109" t="s">
        <v>35</v>
      </c>
      <c r="U38" s="109">
        <f>Model!$AO$148</f>
        <v>1</v>
      </c>
      <c r="V38" s="109"/>
      <c r="W38" s="133">
        <f>S38*U38</f>
        <v>2254697.085890268</v>
      </c>
      <c r="X38" s="148">
        <f>Model!$AO$206</f>
        <v>0.05</v>
      </c>
      <c r="Y38" s="131">
        <f t="shared" si="2"/>
        <v>112734.85429451341</v>
      </c>
      <c r="Z38" s="109" t="s">
        <v>65</v>
      </c>
      <c r="AA38" s="109"/>
      <c r="AB38" s="109">
        <f>Model!$AO$205</f>
        <v>1.111</v>
      </c>
      <c r="AC38" s="120">
        <f t="shared" si="9"/>
        <v>0</v>
      </c>
      <c r="AD38" s="109">
        <f t="shared" si="10"/>
        <v>125248.4231212044</v>
      </c>
      <c r="AO38" s="145"/>
    </row>
    <row r="39" spans="3:41" x14ac:dyDescent="0.25">
      <c r="C39" s="150">
        <f>Model!$AO$13</f>
        <v>3004198</v>
      </c>
      <c r="D39" s="54">
        <f>Model!$AO$16</f>
        <v>0.38461538461538458</v>
      </c>
      <c r="E39" s="151">
        <f t="shared" si="4"/>
        <v>1155460.769230769</v>
      </c>
      <c r="F39" s="54">
        <f>Model!$AO$29</f>
        <v>1</v>
      </c>
      <c r="G39" s="151">
        <f t="shared" si="5"/>
        <v>1155460.769230769</v>
      </c>
      <c r="H39" s="108">
        <f>INDEX(Model!$AO$34:$AO$37,MATCH($J39,Model!$AN$34:$AN$37,0))</f>
        <v>4.0590758000000005E-2</v>
      </c>
      <c r="I39" s="129">
        <f t="shared" si="6"/>
        <v>46901.028462339993</v>
      </c>
      <c r="J39" s="109" t="s">
        <v>28</v>
      </c>
      <c r="K39" s="119">
        <f>INDEX(Model!$AO$38:$AO$41,MATCH($J39,Model!$AN$34:$AN$37,0))</f>
        <v>91.721414046613475</v>
      </c>
      <c r="L39" s="133">
        <f>K39*I39</f>
        <v>4301828.6508062901</v>
      </c>
      <c r="M39" s="119">
        <f>Model!$AO$67</f>
        <v>0.16700000000000001</v>
      </c>
      <c r="N39" s="131">
        <f t="shared" si="11"/>
        <v>718405.38468465046</v>
      </c>
      <c r="O39" s="119" t="s">
        <v>30</v>
      </c>
      <c r="P39" s="119">
        <f>INDEX(Model!$AO$55:$AO$119,MATCH($O39,Model!$AN$55:$AN$119,0)+MATCH(Model!$AL$117,Model!$AL$55:$AL$119,0)-1)</f>
        <v>0.997</v>
      </c>
      <c r="Q39" s="133">
        <f t="shared" si="7"/>
        <v>716250.16853059654</v>
      </c>
      <c r="R39" s="148">
        <f>Model!$AO$139</f>
        <v>6.0000000000000001E-3</v>
      </c>
      <c r="S39" s="131">
        <f t="shared" si="8"/>
        <v>4297.5010111835791</v>
      </c>
      <c r="T39" s="109" t="s">
        <v>34</v>
      </c>
      <c r="U39" s="109"/>
      <c r="V39" s="109">
        <f>Model!$AO$138</f>
        <v>1</v>
      </c>
      <c r="W39" s="133"/>
      <c r="X39" s="148"/>
      <c r="Y39" s="131">
        <f t="shared" si="2"/>
        <v>0</v>
      </c>
      <c r="Z39" s="109"/>
      <c r="AA39" s="109"/>
      <c r="AB39" s="109"/>
      <c r="AC39" s="120">
        <f t="shared" si="9"/>
        <v>4297.5010111835791</v>
      </c>
      <c r="AD39" s="109">
        <f t="shared" si="10"/>
        <v>0</v>
      </c>
      <c r="AO39" s="145"/>
    </row>
    <row r="40" spans="3:41" x14ac:dyDescent="0.25">
      <c r="C40" s="150">
        <f>Model!$AO$13</f>
        <v>3004198</v>
      </c>
      <c r="D40" s="54">
        <f>Model!$AO$16</f>
        <v>0.38461538461538458</v>
      </c>
      <c r="E40" s="151">
        <f t="shared" si="4"/>
        <v>1155460.769230769</v>
      </c>
      <c r="F40" s="54">
        <f>Model!$AO$29</f>
        <v>1</v>
      </c>
      <c r="G40" s="151">
        <f t="shared" si="5"/>
        <v>1155460.769230769</v>
      </c>
      <c r="H40" s="108">
        <f>INDEX(Model!$AO$34:$AO$37,MATCH($J40,Model!$AN$34:$AN$37,0))</f>
        <v>4.0590758000000005E-2</v>
      </c>
      <c r="I40" s="129">
        <f t="shared" si="6"/>
        <v>46901.028462339993</v>
      </c>
      <c r="J40" s="109" t="s">
        <v>28</v>
      </c>
      <c r="K40" s="119">
        <f>INDEX(Model!$AO$38:$AO$41,MATCH($J40,Model!$AN$34:$AN$37,0))</f>
        <v>91.721414046613475</v>
      </c>
      <c r="L40" s="133">
        <f>K40*I40</f>
        <v>4301828.6508062901</v>
      </c>
      <c r="M40" s="119">
        <f>Model!$AO$67</f>
        <v>0.16700000000000001</v>
      </c>
      <c r="N40" s="131">
        <f t="shared" si="11"/>
        <v>718405.38468465046</v>
      </c>
      <c r="O40" s="119" t="s">
        <v>30</v>
      </c>
      <c r="P40" s="119">
        <f>INDEX(Model!$AO$55:$AO$119,MATCH($O40,Model!$AN$55:$AN$119,0)+MATCH(Model!$AL$117,Model!$AL$55:$AL$119,0)-1)</f>
        <v>0.997</v>
      </c>
      <c r="Q40" s="133">
        <f t="shared" si="7"/>
        <v>716250.16853059654</v>
      </c>
      <c r="R40" s="148">
        <f>Model!$AO$149</f>
        <v>0.99399999999999999</v>
      </c>
      <c r="S40" s="131">
        <f t="shared" si="8"/>
        <v>711952.66751941293</v>
      </c>
      <c r="T40" s="109" t="s">
        <v>35</v>
      </c>
      <c r="U40" s="109">
        <f>Model!$AO$148</f>
        <v>1</v>
      </c>
      <c r="V40" s="109"/>
      <c r="W40" s="133">
        <f>S40*U40</f>
        <v>711952.66751941293</v>
      </c>
      <c r="X40" s="148">
        <f>Model!$AO$180</f>
        <v>0.01</v>
      </c>
      <c r="Y40" s="131">
        <f t="shared" si="2"/>
        <v>7119.5266751941299</v>
      </c>
      <c r="Z40" s="109" t="s">
        <v>66</v>
      </c>
      <c r="AA40" s="109">
        <f>Model!$AO$179</f>
        <v>0.52600000000000002</v>
      </c>
      <c r="AB40" s="109"/>
      <c r="AC40" s="120">
        <f t="shared" si="9"/>
        <v>3744.8710311521127</v>
      </c>
      <c r="AD40" s="109">
        <f t="shared" si="10"/>
        <v>0</v>
      </c>
      <c r="AO40" s="145"/>
    </row>
    <row r="41" spans="3:41" x14ac:dyDescent="0.25">
      <c r="C41" s="150">
        <f>Model!$AO$13</f>
        <v>3004198</v>
      </c>
      <c r="D41" s="54">
        <f>Model!$AO$16</f>
        <v>0.38461538461538458</v>
      </c>
      <c r="E41" s="151">
        <f t="shared" si="4"/>
        <v>1155460.769230769</v>
      </c>
      <c r="F41" s="54">
        <f>Model!$AO$29</f>
        <v>1</v>
      </c>
      <c r="G41" s="151">
        <f t="shared" si="5"/>
        <v>1155460.769230769</v>
      </c>
      <c r="H41" s="108">
        <f>INDEX(Model!$AO$34:$AO$37,MATCH($J41,Model!$AN$34:$AN$37,0))</f>
        <v>4.0590758000000005E-2</v>
      </c>
      <c r="I41" s="129">
        <f t="shared" si="6"/>
        <v>46901.028462339993</v>
      </c>
      <c r="J41" s="109" t="s">
        <v>28</v>
      </c>
      <c r="K41" s="119">
        <f>INDEX(Model!$AO$38:$AO$41,MATCH($J41,Model!$AN$34:$AN$37,0))</f>
        <v>91.721414046613475</v>
      </c>
      <c r="L41" s="133">
        <f>K41*I41</f>
        <v>4301828.6508062901</v>
      </c>
      <c r="M41" s="119">
        <f>Model!$AO$67</f>
        <v>0.16700000000000001</v>
      </c>
      <c r="N41" s="131">
        <f t="shared" si="11"/>
        <v>718405.38468465046</v>
      </c>
      <c r="O41" s="119" t="s">
        <v>30</v>
      </c>
      <c r="P41" s="119">
        <f>INDEX(Model!$AO$55:$AO$119,MATCH($O41,Model!$AN$55:$AN$119,0)+MATCH(Model!$AL$117,Model!$AL$55:$AL$119,0)-1)</f>
        <v>0.997</v>
      </c>
      <c r="Q41" s="133">
        <f t="shared" si="7"/>
        <v>716250.16853059654</v>
      </c>
      <c r="R41" s="148">
        <f>Model!$AO$149</f>
        <v>0.99399999999999999</v>
      </c>
      <c r="S41" s="131">
        <f t="shared" si="8"/>
        <v>711952.66751941293</v>
      </c>
      <c r="T41" s="109" t="s">
        <v>35</v>
      </c>
      <c r="U41" s="109">
        <f>Model!$AO$148</f>
        <v>1</v>
      </c>
      <c r="V41" s="109"/>
      <c r="W41" s="133">
        <f>S41*U41</f>
        <v>711952.66751941293</v>
      </c>
      <c r="X41" s="148">
        <f>Model!$AO$193</f>
        <v>0</v>
      </c>
      <c r="Y41" s="131">
        <f t="shared" si="2"/>
        <v>0</v>
      </c>
      <c r="Z41" s="109" t="s">
        <v>139</v>
      </c>
      <c r="AA41" s="109">
        <f>Model!$AO$192</f>
        <v>0.4</v>
      </c>
      <c r="AB41" s="109"/>
      <c r="AC41" s="120">
        <f t="shared" si="9"/>
        <v>0</v>
      </c>
      <c r="AD41" s="109">
        <f t="shared" si="10"/>
        <v>0</v>
      </c>
      <c r="AO41" s="145"/>
    </row>
    <row r="42" spans="3:41" x14ac:dyDescent="0.25">
      <c r="C42" s="150">
        <f>Model!$AO$13</f>
        <v>3004198</v>
      </c>
      <c r="D42" s="54">
        <f>Model!$AO$16</f>
        <v>0.38461538461538458</v>
      </c>
      <c r="E42" s="151">
        <f t="shared" si="4"/>
        <v>1155460.769230769</v>
      </c>
      <c r="F42" s="54">
        <f>Model!$AO$29</f>
        <v>1</v>
      </c>
      <c r="G42" s="151">
        <f t="shared" si="5"/>
        <v>1155460.769230769</v>
      </c>
      <c r="H42" s="108">
        <f>INDEX(Model!$AO$34:$AO$37,MATCH($J42,Model!$AN$34:$AN$37,0))</f>
        <v>4.0590758000000005E-2</v>
      </c>
      <c r="I42" s="129">
        <f t="shared" si="6"/>
        <v>46901.028462339993</v>
      </c>
      <c r="J42" s="109" t="s">
        <v>28</v>
      </c>
      <c r="K42" s="119">
        <f>INDEX(Model!$AO$38:$AO$41,MATCH($J42,Model!$AN$34:$AN$37,0))</f>
        <v>91.721414046613475</v>
      </c>
      <c r="L42" s="133">
        <f>K42*I42</f>
        <v>4301828.6508062901</v>
      </c>
      <c r="M42" s="119">
        <f>Model!$AO$67</f>
        <v>0.16700000000000001</v>
      </c>
      <c r="N42" s="131">
        <f t="shared" si="11"/>
        <v>718405.38468465046</v>
      </c>
      <c r="O42" s="119" t="s">
        <v>30</v>
      </c>
      <c r="P42" s="119">
        <f>INDEX(Model!$AO$55:$AO$119,MATCH($O42,Model!$AN$55:$AN$119,0)+MATCH(Model!$AL$117,Model!$AL$55:$AL$119,0)-1)</f>
        <v>0.997</v>
      </c>
      <c r="Q42" s="133">
        <f t="shared" si="7"/>
        <v>716250.16853059654</v>
      </c>
      <c r="R42" s="148">
        <f>Model!$AO$149</f>
        <v>0.99399999999999999</v>
      </c>
      <c r="S42" s="131">
        <f t="shared" si="8"/>
        <v>711952.66751941293</v>
      </c>
      <c r="T42" s="109" t="s">
        <v>35</v>
      </c>
      <c r="U42" s="109">
        <f>Model!$AO$148</f>
        <v>1</v>
      </c>
      <c r="V42" s="109"/>
      <c r="W42" s="133">
        <f>S42*U42</f>
        <v>711952.66751941293</v>
      </c>
      <c r="X42" s="148">
        <f>Model!$AO$166</f>
        <v>0.94</v>
      </c>
      <c r="Y42" s="131">
        <f t="shared" si="2"/>
        <v>669235.50746824814</v>
      </c>
      <c r="Z42" s="109" t="s">
        <v>64</v>
      </c>
      <c r="AA42" s="109"/>
      <c r="AB42" s="109">
        <f>Model!$AO$165</f>
        <v>1.613</v>
      </c>
      <c r="AC42" s="120">
        <f t="shared" si="9"/>
        <v>0</v>
      </c>
      <c r="AD42" s="109">
        <f t="shared" si="10"/>
        <v>1079476.8735462842</v>
      </c>
      <c r="AO42" s="145"/>
    </row>
    <row r="43" spans="3:41" x14ac:dyDescent="0.25">
      <c r="C43" s="150">
        <f>Model!$AO$13</f>
        <v>3004198</v>
      </c>
      <c r="D43" s="54">
        <f>Model!$AO$16</f>
        <v>0.38461538461538458</v>
      </c>
      <c r="E43" s="151">
        <f t="shared" si="4"/>
        <v>1155460.769230769</v>
      </c>
      <c r="F43" s="54">
        <f>Model!$AO$29</f>
        <v>1</v>
      </c>
      <c r="G43" s="151">
        <f t="shared" si="5"/>
        <v>1155460.769230769</v>
      </c>
      <c r="H43" s="108">
        <f>INDEX(Model!$AO$34:$AO$37,MATCH($J43,Model!$AN$34:$AN$37,0))</f>
        <v>4.0590758000000005E-2</v>
      </c>
      <c r="I43" s="129">
        <f t="shared" si="6"/>
        <v>46901.028462339993</v>
      </c>
      <c r="J43" s="109" t="s">
        <v>28</v>
      </c>
      <c r="K43" s="119">
        <f>INDEX(Model!$AO$38:$AO$41,MATCH($J43,Model!$AN$34:$AN$37,0))</f>
        <v>91.721414046613475</v>
      </c>
      <c r="L43" s="133">
        <f>K43*I43</f>
        <v>4301828.6508062901</v>
      </c>
      <c r="M43" s="119">
        <f>Model!$AO$67</f>
        <v>0.16700000000000001</v>
      </c>
      <c r="N43" s="131">
        <f t="shared" si="11"/>
        <v>718405.38468465046</v>
      </c>
      <c r="O43" s="119" t="s">
        <v>30</v>
      </c>
      <c r="P43" s="119">
        <f>INDEX(Model!$AO$55:$AO$119,MATCH($O43,Model!$AN$55:$AN$119,0)+MATCH(Model!$AL$117,Model!$AL$55:$AL$119,0)-1)</f>
        <v>0.997</v>
      </c>
      <c r="Q43" s="133">
        <f t="shared" si="7"/>
        <v>716250.16853059654</v>
      </c>
      <c r="R43" s="148">
        <f>Model!$AO$149</f>
        <v>0.99399999999999999</v>
      </c>
      <c r="S43" s="131">
        <f t="shared" si="8"/>
        <v>711952.66751941293</v>
      </c>
      <c r="T43" s="109" t="s">
        <v>35</v>
      </c>
      <c r="U43" s="109">
        <f>Model!$AO$148</f>
        <v>1</v>
      </c>
      <c r="V43" s="109"/>
      <c r="W43" s="133">
        <f>S43*U43</f>
        <v>711952.66751941293</v>
      </c>
      <c r="X43" s="148">
        <f>Model!$AO$206</f>
        <v>0.05</v>
      </c>
      <c r="Y43" s="131">
        <f t="shared" si="2"/>
        <v>35597.633375970647</v>
      </c>
      <c r="Z43" s="109" t="s">
        <v>65</v>
      </c>
      <c r="AA43" s="109"/>
      <c r="AB43" s="109">
        <f>Model!$AO$205</f>
        <v>1.111</v>
      </c>
      <c r="AC43" s="120">
        <f t="shared" si="9"/>
        <v>0</v>
      </c>
      <c r="AD43" s="109">
        <f t="shared" si="10"/>
        <v>39548.970680703387</v>
      </c>
      <c r="AO43" s="145"/>
    </row>
    <row r="44" spans="3:41" x14ac:dyDescent="0.25">
      <c r="C44" s="150">
        <f>Model!$AO$13</f>
        <v>3004198</v>
      </c>
      <c r="D44" s="54">
        <f>Model!$AO$16</f>
        <v>0.38461538461538458</v>
      </c>
      <c r="E44" s="151">
        <f t="shared" si="4"/>
        <v>1155460.769230769</v>
      </c>
      <c r="F44" s="54">
        <f>Model!$AO$29</f>
        <v>1</v>
      </c>
      <c r="G44" s="151">
        <f t="shared" si="5"/>
        <v>1155460.769230769</v>
      </c>
      <c r="H44" s="108">
        <f>INDEX(Model!$AO$34:$AO$37,MATCH($J44,Model!$AN$34:$AN$37,0))</f>
        <v>4.0590758000000005E-2</v>
      </c>
      <c r="I44" s="129">
        <f t="shared" si="6"/>
        <v>46901.028462339993</v>
      </c>
      <c r="J44" s="109" t="s">
        <v>28</v>
      </c>
      <c r="K44" s="119">
        <f>INDEX(Model!$AO$38:$AO$41,MATCH($J44,Model!$AN$34:$AN$37,0))</f>
        <v>91.721414046613475</v>
      </c>
      <c r="L44" s="133">
        <f>K44*I44</f>
        <v>4301828.6508062901</v>
      </c>
      <c r="M44" s="119">
        <f>Model!$AO$106</f>
        <v>0</v>
      </c>
      <c r="N44" s="131">
        <f t="shared" si="11"/>
        <v>0</v>
      </c>
      <c r="O44" s="119" t="s">
        <v>32</v>
      </c>
      <c r="P44" s="119">
        <f>INDEX(Model!$AO$55:$AO$119,MATCH($O44,Model!$AN$55:$AN$119,0)+MATCH(Model!$AL$117,Model!$AL$55:$AL$119,0)-1)</f>
        <v>0.36</v>
      </c>
      <c r="Q44" s="133">
        <f t="shared" si="7"/>
        <v>0</v>
      </c>
      <c r="R44" s="148">
        <f>Model!$AO$139</f>
        <v>6.0000000000000001E-3</v>
      </c>
      <c r="S44" s="131">
        <f t="shared" si="8"/>
        <v>0</v>
      </c>
      <c r="T44" s="109" t="s">
        <v>34</v>
      </c>
      <c r="U44" s="109"/>
      <c r="V44" s="109">
        <f>Model!$AO$138</f>
        <v>1</v>
      </c>
      <c r="W44" s="133"/>
      <c r="X44" s="148"/>
      <c r="Y44" s="131">
        <f t="shared" si="2"/>
        <v>0</v>
      </c>
      <c r="Z44" s="109"/>
      <c r="AA44" s="109"/>
      <c r="AB44" s="109"/>
      <c r="AC44" s="120">
        <f t="shared" si="9"/>
        <v>0</v>
      </c>
      <c r="AD44" s="109">
        <f t="shared" si="10"/>
        <v>0</v>
      </c>
      <c r="AO44" s="145"/>
    </row>
    <row r="45" spans="3:41" x14ac:dyDescent="0.25">
      <c r="C45" s="150">
        <f>Model!$AO$13</f>
        <v>3004198</v>
      </c>
      <c r="D45" s="54">
        <f>Model!$AO$16</f>
        <v>0.38461538461538458</v>
      </c>
      <c r="E45" s="151">
        <f t="shared" si="4"/>
        <v>1155460.769230769</v>
      </c>
      <c r="F45" s="54">
        <f>Model!$AO$29</f>
        <v>1</v>
      </c>
      <c r="G45" s="151">
        <f t="shared" si="5"/>
        <v>1155460.769230769</v>
      </c>
      <c r="H45" s="108">
        <f>INDEX(Model!$AO$34:$AO$37,MATCH($J45,Model!$AN$34:$AN$37,0))</f>
        <v>4.0590758000000005E-2</v>
      </c>
      <c r="I45" s="129">
        <f t="shared" si="6"/>
        <v>46901.028462339993</v>
      </c>
      <c r="J45" s="109" t="s">
        <v>28</v>
      </c>
      <c r="K45" s="119">
        <f>INDEX(Model!$AO$38:$AO$41,MATCH($J45,Model!$AN$34:$AN$37,0))</f>
        <v>91.721414046613475</v>
      </c>
      <c r="L45" s="133">
        <f>K45*I45</f>
        <v>4301828.6508062901</v>
      </c>
      <c r="M45" s="119">
        <f>Model!$AO$106</f>
        <v>0</v>
      </c>
      <c r="N45" s="131">
        <f t="shared" si="11"/>
        <v>0</v>
      </c>
      <c r="O45" s="119" t="s">
        <v>32</v>
      </c>
      <c r="P45" s="119">
        <f>INDEX(Model!$AO$55:$AO$119,MATCH($O45,Model!$AN$55:$AN$119,0)+MATCH(Model!$AL$117,Model!$AL$55:$AL$119,0)-1)</f>
        <v>0.36</v>
      </c>
      <c r="Q45" s="133">
        <f t="shared" si="7"/>
        <v>0</v>
      </c>
      <c r="R45" s="148">
        <f>Model!$AO$149</f>
        <v>0.99399999999999999</v>
      </c>
      <c r="S45" s="131">
        <f t="shared" si="8"/>
        <v>0</v>
      </c>
      <c r="T45" s="109" t="s">
        <v>35</v>
      </c>
      <c r="U45" s="109">
        <f>Model!$AO$148</f>
        <v>1</v>
      </c>
      <c r="V45" s="109"/>
      <c r="W45" s="133">
        <f>S45*U45</f>
        <v>0</v>
      </c>
      <c r="X45" s="148">
        <f>Model!$AO$180</f>
        <v>0.01</v>
      </c>
      <c r="Y45" s="131">
        <f t="shared" si="2"/>
        <v>0</v>
      </c>
      <c r="Z45" s="109" t="s">
        <v>66</v>
      </c>
      <c r="AA45" s="109">
        <f>Model!$AO$179</f>
        <v>0.52600000000000002</v>
      </c>
      <c r="AB45" s="109"/>
      <c r="AC45" s="120">
        <f t="shared" si="9"/>
        <v>0</v>
      </c>
      <c r="AD45" s="109">
        <f t="shared" si="10"/>
        <v>0</v>
      </c>
      <c r="AO45" s="145"/>
    </row>
    <row r="46" spans="3:41" x14ac:dyDescent="0.25">
      <c r="C46" s="150">
        <f>Model!$AO$13</f>
        <v>3004198</v>
      </c>
      <c r="D46" s="54">
        <f>Model!$AO$16</f>
        <v>0.38461538461538458</v>
      </c>
      <c r="E46" s="151">
        <f t="shared" si="4"/>
        <v>1155460.769230769</v>
      </c>
      <c r="F46" s="54">
        <f>Model!$AO$29</f>
        <v>1</v>
      </c>
      <c r="G46" s="151">
        <f t="shared" si="5"/>
        <v>1155460.769230769</v>
      </c>
      <c r="H46" s="108">
        <f>INDEX(Model!$AO$34:$AO$37,MATCH($J46,Model!$AN$34:$AN$37,0))</f>
        <v>4.0590758000000005E-2</v>
      </c>
      <c r="I46" s="129">
        <f t="shared" si="6"/>
        <v>46901.028462339993</v>
      </c>
      <c r="J46" s="109" t="s">
        <v>28</v>
      </c>
      <c r="K46" s="119">
        <f>INDEX(Model!$AO$38:$AO$41,MATCH($J46,Model!$AN$34:$AN$37,0))</f>
        <v>91.721414046613475</v>
      </c>
      <c r="L46" s="133">
        <f>K46*I46</f>
        <v>4301828.6508062901</v>
      </c>
      <c r="M46" s="119">
        <f>Model!$AO$106</f>
        <v>0</v>
      </c>
      <c r="N46" s="131">
        <f t="shared" si="11"/>
        <v>0</v>
      </c>
      <c r="O46" s="119" t="s">
        <v>32</v>
      </c>
      <c r="P46" s="119">
        <f>INDEX(Model!$AO$55:$AO$119,MATCH($O46,Model!$AN$55:$AN$119,0)+MATCH(Model!$AL$117,Model!$AL$55:$AL$119,0)-1)</f>
        <v>0.36</v>
      </c>
      <c r="Q46" s="133">
        <f t="shared" si="7"/>
        <v>0</v>
      </c>
      <c r="R46" s="148">
        <f>Model!$AO$149</f>
        <v>0.99399999999999999</v>
      </c>
      <c r="S46" s="131">
        <f t="shared" si="8"/>
        <v>0</v>
      </c>
      <c r="T46" s="109" t="s">
        <v>35</v>
      </c>
      <c r="U46" s="109">
        <f>Model!$AO$148</f>
        <v>1</v>
      </c>
      <c r="V46" s="109"/>
      <c r="W46" s="133">
        <f>S46*U46</f>
        <v>0</v>
      </c>
      <c r="X46" s="148">
        <f>Model!$AO$193</f>
        <v>0</v>
      </c>
      <c r="Y46" s="131">
        <f t="shared" si="2"/>
        <v>0</v>
      </c>
      <c r="Z46" s="109" t="s">
        <v>139</v>
      </c>
      <c r="AA46" s="109">
        <f>Model!$AO$192</f>
        <v>0.4</v>
      </c>
      <c r="AB46" s="109"/>
      <c r="AC46" s="120">
        <f t="shared" si="9"/>
        <v>0</v>
      </c>
      <c r="AD46" s="109">
        <f t="shared" si="10"/>
        <v>0</v>
      </c>
      <c r="AO46" s="145"/>
    </row>
    <row r="47" spans="3:41" x14ac:dyDescent="0.25">
      <c r="C47" s="150">
        <f>Model!$AO$13</f>
        <v>3004198</v>
      </c>
      <c r="D47" s="54">
        <f>Model!$AO$16</f>
        <v>0.38461538461538458</v>
      </c>
      <c r="E47" s="151">
        <f t="shared" si="4"/>
        <v>1155460.769230769</v>
      </c>
      <c r="F47" s="54">
        <f>Model!$AO$29</f>
        <v>1</v>
      </c>
      <c r="G47" s="151">
        <f t="shared" si="5"/>
        <v>1155460.769230769</v>
      </c>
      <c r="H47" s="108">
        <f>INDEX(Model!$AO$34:$AO$37,MATCH($J47,Model!$AN$34:$AN$37,0))</f>
        <v>4.0590758000000005E-2</v>
      </c>
      <c r="I47" s="129">
        <f t="shared" si="6"/>
        <v>46901.028462339993</v>
      </c>
      <c r="J47" s="109" t="s">
        <v>28</v>
      </c>
      <c r="K47" s="119">
        <f>INDEX(Model!$AO$38:$AO$41,MATCH($J47,Model!$AN$34:$AN$37,0))</f>
        <v>91.721414046613475</v>
      </c>
      <c r="L47" s="133">
        <f>K47*I47</f>
        <v>4301828.6508062901</v>
      </c>
      <c r="M47" s="119">
        <f>Model!$AO$106</f>
        <v>0</v>
      </c>
      <c r="N47" s="131">
        <f t="shared" si="11"/>
        <v>0</v>
      </c>
      <c r="O47" s="119" t="s">
        <v>32</v>
      </c>
      <c r="P47" s="119">
        <f>INDEX(Model!$AO$55:$AO$119,MATCH($O47,Model!$AN$55:$AN$119,0)+MATCH(Model!$AL$117,Model!$AL$55:$AL$119,0)-1)</f>
        <v>0.36</v>
      </c>
      <c r="Q47" s="133">
        <f t="shared" si="7"/>
        <v>0</v>
      </c>
      <c r="R47" s="148">
        <f>Model!$AO$149</f>
        <v>0.99399999999999999</v>
      </c>
      <c r="S47" s="131">
        <f t="shared" si="8"/>
        <v>0</v>
      </c>
      <c r="T47" s="109" t="s">
        <v>35</v>
      </c>
      <c r="U47" s="109">
        <f>Model!$AO$148</f>
        <v>1</v>
      </c>
      <c r="V47" s="109"/>
      <c r="W47" s="133">
        <f>S47*U47</f>
        <v>0</v>
      </c>
      <c r="X47" s="148">
        <f>Model!$AO$166</f>
        <v>0.94</v>
      </c>
      <c r="Y47" s="131">
        <f t="shared" si="2"/>
        <v>0</v>
      </c>
      <c r="Z47" s="109" t="s">
        <v>64</v>
      </c>
      <c r="AA47" s="109"/>
      <c r="AB47" s="109">
        <f>Model!$AO$165</f>
        <v>1.613</v>
      </c>
      <c r="AC47" s="120">
        <f t="shared" si="9"/>
        <v>0</v>
      </c>
      <c r="AD47" s="109">
        <f t="shared" si="10"/>
        <v>0</v>
      </c>
      <c r="AO47" s="145"/>
    </row>
    <row r="48" spans="3:41" x14ac:dyDescent="0.25">
      <c r="C48" s="150">
        <f>Model!$AO$13</f>
        <v>3004198</v>
      </c>
      <c r="D48" s="54">
        <f>Model!$AO$16</f>
        <v>0.38461538461538458</v>
      </c>
      <c r="E48" s="151">
        <f t="shared" si="4"/>
        <v>1155460.769230769</v>
      </c>
      <c r="F48" s="54">
        <f>Model!$AO$29</f>
        <v>1</v>
      </c>
      <c r="G48" s="151">
        <f t="shared" si="5"/>
        <v>1155460.769230769</v>
      </c>
      <c r="H48" s="108">
        <f>INDEX(Model!$AO$34:$AO$37,MATCH($J48,Model!$AN$34:$AN$37,0))</f>
        <v>4.0590758000000005E-2</v>
      </c>
      <c r="I48" s="129">
        <f t="shared" si="6"/>
        <v>46901.028462339993</v>
      </c>
      <c r="J48" s="109" t="s">
        <v>28</v>
      </c>
      <c r="K48" s="119">
        <f>INDEX(Model!$AO$38:$AO$41,MATCH($J48,Model!$AN$34:$AN$37,0))</f>
        <v>91.721414046613475</v>
      </c>
      <c r="L48" s="133">
        <f>K48*I48</f>
        <v>4301828.6508062901</v>
      </c>
      <c r="M48" s="119">
        <f>Model!$AO$106</f>
        <v>0</v>
      </c>
      <c r="N48" s="131">
        <f t="shared" si="11"/>
        <v>0</v>
      </c>
      <c r="O48" s="119" t="s">
        <v>32</v>
      </c>
      <c r="P48" s="119">
        <f>INDEX(Model!$AO$55:$AO$119,MATCH($O48,Model!$AN$55:$AN$119,0)+MATCH(Model!$AL$117,Model!$AL$55:$AL$119,0)-1)</f>
        <v>0.36</v>
      </c>
      <c r="Q48" s="133">
        <f t="shared" si="7"/>
        <v>0</v>
      </c>
      <c r="R48" s="148">
        <f>Model!$AO$149</f>
        <v>0.99399999999999999</v>
      </c>
      <c r="S48" s="131">
        <f t="shared" si="8"/>
        <v>0</v>
      </c>
      <c r="T48" s="109" t="s">
        <v>35</v>
      </c>
      <c r="U48" s="109">
        <f>Model!$AO$148</f>
        <v>1</v>
      </c>
      <c r="V48" s="109"/>
      <c r="W48" s="133">
        <f>S48*U48</f>
        <v>0</v>
      </c>
      <c r="X48" s="148">
        <f>Model!$AO$206</f>
        <v>0.05</v>
      </c>
      <c r="Y48" s="131">
        <f t="shared" si="2"/>
        <v>0</v>
      </c>
      <c r="Z48" s="109" t="s">
        <v>65</v>
      </c>
      <c r="AA48" s="109"/>
      <c r="AB48" s="109">
        <f>Model!$AO$205</f>
        <v>1.111</v>
      </c>
      <c r="AC48" s="120">
        <f t="shared" si="9"/>
        <v>0</v>
      </c>
      <c r="AD48" s="109">
        <f t="shared" si="10"/>
        <v>0</v>
      </c>
    </row>
    <row r="49" spans="3:41" x14ac:dyDescent="0.25">
      <c r="C49" s="150">
        <f>Model!$AO$13</f>
        <v>3004198</v>
      </c>
      <c r="D49" s="54">
        <f>Model!$AO$16</f>
        <v>0.38461538461538458</v>
      </c>
      <c r="E49" s="151">
        <f t="shared" si="4"/>
        <v>1155460.769230769</v>
      </c>
      <c r="F49" s="54">
        <f>Model!$AO$29</f>
        <v>1</v>
      </c>
      <c r="G49" s="151">
        <f t="shared" si="5"/>
        <v>1155460.769230769</v>
      </c>
      <c r="H49" s="108">
        <f>INDEX(Model!$AO$34:$AO$37,MATCH($J49,Model!$AN$34:$AN$37,0))</f>
        <v>4.0590758000000005E-2</v>
      </c>
      <c r="I49" s="129">
        <f t="shared" si="6"/>
        <v>46901.028462339993</v>
      </c>
      <c r="J49" s="109" t="s">
        <v>28</v>
      </c>
      <c r="K49" s="119">
        <f>INDEX(Model!$AO$38:$AO$41,MATCH($J49,Model!$AN$34:$AN$37,0))</f>
        <v>91.721414046613475</v>
      </c>
      <c r="L49" s="133">
        <f>K49*I49</f>
        <v>4301828.6508062901</v>
      </c>
      <c r="M49" s="119">
        <f>Model!$AO$93</f>
        <v>0</v>
      </c>
      <c r="N49" s="131">
        <f t="shared" si="11"/>
        <v>0</v>
      </c>
      <c r="O49" s="119" t="s">
        <v>31</v>
      </c>
      <c r="P49" s="119">
        <f>INDEX(Model!$AO$55:$AO$119,MATCH($O49,Model!$AN$55:$AN$119,0)+MATCH(Model!$AL$117,Model!$AL$55:$AL$119,0)-1)</f>
        <v>0.51500000000000001</v>
      </c>
      <c r="Q49" s="133">
        <f t="shared" si="7"/>
        <v>0</v>
      </c>
      <c r="R49" s="148">
        <f>Model!$AO$139</f>
        <v>6.0000000000000001E-3</v>
      </c>
      <c r="S49" s="131">
        <f t="shared" si="8"/>
        <v>0</v>
      </c>
      <c r="T49" s="109" t="s">
        <v>34</v>
      </c>
      <c r="U49" s="109"/>
      <c r="V49" s="109">
        <f>Model!$AO$138</f>
        <v>1</v>
      </c>
      <c r="W49" s="133"/>
      <c r="X49" s="148"/>
      <c r="Y49" s="131">
        <f t="shared" si="2"/>
        <v>0</v>
      </c>
      <c r="Z49" s="109"/>
      <c r="AA49" s="109"/>
      <c r="AB49" s="109"/>
      <c r="AC49" s="120">
        <f t="shared" si="9"/>
        <v>0</v>
      </c>
      <c r="AD49" s="109">
        <f t="shared" si="10"/>
        <v>0</v>
      </c>
      <c r="AO49" s="145"/>
    </row>
    <row r="50" spans="3:41" x14ac:dyDescent="0.25">
      <c r="C50" s="150">
        <f>Model!$AO$13</f>
        <v>3004198</v>
      </c>
      <c r="D50" s="54">
        <f>Model!$AO$16</f>
        <v>0.38461538461538458</v>
      </c>
      <c r="E50" s="151">
        <f t="shared" si="4"/>
        <v>1155460.769230769</v>
      </c>
      <c r="F50" s="54">
        <f>Model!$AO$29</f>
        <v>1</v>
      </c>
      <c r="G50" s="151">
        <f t="shared" si="5"/>
        <v>1155460.769230769</v>
      </c>
      <c r="H50" s="108">
        <f>INDEX(Model!$AO$34:$AO$37,MATCH($J50,Model!$AN$34:$AN$37,0))</f>
        <v>4.0590758000000005E-2</v>
      </c>
      <c r="I50" s="129">
        <f t="shared" si="6"/>
        <v>46901.028462339993</v>
      </c>
      <c r="J50" s="109" t="s">
        <v>28</v>
      </c>
      <c r="K50" s="119">
        <f>INDEX(Model!$AO$38:$AO$41,MATCH($J50,Model!$AN$34:$AN$37,0))</f>
        <v>91.721414046613475</v>
      </c>
      <c r="L50" s="133">
        <f>K50*I50</f>
        <v>4301828.6508062901</v>
      </c>
      <c r="M50" s="119">
        <f>Model!$AO$93</f>
        <v>0</v>
      </c>
      <c r="N50" s="131">
        <f t="shared" si="11"/>
        <v>0</v>
      </c>
      <c r="O50" s="119" t="s">
        <v>31</v>
      </c>
      <c r="P50" s="119">
        <f>INDEX(Model!$AO$55:$AO$119,MATCH($O50,Model!$AN$55:$AN$119,0)+MATCH(Model!$AL$117,Model!$AL$55:$AL$119,0)-1)</f>
        <v>0.51500000000000001</v>
      </c>
      <c r="Q50" s="133">
        <f t="shared" si="7"/>
        <v>0</v>
      </c>
      <c r="R50" s="148">
        <f>Model!$AO$149</f>
        <v>0.99399999999999999</v>
      </c>
      <c r="S50" s="131">
        <f t="shared" si="8"/>
        <v>0</v>
      </c>
      <c r="T50" s="109" t="s">
        <v>35</v>
      </c>
      <c r="U50" s="109">
        <f>Model!$AO$148</f>
        <v>1</v>
      </c>
      <c r="V50" s="109"/>
      <c r="W50" s="133">
        <f>S50*U50</f>
        <v>0</v>
      </c>
      <c r="X50" s="148">
        <f>Model!$AO$180</f>
        <v>0.01</v>
      </c>
      <c r="Y50" s="131">
        <f t="shared" si="2"/>
        <v>0</v>
      </c>
      <c r="Z50" s="109" t="s">
        <v>66</v>
      </c>
      <c r="AA50" s="109">
        <f>Model!$AO$179</f>
        <v>0.52600000000000002</v>
      </c>
      <c r="AB50" s="109"/>
      <c r="AC50" s="120">
        <f t="shared" si="9"/>
        <v>0</v>
      </c>
      <c r="AD50" s="109">
        <f t="shared" si="10"/>
        <v>0</v>
      </c>
      <c r="AO50" s="145"/>
    </row>
    <row r="51" spans="3:41" x14ac:dyDescent="0.25">
      <c r="C51" s="150">
        <f>Model!$AO$13</f>
        <v>3004198</v>
      </c>
      <c r="D51" s="54">
        <f>Model!$AO$16</f>
        <v>0.38461538461538458</v>
      </c>
      <c r="E51" s="151">
        <f t="shared" si="4"/>
        <v>1155460.769230769</v>
      </c>
      <c r="F51" s="54">
        <f>Model!$AO$29</f>
        <v>1</v>
      </c>
      <c r="G51" s="151">
        <f t="shared" si="5"/>
        <v>1155460.769230769</v>
      </c>
      <c r="H51" s="108">
        <f>INDEX(Model!$AO$34:$AO$37,MATCH($J51,Model!$AN$34:$AN$37,0))</f>
        <v>4.0590758000000005E-2</v>
      </c>
      <c r="I51" s="129">
        <f t="shared" si="6"/>
        <v>46901.028462339993</v>
      </c>
      <c r="J51" s="109" t="s">
        <v>28</v>
      </c>
      <c r="K51" s="119">
        <f>INDEX(Model!$AO$38:$AO$41,MATCH($J51,Model!$AN$34:$AN$37,0))</f>
        <v>91.721414046613475</v>
      </c>
      <c r="L51" s="133">
        <f>K51*I51</f>
        <v>4301828.6508062901</v>
      </c>
      <c r="M51" s="119">
        <f>Model!$AO$93</f>
        <v>0</v>
      </c>
      <c r="N51" s="131">
        <f t="shared" si="11"/>
        <v>0</v>
      </c>
      <c r="O51" s="119" t="s">
        <v>31</v>
      </c>
      <c r="P51" s="119">
        <f>INDEX(Model!$AO$55:$AO$119,MATCH($O51,Model!$AN$55:$AN$119,0)+MATCH(Model!$AL$117,Model!$AL$55:$AL$119,0)-1)</f>
        <v>0.51500000000000001</v>
      </c>
      <c r="Q51" s="133">
        <f t="shared" si="7"/>
        <v>0</v>
      </c>
      <c r="R51" s="148">
        <f>Model!$AO$149</f>
        <v>0.99399999999999999</v>
      </c>
      <c r="S51" s="131">
        <f t="shared" si="8"/>
        <v>0</v>
      </c>
      <c r="T51" s="109" t="s">
        <v>35</v>
      </c>
      <c r="U51" s="109">
        <f>Model!$AO$148</f>
        <v>1</v>
      </c>
      <c r="V51" s="109"/>
      <c r="W51" s="133">
        <f>S51*U51</f>
        <v>0</v>
      </c>
      <c r="X51" s="148">
        <f>Model!$AO$193</f>
        <v>0</v>
      </c>
      <c r="Y51" s="131">
        <f t="shared" si="2"/>
        <v>0</v>
      </c>
      <c r="Z51" s="109" t="s">
        <v>139</v>
      </c>
      <c r="AA51" s="109">
        <f>Model!$AO$192</f>
        <v>0.4</v>
      </c>
      <c r="AB51" s="109"/>
      <c r="AC51" s="120">
        <f t="shared" si="9"/>
        <v>0</v>
      </c>
      <c r="AD51" s="109">
        <f t="shared" si="10"/>
        <v>0</v>
      </c>
      <c r="AO51" s="145"/>
    </row>
    <row r="52" spans="3:41" x14ac:dyDescent="0.25">
      <c r="C52" s="150">
        <f>Model!$AO$13</f>
        <v>3004198</v>
      </c>
      <c r="D52" s="54">
        <f>Model!$AO$16</f>
        <v>0.38461538461538458</v>
      </c>
      <c r="E52" s="151">
        <f t="shared" si="4"/>
        <v>1155460.769230769</v>
      </c>
      <c r="F52" s="54">
        <f>Model!$AO$29</f>
        <v>1</v>
      </c>
      <c r="G52" s="151">
        <f t="shared" si="5"/>
        <v>1155460.769230769</v>
      </c>
      <c r="H52" s="108">
        <f>INDEX(Model!$AO$34:$AO$37,MATCH($J52,Model!$AN$34:$AN$37,0))</f>
        <v>4.0590758000000005E-2</v>
      </c>
      <c r="I52" s="129">
        <f t="shared" si="6"/>
        <v>46901.028462339993</v>
      </c>
      <c r="J52" s="109" t="s">
        <v>28</v>
      </c>
      <c r="K52" s="119">
        <f>INDEX(Model!$AO$38:$AO$41,MATCH($J52,Model!$AN$34:$AN$37,0))</f>
        <v>91.721414046613475</v>
      </c>
      <c r="L52" s="133">
        <f>K52*I52</f>
        <v>4301828.6508062901</v>
      </c>
      <c r="M52" s="119">
        <f>Model!$AO$93</f>
        <v>0</v>
      </c>
      <c r="N52" s="131">
        <f t="shared" si="11"/>
        <v>0</v>
      </c>
      <c r="O52" s="119" t="s">
        <v>31</v>
      </c>
      <c r="P52" s="119">
        <f>INDEX(Model!$AO$55:$AO$119,MATCH($O52,Model!$AN$55:$AN$119,0)+MATCH(Model!$AL$117,Model!$AL$55:$AL$119,0)-1)</f>
        <v>0.51500000000000001</v>
      </c>
      <c r="Q52" s="133">
        <f t="shared" si="7"/>
        <v>0</v>
      </c>
      <c r="R52" s="148">
        <f>Model!$AO$149</f>
        <v>0.99399999999999999</v>
      </c>
      <c r="S52" s="131">
        <f t="shared" si="8"/>
        <v>0</v>
      </c>
      <c r="T52" s="109" t="s">
        <v>35</v>
      </c>
      <c r="U52" s="109">
        <f>Model!$AO$148</f>
        <v>1</v>
      </c>
      <c r="V52" s="109"/>
      <c r="W52" s="133">
        <f>S52*U52</f>
        <v>0</v>
      </c>
      <c r="X52" s="148">
        <f>Model!$AO$166</f>
        <v>0.94</v>
      </c>
      <c r="Y52" s="131">
        <f t="shared" si="2"/>
        <v>0</v>
      </c>
      <c r="Z52" s="109" t="s">
        <v>64</v>
      </c>
      <c r="AA52" s="109"/>
      <c r="AB52" s="109">
        <f>Model!$AO$165</f>
        <v>1.613</v>
      </c>
      <c r="AC52" s="120">
        <f t="shared" si="9"/>
        <v>0</v>
      </c>
      <c r="AD52" s="109">
        <f t="shared" si="10"/>
        <v>0</v>
      </c>
      <c r="AO52" s="145"/>
    </row>
    <row r="53" spans="3:41" x14ac:dyDescent="0.25">
      <c r="C53" s="150">
        <f>Model!$AO$13</f>
        <v>3004198</v>
      </c>
      <c r="D53" s="54">
        <f>Model!$AO$16</f>
        <v>0.38461538461538458</v>
      </c>
      <c r="E53" s="151">
        <f t="shared" si="4"/>
        <v>1155460.769230769</v>
      </c>
      <c r="F53" s="54">
        <f>Model!$AO$29</f>
        <v>1</v>
      </c>
      <c r="G53" s="151">
        <f t="shared" si="5"/>
        <v>1155460.769230769</v>
      </c>
      <c r="H53" s="108">
        <f>INDEX(Model!$AO$34:$AO$37,MATCH($J53,Model!$AN$34:$AN$37,0))</f>
        <v>4.0590758000000005E-2</v>
      </c>
      <c r="I53" s="129">
        <f t="shared" si="6"/>
        <v>46901.028462339993</v>
      </c>
      <c r="J53" s="109" t="s">
        <v>28</v>
      </c>
      <c r="K53" s="119">
        <f>INDEX(Model!$AO$38:$AO$41,MATCH($J53,Model!$AN$34:$AN$37,0))</f>
        <v>91.721414046613475</v>
      </c>
      <c r="L53" s="133">
        <f>K53*I53</f>
        <v>4301828.6508062901</v>
      </c>
      <c r="M53" s="119">
        <f>Model!$AO$93</f>
        <v>0</v>
      </c>
      <c r="N53" s="131">
        <f t="shared" si="11"/>
        <v>0</v>
      </c>
      <c r="O53" s="119" t="s">
        <v>31</v>
      </c>
      <c r="P53" s="119">
        <f>INDEX(Model!$AO$55:$AO$119,MATCH($O53,Model!$AN$55:$AN$119,0)+MATCH(Model!$AL$117,Model!$AL$55:$AL$119,0)-1)</f>
        <v>0.51500000000000001</v>
      </c>
      <c r="Q53" s="133">
        <f t="shared" si="7"/>
        <v>0</v>
      </c>
      <c r="R53" s="148">
        <f>Model!$AO$149</f>
        <v>0.99399999999999999</v>
      </c>
      <c r="S53" s="131">
        <f t="shared" si="8"/>
        <v>0</v>
      </c>
      <c r="T53" s="109" t="s">
        <v>35</v>
      </c>
      <c r="U53" s="109">
        <f>Model!$AO$148</f>
        <v>1</v>
      </c>
      <c r="V53" s="109"/>
      <c r="W53" s="133">
        <f>S53*U53</f>
        <v>0</v>
      </c>
      <c r="X53" s="148">
        <f>Model!$AO$206</f>
        <v>0.05</v>
      </c>
      <c r="Y53" s="131">
        <f t="shared" si="2"/>
        <v>0</v>
      </c>
      <c r="Z53" s="109" t="s">
        <v>65</v>
      </c>
      <c r="AA53" s="109"/>
      <c r="AB53" s="109">
        <f>Model!$AO$205</f>
        <v>1.111</v>
      </c>
      <c r="AC53" s="120">
        <f t="shared" si="9"/>
        <v>0</v>
      </c>
      <c r="AD53" s="109">
        <f t="shared" si="10"/>
        <v>0</v>
      </c>
      <c r="AO53" s="145"/>
    </row>
    <row r="54" spans="3:41" x14ac:dyDescent="0.25">
      <c r="C54" s="150">
        <f>Model!$AO$13</f>
        <v>3004198</v>
      </c>
      <c r="D54" s="54">
        <f>Model!$AO$16</f>
        <v>0.38461538461538458</v>
      </c>
      <c r="E54" s="151">
        <f t="shared" si="4"/>
        <v>1155460.769230769</v>
      </c>
      <c r="F54" s="54">
        <f>Model!$AO$29</f>
        <v>1</v>
      </c>
      <c r="G54" s="151">
        <f t="shared" si="5"/>
        <v>1155460.769230769</v>
      </c>
      <c r="H54" s="108">
        <f>INDEX(Model!$AO$34:$AO$37,MATCH($J54,Model!$AN$34:$AN$37,0))</f>
        <v>0.1</v>
      </c>
      <c r="I54" s="129">
        <f t="shared" si="6"/>
        <v>115546.07692307691</v>
      </c>
      <c r="J54" s="109" t="s">
        <v>26</v>
      </c>
      <c r="K54" s="119">
        <f>INDEX(Model!$AO$38:$AO$41,MATCH($J54,Model!$AN$34:$AN$37,0))</f>
        <v>107.36595424145357</v>
      </c>
      <c r="L54" s="133">
        <f>K54*I54</f>
        <v>12405714.807702549</v>
      </c>
      <c r="M54" s="119">
        <f>Model!$AO$119</f>
        <v>0</v>
      </c>
      <c r="N54" s="131">
        <f t="shared" si="11"/>
        <v>0</v>
      </c>
      <c r="O54" s="119" t="s">
        <v>33</v>
      </c>
      <c r="P54" s="119">
        <f>INDEX(Model!$AO$55:$AO$119,MATCH($O54,Model!$AN$55:$AN$119,0)+MATCH(Model!$AL$117,Model!$AL$55:$AL$119,0)-1)</f>
        <v>0.309</v>
      </c>
      <c r="Q54" s="133">
        <f t="shared" si="7"/>
        <v>0</v>
      </c>
      <c r="R54" s="148">
        <f>Model!$AO$139</f>
        <v>6.0000000000000001E-3</v>
      </c>
      <c r="S54" s="131">
        <f t="shared" si="8"/>
        <v>0</v>
      </c>
      <c r="T54" s="109" t="s">
        <v>34</v>
      </c>
      <c r="U54" s="109"/>
      <c r="V54" s="109">
        <f>Model!$AO$138</f>
        <v>1</v>
      </c>
      <c r="W54" s="133"/>
      <c r="X54" s="148"/>
      <c r="Y54" s="131">
        <f t="shared" si="2"/>
        <v>0</v>
      </c>
      <c r="Z54" s="109"/>
      <c r="AA54" s="109"/>
      <c r="AB54" s="109"/>
      <c r="AC54" s="120">
        <f t="shared" si="9"/>
        <v>0</v>
      </c>
      <c r="AD54" s="109">
        <f t="shared" si="10"/>
        <v>0</v>
      </c>
      <c r="AO54" s="145"/>
    </row>
    <row r="55" spans="3:41" x14ac:dyDescent="0.25">
      <c r="C55" s="150">
        <f>Model!$AO$13</f>
        <v>3004198</v>
      </c>
      <c r="D55" s="54">
        <f>Model!$AO$16</f>
        <v>0.38461538461538458</v>
      </c>
      <c r="E55" s="151">
        <f t="shared" si="4"/>
        <v>1155460.769230769</v>
      </c>
      <c r="F55" s="54">
        <f>Model!$AO$29</f>
        <v>1</v>
      </c>
      <c r="G55" s="151">
        <f t="shared" si="5"/>
        <v>1155460.769230769</v>
      </c>
      <c r="H55" s="108">
        <f>INDEX(Model!$AO$34:$AO$37,MATCH($J55,Model!$AN$34:$AN$37,0))</f>
        <v>0.1</v>
      </c>
      <c r="I55" s="129">
        <f t="shared" si="6"/>
        <v>115546.07692307691</v>
      </c>
      <c r="J55" s="109" t="s">
        <v>26</v>
      </c>
      <c r="K55" s="119">
        <f>INDEX(Model!$AO$38:$AO$41,MATCH($J55,Model!$AN$34:$AN$37,0))</f>
        <v>107.36595424145357</v>
      </c>
      <c r="L55" s="133">
        <f>K55*I55</f>
        <v>12405714.807702549</v>
      </c>
      <c r="M55" s="119">
        <f>Model!$AO$119</f>
        <v>0</v>
      </c>
      <c r="N55" s="131">
        <f t="shared" si="11"/>
        <v>0</v>
      </c>
      <c r="O55" s="119" t="s">
        <v>33</v>
      </c>
      <c r="P55" s="119">
        <f>INDEX(Model!$AO$55:$AO$119,MATCH($O55,Model!$AN$55:$AN$119,0)+MATCH(Model!$AL$117,Model!$AL$55:$AL$119,0)-1)</f>
        <v>0.309</v>
      </c>
      <c r="Q55" s="133">
        <f t="shared" si="7"/>
        <v>0</v>
      </c>
      <c r="R55" s="148">
        <f>Model!$AO$149</f>
        <v>0.99399999999999999</v>
      </c>
      <c r="S55" s="131">
        <f t="shared" si="8"/>
        <v>0</v>
      </c>
      <c r="T55" s="109" t="s">
        <v>35</v>
      </c>
      <c r="U55" s="109">
        <f>Model!$AO$148</f>
        <v>1</v>
      </c>
      <c r="V55" s="109"/>
      <c r="W55" s="133">
        <f>S55*U55</f>
        <v>0</v>
      </c>
      <c r="X55" s="148">
        <f>Model!$AO$180</f>
        <v>0.01</v>
      </c>
      <c r="Y55" s="131">
        <f t="shared" si="2"/>
        <v>0</v>
      </c>
      <c r="Z55" s="109" t="s">
        <v>66</v>
      </c>
      <c r="AA55" s="109">
        <f>Model!$AO$179</f>
        <v>0.52600000000000002</v>
      </c>
      <c r="AB55" s="109"/>
      <c r="AC55" s="120">
        <f t="shared" si="9"/>
        <v>0</v>
      </c>
      <c r="AD55" s="109">
        <f t="shared" si="10"/>
        <v>0</v>
      </c>
      <c r="AO55" s="145"/>
    </row>
    <row r="56" spans="3:41" x14ac:dyDescent="0.25">
      <c r="C56" s="150">
        <f>Model!$AO$13</f>
        <v>3004198</v>
      </c>
      <c r="D56" s="54">
        <f>Model!$AO$16</f>
        <v>0.38461538461538458</v>
      </c>
      <c r="E56" s="151">
        <f t="shared" si="4"/>
        <v>1155460.769230769</v>
      </c>
      <c r="F56" s="54">
        <f>Model!$AO$29</f>
        <v>1</v>
      </c>
      <c r="G56" s="151">
        <f t="shared" si="5"/>
        <v>1155460.769230769</v>
      </c>
      <c r="H56" s="108">
        <f>INDEX(Model!$AO$34:$AO$37,MATCH($J56,Model!$AN$34:$AN$37,0))</f>
        <v>0.1</v>
      </c>
      <c r="I56" s="129">
        <f t="shared" si="6"/>
        <v>115546.07692307691</v>
      </c>
      <c r="J56" s="109" t="s">
        <v>26</v>
      </c>
      <c r="K56" s="119">
        <f>INDEX(Model!$AO$38:$AO$41,MATCH($J56,Model!$AN$34:$AN$37,0))</f>
        <v>107.36595424145357</v>
      </c>
      <c r="L56" s="133">
        <f>K56*I56</f>
        <v>12405714.807702549</v>
      </c>
      <c r="M56" s="119">
        <f>Model!$AO$119</f>
        <v>0</v>
      </c>
      <c r="N56" s="131">
        <f t="shared" si="11"/>
        <v>0</v>
      </c>
      <c r="O56" s="119" t="s">
        <v>33</v>
      </c>
      <c r="P56" s="119">
        <f>INDEX(Model!$AO$55:$AO$119,MATCH($O56,Model!$AN$55:$AN$119,0)+MATCH(Model!$AL$117,Model!$AL$55:$AL$119,0)-1)</f>
        <v>0.309</v>
      </c>
      <c r="Q56" s="133">
        <f t="shared" si="7"/>
        <v>0</v>
      </c>
      <c r="R56" s="148">
        <f>Model!$AO$149</f>
        <v>0.99399999999999999</v>
      </c>
      <c r="S56" s="131">
        <f t="shared" si="8"/>
        <v>0</v>
      </c>
      <c r="T56" s="109" t="s">
        <v>35</v>
      </c>
      <c r="U56" s="109">
        <f>Model!$AO$148</f>
        <v>1</v>
      </c>
      <c r="V56" s="109"/>
      <c r="W56" s="133">
        <f>S56*U56</f>
        <v>0</v>
      </c>
      <c r="X56" s="148">
        <f>Model!$AO$193</f>
        <v>0</v>
      </c>
      <c r="Y56" s="131">
        <f t="shared" si="2"/>
        <v>0</v>
      </c>
      <c r="Z56" s="109" t="s">
        <v>139</v>
      </c>
      <c r="AA56" s="109">
        <f>Model!$AO$192</f>
        <v>0.4</v>
      </c>
      <c r="AB56" s="109"/>
      <c r="AC56" s="120">
        <f t="shared" si="9"/>
        <v>0</v>
      </c>
      <c r="AD56" s="109">
        <f t="shared" si="10"/>
        <v>0</v>
      </c>
      <c r="AO56" s="145"/>
    </row>
    <row r="57" spans="3:41" x14ac:dyDescent="0.25">
      <c r="C57" s="150">
        <f>Model!$AO$13</f>
        <v>3004198</v>
      </c>
      <c r="D57" s="54">
        <f>Model!$AO$16</f>
        <v>0.38461538461538458</v>
      </c>
      <c r="E57" s="151">
        <f t="shared" si="4"/>
        <v>1155460.769230769</v>
      </c>
      <c r="F57" s="54">
        <f>Model!$AO$29</f>
        <v>1</v>
      </c>
      <c r="G57" s="151">
        <f t="shared" si="5"/>
        <v>1155460.769230769</v>
      </c>
      <c r="H57" s="108">
        <f>INDEX(Model!$AO$34:$AO$37,MATCH($J57,Model!$AN$34:$AN$37,0))</f>
        <v>0.1</v>
      </c>
      <c r="I57" s="129">
        <f t="shared" si="6"/>
        <v>115546.07692307691</v>
      </c>
      <c r="J57" s="109" t="s">
        <v>26</v>
      </c>
      <c r="K57" s="119">
        <f>INDEX(Model!$AO$38:$AO$41,MATCH($J57,Model!$AN$34:$AN$37,0))</f>
        <v>107.36595424145357</v>
      </c>
      <c r="L57" s="133">
        <f>K57*I57</f>
        <v>12405714.807702549</v>
      </c>
      <c r="M57" s="119">
        <f>Model!$AO$119</f>
        <v>0</v>
      </c>
      <c r="N57" s="131">
        <f t="shared" si="11"/>
        <v>0</v>
      </c>
      <c r="O57" s="119" t="s">
        <v>33</v>
      </c>
      <c r="P57" s="119">
        <f>INDEX(Model!$AO$55:$AO$119,MATCH($O57,Model!$AN$55:$AN$119,0)+MATCH(Model!$AL$117,Model!$AL$55:$AL$119,0)-1)</f>
        <v>0.309</v>
      </c>
      <c r="Q57" s="133">
        <f t="shared" si="7"/>
        <v>0</v>
      </c>
      <c r="R57" s="148">
        <f>Model!$AO$149</f>
        <v>0.99399999999999999</v>
      </c>
      <c r="S57" s="131">
        <f t="shared" si="8"/>
        <v>0</v>
      </c>
      <c r="T57" s="109" t="s">
        <v>35</v>
      </c>
      <c r="U57" s="109">
        <f>Model!$AO$148</f>
        <v>1</v>
      </c>
      <c r="V57" s="109"/>
      <c r="W57" s="133">
        <f>S57*U57</f>
        <v>0</v>
      </c>
      <c r="X57" s="148">
        <f>Model!$AO$166</f>
        <v>0.94</v>
      </c>
      <c r="Y57" s="131">
        <f t="shared" si="2"/>
        <v>0</v>
      </c>
      <c r="Z57" s="109" t="s">
        <v>64</v>
      </c>
      <c r="AA57" s="109"/>
      <c r="AB57" s="109">
        <f>Model!$AO$165</f>
        <v>1.613</v>
      </c>
      <c r="AC57" s="120">
        <f t="shared" si="9"/>
        <v>0</v>
      </c>
      <c r="AD57" s="109">
        <f t="shared" si="10"/>
        <v>0</v>
      </c>
      <c r="AO57" s="145"/>
    </row>
    <row r="58" spans="3:41" x14ac:dyDescent="0.25">
      <c r="C58" s="150">
        <f>Model!$AO$13</f>
        <v>3004198</v>
      </c>
      <c r="D58" s="54">
        <f>Model!$AO$16</f>
        <v>0.38461538461538458</v>
      </c>
      <c r="E58" s="151">
        <f t="shared" si="4"/>
        <v>1155460.769230769</v>
      </c>
      <c r="F58" s="54">
        <f>Model!$AO$29</f>
        <v>1</v>
      </c>
      <c r="G58" s="151">
        <f t="shared" si="5"/>
        <v>1155460.769230769</v>
      </c>
      <c r="H58" s="108">
        <f>INDEX(Model!$AO$34:$AO$37,MATCH($J58,Model!$AN$34:$AN$37,0))</f>
        <v>0.1</v>
      </c>
      <c r="I58" s="129">
        <f t="shared" si="6"/>
        <v>115546.07692307691</v>
      </c>
      <c r="J58" s="109" t="s">
        <v>26</v>
      </c>
      <c r="K58" s="119">
        <f>INDEX(Model!$AO$38:$AO$41,MATCH($J58,Model!$AN$34:$AN$37,0))</f>
        <v>107.36595424145357</v>
      </c>
      <c r="L58" s="133">
        <f>K58*I58</f>
        <v>12405714.807702549</v>
      </c>
      <c r="M58" s="119">
        <f>Model!$AO$119</f>
        <v>0</v>
      </c>
      <c r="N58" s="131">
        <f t="shared" si="11"/>
        <v>0</v>
      </c>
      <c r="O58" s="119" t="s">
        <v>33</v>
      </c>
      <c r="P58" s="119">
        <f>INDEX(Model!$AO$55:$AO$119,MATCH($O58,Model!$AN$55:$AN$119,0)+MATCH(Model!$AL$117,Model!$AL$55:$AL$119,0)-1)</f>
        <v>0.309</v>
      </c>
      <c r="Q58" s="133">
        <f t="shared" si="7"/>
        <v>0</v>
      </c>
      <c r="R58" s="148">
        <f>Model!$AO$149</f>
        <v>0.99399999999999999</v>
      </c>
      <c r="S58" s="131">
        <f t="shared" si="8"/>
        <v>0</v>
      </c>
      <c r="T58" s="109" t="s">
        <v>35</v>
      </c>
      <c r="U58" s="109">
        <f>Model!$AO$148</f>
        <v>1</v>
      </c>
      <c r="V58" s="109"/>
      <c r="W58" s="133">
        <f>S58*U58</f>
        <v>0</v>
      </c>
      <c r="X58" s="148">
        <f>Model!$AO$206</f>
        <v>0.05</v>
      </c>
      <c r="Y58" s="131">
        <f t="shared" si="2"/>
        <v>0</v>
      </c>
      <c r="Z58" s="109" t="s">
        <v>65</v>
      </c>
      <c r="AA58" s="109"/>
      <c r="AB58" s="109">
        <f>Model!$AO$205</f>
        <v>1.111</v>
      </c>
      <c r="AC58" s="120">
        <f t="shared" si="9"/>
        <v>0</v>
      </c>
      <c r="AD58" s="109">
        <f t="shared" si="10"/>
        <v>0</v>
      </c>
    </row>
    <row r="59" spans="3:41" x14ac:dyDescent="0.25">
      <c r="C59" s="150">
        <f>Model!$AO$13</f>
        <v>3004198</v>
      </c>
      <c r="D59" s="54">
        <f>Model!$AO$16</f>
        <v>0.38461538461538458</v>
      </c>
      <c r="E59" s="151">
        <f t="shared" si="4"/>
        <v>1155460.769230769</v>
      </c>
      <c r="F59" s="54">
        <f>Model!$AO$29</f>
        <v>1</v>
      </c>
      <c r="G59" s="151">
        <f t="shared" si="5"/>
        <v>1155460.769230769</v>
      </c>
      <c r="H59" s="108">
        <f>INDEX(Model!$AO$34:$AO$37,MATCH($J59,Model!$AN$34:$AN$37,0))</f>
        <v>0.1</v>
      </c>
      <c r="I59" s="129">
        <f t="shared" si="6"/>
        <v>115546.07692307691</v>
      </c>
      <c r="J59" s="109" t="s">
        <v>26</v>
      </c>
      <c r="K59" s="119">
        <f>INDEX(Model!$AO$38:$AO$41,MATCH($J59,Model!$AN$34:$AN$37,0))</f>
        <v>107.36595424145357</v>
      </c>
      <c r="L59" s="133">
        <f>K59*I59</f>
        <v>12405714.807702549</v>
      </c>
      <c r="M59" s="119">
        <f>Model!$AO$80</f>
        <v>0.83299999999999996</v>
      </c>
      <c r="N59" s="131">
        <f t="shared" si="11"/>
        <v>10333960.434816223</v>
      </c>
      <c r="O59" s="119" t="s">
        <v>29</v>
      </c>
      <c r="P59" s="119">
        <f>INDEX(Model!$AO$55:$AO$119,MATCH($O59,Model!$AN$55:$AN$119,0)+MATCH(Model!$AL$117,Model!$AL$55:$AL$119,0)-1)</f>
        <v>0.63300000000000001</v>
      </c>
      <c r="Q59" s="133">
        <f t="shared" si="7"/>
        <v>6541396.9552386692</v>
      </c>
      <c r="R59" s="148">
        <f>Model!$AO$139</f>
        <v>6.0000000000000001E-3</v>
      </c>
      <c r="S59" s="131">
        <f t="shared" si="8"/>
        <v>39248.381731432019</v>
      </c>
      <c r="T59" s="109" t="s">
        <v>34</v>
      </c>
      <c r="U59" s="109"/>
      <c r="V59" s="109">
        <f>Model!$AO$138</f>
        <v>1</v>
      </c>
      <c r="W59" s="133"/>
      <c r="X59" s="148"/>
      <c r="Y59" s="131">
        <f t="shared" si="2"/>
        <v>0</v>
      </c>
      <c r="Z59" s="109"/>
      <c r="AA59" s="109"/>
      <c r="AB59" s="109"/>
      <c r="AC59" s="120">
        <f t="shared" si="9"/>
        <v>39248.381731432019</v>
      </c>
      <c r="AD59" s="109">
        <f t="shared" si="10"/>
        <v>0</v>
      </c>
    </row>
    <row r="60" spans="3:41" x14ac:dyDescent="0.25">
      <c r="C60" s="150">
        <f>Model!$AO$13</f>
        <v>3004198</v>
      </c>
      <c r="D60" s="54">
        <f>Model!$AO$16</f>
        <v>0.38461538461538458</v>
      </c>
      <c r="E60" s="151">
        <f t="shared" si="4"/>
        <v>1155460.769230769</v>
      </c>
      <c r="F60" s="54">
        <f>Model!$AO$29</f>
        <v>1</v>
      </c>
      <c r="G60" s="151">
        <f t="shared" si="5"/>
        <v>1155460.769230769</v>
      </c>
      <c r="H60" s="108">
        <f>INDEX(Model!$AO$34:$AO$37,MATCH($J60,Model!$AN$34:$AN$37,0))</f>
        <v>0.1</v>
      </c>
      <c r="I60" s="129">
        <f t="shared" si="6"/>
        <v>115546.07692307691</v>
      </c>
      <c r="J60" s="109" t="s">
        <v>26</v>
      </c>
      <c r="K60" s="119">
        <f>INDEX(Model!$AO$38:$AO$41,MATCH($J60,Model!$AN$34:$AN$37,0))</f>
        <v>107.36595424145357</v>
      </c>
      <c r="L60" s="133">
        <f>K60*I60</f>
        <v>12405714.807702549</v>
      </c>
      <c r="M60" s="119">
        <f>Model!$AO$80</f>
        <v>0.83299999999999996</v>
      </c>
      <c r="N60" s="131">
        <f t="shared" si="11"/>
        <v>10333960.434816223</v>
      </c>
      <c r="O60" s="119" t="s">
        <v>29</v>
      </c>
      <c r="P60" s="119">
        <f>INDEX(Model!$AO$55:$AO$119,MATCH($O60,Model!$AN$55:$AN$119,0)+MATCH(Model!$AL$117,Model!$AL$55:$AL$119,0)-1)</f>
        <v>0.63300000000000001</v>
      </c>
      <c r="Q60" s="133">
        <f t="shared" si="7"/>
        <v>6541396.9552386692</v>
      </c>
      <c r="R60" s="148">
        <f>Model!$AO$149</f>
        <v>0.99399999999999999</v>
      </c>
      <c r="S60" s="131">
        <f t="shared" si="8"/>
        <v>6502148.5735072372</v>
      </c>
      <c r="T60" s="109" t="s">
        <v>35</v>
      </c>
      <c r="U60" s="109">
        <f>Model!$AO$148</f>
        <v>1</v>
      </c>
      <c r="V60" s="109"/>
      <c r="W60" s="133">
        <f>S60*U60</f>
        <v>6502148.5735072372</v>
      </c>
      <c r="X60" s="148">
        <f>Model!$AO$180</f>
        <v>0.01</v>
      </c>
      <c r="Y60" s="131">
        <f t="shared" si="2"/>
        <v>65021.485735072376</v>
      </c>
      <c r="Z60" s="109" t="s">
        <v>66</v>
      </c>
      <c r="AA60" s="109">
        <f>Model!$AO$179</f>
        <v>0.52600000000000002</v>
      </c>
      <c r="AB60" s="109"/>
      <c r="AC60" s="120">
        <f t="shared" si="9"/>
        <v>34201.30149664807</v>
      </c>
      <c r="AD60" s="109">
        <f t="shared" si="10"/>
        <v>0</v>
      </c>
    </row>
    <row r="61" spans="3:41" x14ac:dyDescent="0.25">
      <c r="C61" s="150">
        <f>Model!$AO$13</f>
        <v>3004198</v>
      </c>
      <c r="D61" s="54">
        <f>Model!$AO$16</f>
        <v>0.38461538461538458</v>
      </c>
      <c r="E61" s="151">
        <f t="shared" si="4"/>
        <v>1155460.769230769</v>
      </c>
      <c r="F61" s="54">
        <f>Model!$AO$29</f>
        <v>1</v>
      </c>
      <c r="G61" s="151">
        <f t="shared" si="5"/>
        <v>1155460.769230769</v>
      </c>
      <c r="H61" s="108">
        <f>INDEX(Model!$AO$34:$AO$37,MATCH($J61,Model!$AN$34:$AN$37,0))</f>
        <v>0.1</v>
      </c>
      <c r="I61" s="129">
        <f t="shared" si="6"/>
        <v>115546.07692307691</v>
      </c>
      <c r="J61" s="109" t="s">
        <v>26</v>
      </c>
      <c r="K61" s="119">
        <f>INDEX(Model!$AO$38:$AO$41,MATCH($J61,Model!$AN$34:$AN$37,0))</f>
        <v>107.36595424145357</v>
      </c>
      <c r="L61" s="133">
        <f>K61*I61</f>
        <v>12405714.807702549</v>
      </c>
      <c r="M61" s="119">
        <f>Model!$AO$80</f>
        <v>0.83299999999999996</v>
      </c>
      <c r="N61" s="131">
        <f t="shared" si="11"/>
        <v>10333960.434816223</v>
      </c>
      <c r="O61" s="119" t="s">
        <v>29</v>
      </c>
      <c r="P61" s="119">
        <f>INDEX(Model!$AO$55:$AO$119,MATCH($O61,Model!$AN$55:$AN$119,0)+MATCH(Model!$AL$117,Model!$AL$55:$AL$119,0)-1)</f>
        <v>0.63300000000000001</v>
      </c>
      <c r="Q61" s="133">
        <f t="shared" si="7"/>
        <v>6541396.9552386692</v>
      </c>
      <c r="R61" s="148">
        <f>Model!$AO$149</f>
        <v>0.99399999999999999</v>
      </c>
      <c r="S61" s="131">
        <f t="shared" si="8"/>
        <v>6502148.5735072372</v>
      </c>
      <c r="T61" s="109" t="s">
        <v>35</v>
      </c>
      <c r="U61" s="109">
        <f>Model!$AO$148</f>
        <v>1</v>
      </c>
      <c r="V61" s="109"/>
      <c r="W61" s="133">
        <f>S61*U61</f>
        <v>6502148.5735072372</v>
      </c>
      <c r="X61" s="148">
        <f>Model!$AO$193</f>
        <v>0</v>
      </c>
      <c r="Y61" s="131">
        <f t="shared" si="2"/>
        <v>0</v>
      </c>
      <c r="Z61" s="109" t="s">
        <v>139</v>
      </c>
      <c r="AA61" s="109">
        <f>Model!$AO$192</f>
        <v>0.4</v>
      </c>
      <c r="AB61" s="109"/>
      <c r="AC61" s="120">
        <f t="shared" si="9"/>
        <v>0</v>
      </c>
      <c r="AD61" s="109">
        <f t="shared" si="10"/>
        <v>0</v>
      </c>
    </row>
    <row r="62" spans="3:41" x14ac:dyDescent="0.25">
      <c r="C62" s="150">
        <f>Model!$AO$13</f>
        <v>3004198</v>
      </c>
      <c r="D62" s="54">
        <f>Model!$AO$16</f>
        <v>0.38461538461538458</v>
      </c>
      <c r="E62" s="151">
        <f t="shared" si="4"/>
        <v>1155460.769230769</v>
      </c>
      <c r="F62" s="54">
        <f>Model!$AO$29</f>
        <v>1</v>
      </c>
      <c r="G62" s="151">
        <f t="shared" si="5"/>
        <v>1155460.769230769</v>
      </c>
      <c r="H62" s="108">
        <f>INDEX(Model!$AO$34:$AO$37,MATCH($J62,Model!$AN$34:$AN$37,0))</f>
        <v>0.1</v>
      </c>
      <c r="I62" s="129">
        <f t="shared" si="6"/>
        <v>115546.07692307691</v>
      </c>
      <c r="J62" s="109" t="s">
        <v>26</v>
      </c>
      <c r="K62" s="119">
        <f>INDEX(Model!$AO$38:$AO$41,MATCH($J62,Model!$AN$34:$AN$37,0))</f>
        <v>107.36595424145357</v>
      </c>
      <c r="L62" s="133">
        <f>K62*I62</f>
        <v>12405714.807702549</v>
      </c>
      <c r="M62" s="119">
        <f>Model!$AO$80</f>
        <v>0.83299999999999996</v>
      </c>
      <c r="N62" s="131">
        <f t="shared" si="11"/>
        <v>10333960.434816223</v>
      </c>
      <c r="O62" s="119" t="s">
        <v>29</v>
      </c>
      <c r="P62" s="119">
        <f>INDEX(Model!$AO$55:$AO$119,MATCH($O62,Model!$AN$55:$AN$119,0)+MATCH(Model!$AL$117,Model!$AL$55:$AL$119,0)-1)</f>
        <v>0.63300000000000001</v>
      </c>
      <c r="Q62" s="133">
        <f t="shared" si="7"/>
        <v>6541396.9552386692</v>
      </c>
      <c r="R62" s="148">
        <f>Model!$AO$149</f>
        <v>0.99399999999999999</v>
      </c>
      <c r="S62" s="131">
        <f t="shared" si="8"/>
        <v>6502148.5735072372</v>
      </c>
      <c r="T62" s="109" t="s">
        <v>35</v>
      </c>
      <c r="U62" s="109">
        <f>Model!$AO$148</f>
        <v>1</v>
      </c>
      <c r="V62" s="109"/>
      <c r="W62" s="133">
        <f>S62*U62</f>
        <v>6502148.5735072372</v>
      </c>
      <c r="X62" s="148">
        <f>Model!$AO$166</f>
        <v>0.94</v>
      </c>
      <c r="Y62" s="131">
        <f t="shared" si="2"/>
        <v>6112019.6590968026</v>
      </c>
      <c r="Z62" s="109" t="s">
        <v>64</v>
      </c>
      <c r="AA62" s="109"/>
      <c r="AB62" s="109">
        <f>Model!$AO$165</f>
        <v>1.613</v>
      </c>
      <c r="AC62" s="120">
        <f t="shared" si="9"/>
        <v>0</v>
      </c>
      <c r="AD62" s="109">
        <f t="shared" si="10"/>
        <v>9858687.7101231422</v>
      </c>
    </row>
    <row r="63" spans="3:41" x14ac:dyDescent="0.25">
      <c r="C63" s="150">
        <f>Model!$AO$13</f>
        <v>3004198</v>
      </c>
      <c r="D63" s="54">
        <f>Model!$AO$16</f>
        <v>0.38461538461538458</v>
      </c>
      <c r="E63" s="151">
        <f t="shared" si="4"/>
        <v>1155460.769230769</v>
      </c>
      <c r="F63" s="54">
        <f>Model!$AO$29</f>
        <v>1</v>
      </c>
      <c r="G63" s="151">
        <f t="shared" si="5"/>
        <v>1155460.769230769</v>
      </c>
      <c r="H63" s="108">
        <f>INDEX(Model!$AO$34:$AO$37,MATCH($J63,Model!$AN$34:$AN$37,0))</f>
        <v>0.1</v>
      </c>
      <c r="I63" s="129">
        <f t="shared" si="6"/>
        <v>115546.07692307691</v>
      </c>
      <c r="J63" s="109" t="s">
        <v>26</v>
      </c>
      <c r="K63" s="119">
        <f>INDEX(Model!$AO$38:$AO$41,MATCH($J63,Model!$AN$34:$AN$37,0))</f>
        <v>107.36595424145357</v>
      </c>
      <c r="L63" s="133">
        <f>K63*I63</f>
        <v>12405714.807702549</v>
      </c>
      <c r="M63" s="119">
        <f>Model!$AO$80</f>
        <v>0.83299999999999996</v>
      </c>
      <c r="N63" s="131">
        <f t="shared" si="11"/>
        <v>10333960.434816223</v>
      </c>
      <c r="O63" s="119" t="s">
        <v>29</v>
      </c>
      <c r="P63" s="119">
        <f>INDEX(Model!$AO$55:$AO$119,MATCH($O63,Model!$AN$55:$AN$119,0)+MATCH(Model!$AL$117,Model!$AL$55:$AL$119,0)-1)</f>
        <v>0.63300000000000001</v>
      </c>
      <c r="Q63" s="133">
        <f t="shared" si="7"/>
        <v>6541396.9552386692</v>
      </c>
      <c r="R63" s="148">
        <f>Model!$AO$149</f>
        <v>0.99399999999999999</v>
      </c>
      <c r="S63" s="131">
        <f t="shared" si="8"/>
        <v>6502148.5735072372</v>
      </c>
      <c r="T63" s="109" t="s">
        <v>35</v>
      </c>
      <c r="U63" s="109">
        <f>Model!$AO$148</f>
        <v>1</v>
      </c>
      <c r="V63" s="109"/>
      <c r="W63" s="133">
        <f>S63*U63</f>
        <v>6502148.5735072372</v>
      </c>
      <c r="X63" s="148">
        <f>Model!$AO$206</f>
        <v>0.05</v>
      </c>
      <c r="Y63" s="131">
        <f t="shared" si="2"/>
        <v>325107.42867536191</v>
      </c>
      <c r="Z63" s="109" t="s">
        <v>65</v>
      </c>
      <c r="AA63" s="109"/>
      <c r="AB63" s="109">
        <f>Model!$AO$205</f>
        <v>1.111</v>
      </c>
      <c r="AC63" s="120">
        <f t="shared" si="9"/>
        <v>0</v>
      </c>
      <c r="AD63" s="109">
        <f t="shared" si="10"/>
        <v>361194.35325832706</v>
      </c>
    </row>
    <row r="64" spans="3:41" x14ac:dyDescent="0.25">
      <c r="C64" s="150">
        <f>Model!$AO$13</f>
        <v>3004198</v>
      </c>
      <c r="D64" s="54">
        <f>Model!$AO$16</f>
        <v>0.38461538461538458</v>
      </c>
      <c r="E64" s="151">
        <f t="shared" si="4"/>
        <v>1155460.769230769</v>
      </c>
      <c r="F64" s="54">
        <f>Model!$AO$29</f>
        <v>1</v>
      </c>
      <c r="G64" s="151">
        <f t="shared" si="5"/>
        <v>1155460.769230769</v>
      </c>
      <c r="H64" s="108">
        <f>INDEX(Model!$AO$34:$AO$37,MATCH($J64,Model!$AN$34:$AN$37,0))</f>
        <v>0.1</v>
      </c>
      <c r="I64" s="129">
        <f t="shared" si="6"/>
        <v>115546.07692307691</v>
      </c>
      <c r="J64" s="109" t="s">
        <v>26</v>
      </c>
      <c r="K64" s="119">
        <f>INDEX(Model!$AO$38:$AO$41,MATCH($J64,Model!$AN$34:$AN$37,0))</f>
        <v>107.36595424145357</v>
      </c>
      <c r="L64" s="133">
        <f>K64*I64</f>
        <v>12405714.807702549</v>
      </c>
      <c r="M64" s="119">
        <f>Model!$AO$67</f>
        <v>0.16700000000000001</v>
      </c>
      <c r="N64" s="131">
        <f t="shared" si="11"/>
        <v>2071754.3728863257</v>
      </c>
      <c r="O64" s="119" t="s">
        <v>30</v>
      </c>
      <c r="P64" s="119">
        <f>INDEX(Model!$AO$55:$AO$119,MATCH($O64,Model!$AN$55:$AN$119,0)+MATCH(Model!$AL$117,Model!$AL$55:$AL$119,0)-1)</f>
        <v>0.997</v>
      </c>
      <c r="Q64" s="133">
        <f t="shared" si="7"/>
        <v>2065539.1097676668</v>
      </c>
      <c r="R64" s="148">
        <f>Model!$AO$139</f>
        <v>6.0000000000000001E-3</v>
      </c>
      <c r="S64" s="131">
        <f t="shared" si="8"/>
        <v>12393.234658606001</v>
      </c>
      <c r="T64" s="109" t="s">
        <v>34</v>
      </c>
      <c r="U64" s="109"/>
      <c r="V64" s="109">
        <f>Model!$AO$138</f>
        <v>1</v>
      </c>
      <c r="W64" s="133"/>
      <c r="X64" s="148"/>
      <c r="Y64" s="131">
        <f t="shared" si="2"/>
        <v>0</v>
      </c>
      <c r="Z64" s="109"/>
      <c r="AA64" s="109"/>
      <c r="AB64" s="109"/>
      <c r="AC64" s="120">
        <f t="shared" si="9"/>
        <v>12393.234658606001</v>
      </c>
      <c r="AD64" s="109">
        <f t="shared" si="10"/>
        <v>0</v>
      </c>
    </row>
    <row r="65" spans="3:30" x14ac:dyDescent="0.25">
      <c r="C65" s="150">
        <f>Model!$AO$13</f>
        <v>3004198</v>
      </c>
      <c r="D65" s="54">
        <f>Model!$AO$16</f>
        <v>0.38461538461538458</v>
      </c>
      <c r="E65" s="151">
        <f t="shared" si="4"/>
        <v>1155460.769230769</v>
      </c>
      <c r="F65" s="54">
        <f>Model!$AO$29</f>
        <v>1</v>
      </c>
      <c r="G65" s="151">
        <f t="shared" si="5"/>
        <v>1155460.769230769</v>
      </c>
      <c r="H65" s="108">
        <f>INDEX(Model!$AO$34:$AO$37,MATCH($J65,Model!$AN$34:$AN$37,0))</f>
        <v>0.1</v>
      </c>
      <c r="I65" s="129">
        <f t="shared" si="6"/>
        <v>115546.07692307691</v>
      </c>
      <c r="J65" s="109" t="s">
        <v>26</v>
      </c>
      <c r="K65" s="119">
        <f>INDEX(Model!$AO$38:$AO$41,MATCH($J65,Model!$AN$34:$AN$37,0))</f>
        <v>107.36595424145357</v>
      </c>
      <c r="L65" s="133">
        <f>K65*I65</f>
        <v>12405714.807702549</v>
      </c>
      <c r="M65" s="119">
        <f>Model!$AO$67</f>
        <v>0.16700000000000001</v>
      </c>
      <c r="N65" s="131">
        <f t="shared" si="11"/>
        <v>2071754.3728863257</v>
      </c>
      <c r="O65" s="119" t="s">
        <v>30</v>
      </c>
      <c r="P65" s="119">
        <f>INDEX(Model!$AO$55:$AO$119,MATCH($O65,Model!$AN$55:$AN$119,0)+MATCH(Model!$AL$117,Model!$AL$55:$AL$119,0)-1)</f>
        <v>0.997</v>
      </c>
      <c r="Q65" s="133">
        <f t="shared" si="7"/>
        <v>2065539.1097676668</v>
      </c>
      <c r="R65" s="148">
        <f>Model!$AO$149</f>
        <v>0.99399999999999999</v>
      </c>
      <c r="S65" s="131">
        <f t="shared" si="8"/>
        <v>2053145.8751090607</v>
      </c>
      <c r="T65" s="109" t="s">
        <v>35</v>
      </c>
      <c r="U65" s="109">
        <f>Model!$AO$148</f>
        <v>1</v>
      </c>
      <c r="V65" s="109"/>
      <c r="W65" s="133">
        <f>S65*U65</f>
        <v>2053145.8751090607</v>
      </c>
      <c r="X65" s="148">
        <f>Model!$AO$180</f>
        <v>0.01</v>
      </c>
      <c r="Y65" s="131">
        <f t="shared" si="2"/>
        <v>20531.458751090606</v>
      </c>
      <c r="Z65" s="109" t="s">
        <v>66</v>
      </c>
      <c r="AA65" s="109">
        <f>Model!$AO$179</f>
        <v>0.52600000000000002</v>
      </c>
      <c r="AB65" s="109"/>
      <c r="AC65" s="120">
        <f t="shared" si="9"/>
        <v>10799.547303073659</v>
      </c>
      <c r="AD65" s="109">
        <f t="shared" si="10"/>
        <v>0</v>
      </c>
    </row>
    <row r="66" spans="3:30" x14ac:dyDescent="0.25">
      <c r="C66" s="150">
        <f>Model!$AO$13</f>
        <v>3004198</v>
      </c>
      <c r="D66" s="54">
        <f>Model!$AO$16</f>
        <v>0.38461538461538458</v>
      </c>
      <c r="E66" s="151">
        <f t="shared" si="4"/>
        <v>1155460.769230769</v>
      </c>
      <c r="F66" s="54">
        <f>Model!$AO$29</f>
        <v>1</v>
      </c>
      <c r="G66" s="151">
        <f t="shared" si="5"/>
        <v>1155460.769230769</v>
      </c>
      <c r="H66" s="108">
        <f>INDEX(Model!$AO$34:$AO$37,MATCH($J66,Model!$AN$34:$AN$37,0))</f>
        <v>0.1</v>
      </c>
      <c r="I66" s="129">
        <f t="shared" si="6"/>
        <v>115546.07692307691</v>
      </c>
      <c r="J66" s="109" t="s">
        <v>26</v>
      </c>
      <c r="K66" s="119">
        <f>INDEX(Model!$AO$38:$AO$41,MATCH($J66,Model!$AN$34:$AN$37,0))</f>
        <v>107.36595424145357</v>
      </c>
      <c r="L66" s="133">
        <f>K66*I66</f>
        <v>12405714.807702549</v>
      </c>
      <c r="M66" s="119">
        <f>Model!$AO$67</f>
        <v>0.16700000000000001</v>
      </c>
      <c r="N66" s="131">
        <f t="shared" si="11"/>
        <v>2071754.3728863257</v>
      </c>
      <c r="O66" s="119" t="s">
        <v>30</v>
      </c>
      <c r="P66" s="119">
        <f>INDEX(Model!$AO$55:$AO$119,MATCH($O66,Model!$AN$55:$AN$119,0)+MATCH(Model!$AL$117,Model!$AL$55:$AL$119,0)-1)</f>
        <v>0.997</v>
      </c>
      <c r="Q66" s="133">
        <f t="shared" si="7"/>
        <v>2065539.1097676668</v>
      </c>
      <c r="R66" s="148">
        <f>Model!$AO$149</f>
        <v>0.99399999999999999</v>
      </c>
      <c r="S66" s="131">
        <f t="shared" si="8"/>
        <v>2053145.8751090607</v>
      </c>
      <c r="T66" s="109" t="s">
        <v>35</v>
      </c>
      <c r="U66" s="109">
        <f>Model!$AO$148</f>
        <v>1</v>
      </c>
      <c r="V66" s="109"/>
      <c r="W66" s="133">
        <f>S66*U66</f>
        <v>2053145.8751090607</v>
      </c>
      <c r="X66" s="148">
        <f>Model!$AO$193</f>
        <v>0</v>
      </c>
      <c r="Y66" s="131">
        <f t="shared" si="2"/>
        <v>0</v>
      </c>
      <c r="Z66" s="109" t="s">
        <v>139</v>
      </c>
      <c r="AA66" s="109">
        <f>Model!$AO$192</f>
        <v>0.4</v>
      </c>
      <c r="AB66" s="109"/>
      <c r="AC66" s="120">
        <f t="shared" si="9"/>
        <v>0</v>
      </c>
      <c r="AD66" s="109">
        <f t="shared" si="10"/>
        <v>0</v>
      </c>
    </row>
    <row r="67" spans="3:30" x14ac:dyDescent="0.25">
      <c r="C67" s="150">
        <f>Model!$AO$13</f>
        <v>3004198</v>
      </c>
      <c r="D67" s="54">
        <f>Model!$AO$16</f>
        <v>0.38461538461538458</v>
      </c>
      <c r="E67" s="151">
        <f t="shared" si="4"/>
        <v>1155460.769230769</v>
      </c>
      <c r="F67" s="54">
        <f>Model!$AO$29</f>
        <v>1</v>
      </c>
      <c r="G67" s="151">
        <f t="shared" si="5"/>
        <v>1155460.769230769</v>
      </c>
      <c r="H67" s="108">
        <f>INDEX(Model!$AO$34:$AO$37,MATCH($J67,Model!$AN$34:$AN$37,0))</f>
        <v>0.1</v>
      </c>
      <c r="I67" s="129">
        <f t="shared" si="6"/>
        <v>115546.07692307691</v>
      </c>
      <c r="J67" s="109" t="s">
        <v>26</v>
      </c>
      <c r="K67" s="119">
        <f>INDEX(Model!$AO$38:$AO$41,MATCH($J67,Model!$AN$34:$AN$37,0))</f>
        <v>107.36595424145357</v>
      </c>
      <c r="L67" s="133">
        <f>K67*I67</f>
        <v>12405714.807702549</v>
      </c>
      <c r="M67" s="119">
        <f>Model!$AO$67</f>
        <v>0.16700000000000001</v>
      </c>
      <c r="N67" s="131">
        <f t="shared" si="11"/>
        <v>2071754.3728863257</v>
      </c>
      <c r="O67" s="119" t="s">
        <v>30</v>
      </c>
      <c r="P67" s="119">
        <f>INDEX(Model!$AO$55:$AO$119,MATCH($O67,Model!$AN$55:$AN$119,0)+MATCH(Model!$AL$117,Model!$AL$55:$AL$119,0)-1)</f>
        <v>0.997</v>
      </c>
      <c r="Q67" s="133">
        <f t="shared" si="7"/>
        <v>2065539.1097676668</v>
      </c>
      <c r="R67" s="148">
        <f>Model!$AO$149</f>
        <v>0.99399999999999999</v>
      </c>
      <c r="S67" s="131">
        <f t="shared" si="8"/>
        <v>2053145.8751090607</v>
      </c>
      <c r="T67" s="109" t="s">
        <v>35</v>
      </c>
      <c r="U67" s="109">
        <f>Model!$AO$148</f>
        <v>1</v>
      </c>
      <c r="V67" s="109"/>
      <c r="W67" s="133">
        <f>S67*U67</f>
        <v>2053145.8751090607</v>
      </c>
      <c r="X67" s="148">
        <f>Model!$AO$166</f>
        <v>0.94</v>
      </c>
      <c r="Y67" s="131">
        <f t="shared" si="2"/>
        <v>1929957.122602517</v>
      </c>
      <c r="Z67" s="109" t="s">
        <v>64</v>
      </c>
      <c r="AA67" s="109"/>
      <c r="AB67" s="109">
        <f>Model!$AO$165</f>
        <v>1.613</v>
      </c>
      <c r="AC67" s="120">
        <f t="shared" si="9"/>
        <v>0</v>
      </c>
      <c r="AD67" s="109">
        <f t="shared" si="10"/>
        <v>3113020.83875786</v>
      </c>
    </row>
    <row r="68" spans="3:30" x14ac:dyDescent="0.25">
      <c r="C68" s="150">
        <f>Model!$AO$13</f>
        <v>3004198</v>
      </c>
      <c r="D68" s="54">
        <f>Model!$AO$16</f>
        <v>0.38461538461538458</v>
      </c>
      <c r="E68" s="151">
        <f t="shared" si="4"/>
        <v>1155460.769230769</v>
      </c>
      <c r="F68" s="54">
        <f>Model!$AO$29</f>
        <v>1</v>
      </c>
      <c r="G68" s="151">
        <f t="shared" si="5"/>
        <v>1155460.769230769</v>
      </c>
      <c r="H68" s="108">
        <f>INDEX(Model!$AO$34:$AO$37,MATCH($J68,Model!$AN$34:$AN$37,0))</f>
        <v>0.1</v>
      </c>
      <c r="I68" s="129">
        <f t="shared" si="6"/>
        <v>115546.07692307691</v>
      </c>
      <c r="J68" s="109" t="s">
        <v>26</v>
      </c>
      <c r="K68" s="119">
        <f>INDEX(Model!$AO$38:$AO$41,MATCH($J68,Model!$AN$34:$AN$37,0))</f>
        <v>107.36595424145357</v>
      </c>
      <c r="L68" s="133">
        <f>K68*I68</f>
        <v>12405714.807702549</v>
      </c>
      <c r="M68" s="119">
        <f>Model!$AO$67</f>
        <v>0.16700000000000001</v>
      </c>
      <c r="N68" s="131">
        <f t="shared" si="11"/>
        <v>2071754.3728863257</v>
      </c>
      <c r="O68" s="119" t="s">
        <v>30</v>
      </c>
      <c r="P68" s="119">
        <f>INDEX(Model!$AO$55:$AO$119,MATCH($O68,Model!$AN$55:$AN$119,0)+MATCH(Model!$AL$117,Model!$AL$55:$AL$119,0)-1)</f>
        <v>0.997</v>
      </c>
      <c r="Q68" s="133">
        <f t="shared" si="7"/>
        <v>2065539.1097676668</v>
      </c>
      <c r="R68" s="148">
        <f>Model!$AO$149</f>
        <v>0.99399999999999999</v>
      </c>
      <c r="S68" s="131">
        <f t="shared" si="8"/>
        <v>2053145.8751090607</v>
      </c>
      <c r="T68" s="109" t="s">
        <v>35</v>
      </c>
      <c r="U68" s="109">
        <f>Model!$AO$148</f>
        <v>1</v>
      </c>
      <c r="V68" s="109"/>
      <c r="W68" s="133">
        <f>S68*U68</f>
        <v>2053145.8751090607</v>
      </c>
      <c r="X68" s="148">
        <f>Model!$AO$206</f>
        <v>0.05</v>
      </c>
      <c r="Y68" s="131">
        <f t="shared" ref="Y68:Y103" si="13">W68*X68</f>
        <v>102657.29375545304</v>
      </c>
      <c r="Z68" s="109" t="s">
        <v>65</v>
      </c>
      <c r="AA68" s="109"/>
      <c r="AB68" s="109">
        <f>Model!$AO$205</f>
        <v>1.111</v>
      </c>
      <c r="AC68" s="120">
        <f t="shared" si="9"/>
        <v>0</v>
      </c>
      <c r="AD68" s="109">
        <f t="shared" si="10"/>
        <v>114052.25336230833</v>
      </c>
    </row>
    <row r="69" spans="3:30" x14ac:dyDescent="0.25">
      <c r="C69" s="150">
        <f>Model!$AO$13</f>
        <v>3004198</v>
      </c>
      <c r="D69" s="54">
        <f>Model!$AO$16</f>
        <v>0.38461538461538458</v>
      </c>
      <c r="E69" s="151">
        <f t="shared" ref="E69:E103" si="14">D69*C69</f>
        <v>1155460.769230769</v>
      </c>
      <c r="F69" s="54">
        <f>Model!$AO$29</f>
        <v>1</v>
      </c>
      <c r="G69" s="151">
        <f t="shared" ref="G69:G103" si="15">F69*E69</f>
        <v>1155460.769230769</v>
      </c>
      <c r="H69" s="108">
        <f>INDEX(Model!$AO$34:$AO$37,MATCH($J69,Model!$AN$34:$AN$37,0))</f>
        <v>0.1</v>
      </c>
      <c r="I69" s="129">
        <f t="shared" ref="I69:I103" si="16">G69*H69</f>
        <v>115546.07692307691</v>
      </c>
      <c r="J69" s="109" t="s">
        <v>26</v>
      </c>
      <c r="K69" s="119">
        <f>INDEX(Model!$AO$38:$AO$41,MATCH($J69,Model!$AN$34:$AN$37,0))</f>
        <v>107.36595424145357</v>
      </c>
      <c r="L69" s="133">
        <f>K69*I69</f>
        <v>12405714.807702549</v>
      </c>
      <c r="M69" s="119">
        <f>Model!$AO$106</f>
        <v>0</v>
      </c>
      <c r="N69" s="131">
        <f t="shared" si="11"/>
        <v>0</v>
      </c>
      <c r="O69" s="119" t="s">
        <v>32</v>
      </c>
      <c r="P69" s="119">
        <f>INDEX(Model!$AO$55:$AO$119,MATCH($O69,Model!$AN$55:$AN$119,0)+MATCH(Model!$AL$117,Model!$AL$55:$AL$119,0)-1)</f>
        <v>0.36</v>
      </c>
      <c r="Q69" s="133">
        <f t="shared" ref="Q69:Q103" si="17">N69*P69</f>
        <v>0</v>
      </c>
      <c r="R69" s="148">
        <f>Model!$AO$139</f>
        <v>6.0000000000000001E-3</v>
      </c>
      <c r="S69" s="131">
        <f t="shared" ref="S69:S103" si="18">Q69*R69</f>
        <v>0</v>
      </c>
      <c r="T69" s="109" t="s">
        <v>34</v>
      </c>
      <c r="U69" s="109"/>
      <c r="V69" s="109">
        <f>Model!$AO$138</f>
        <v>1</v>
      </c>
      <c r="W69" s="133"/>
      <c r="X69" s="148"/>
      <c r="Y69" s="131">
        <f t="shared" si="13"/>
        <v>0</v>
      </c>
      <c r="Z69" s="109"/>
      <c r="AA69" s="109"/>
      <c r="AB69" s="109"/>
      <c r="AC69" s="120">
        <f t="shared" ref="AC69:AC103" si="19">V69*S69+AA69*Y69</f>
        <v>0</v>
      </c>
      <c r="AD69" s="109">
        <f t="shared" ref="AD69:AD103" si="20">AB69*Y69</f>
        <v>0</v>
      </c>
    </row>
    <row r="70" spans="3:30" x14ac:dyDescent="0.25">
      <c r="C70" s="150">
        <f>Model!$AO$13</f>
        <v>3004198</v>
      </c>
      <c r="D70" s="54">
        <f>Model!$AO$16</f>
        <v>0.38461538461538458</v>
      </c>
      <c r="E70" s="151">
        <f t="shared" si="14"/>
        <v>1155460.769230769</v>
      </c>
      <c r="F70" s="54">
        <f>Model!$AO$29</f>
        <v>1</v>
      </c>
      <c r="G70" s="151">
        <f t="shared" si="15"/>
        <v>1155460.769230769</v>
      </c>
      <c r="H70" s="108">
        <f>INDEX(Model!$AO$34:$AO$37,MATCH($J70,Model!$AN$34:$AN$37,0))</f>
        <v>0.1</v>
      </c>
      <c r="I70" s="129">
        <f t="shared" si="16"/>
        <v>115546.07692307691</v>
      </c>
      <c r="J70" s="109" t="s">
        <v>26</v>
      </c>
      <c r="K70" s="119">
        <f>INDEX(Model!$AO$38:$AO$41,MATCH($J70,Model!$AN$34:$AN$37,0))</f>
        <v>107.36595424145357</v>
      </c>
      <c r="L70" s="133">
        <f>K70*I70</f>
        <v>12405714.807702549</v>
      </c>
      <c r="M70" s="119">
        <f>Model!$AO$106</f>
        <v>0</v>
      </c>
      <c r="N70" s="131">
        <f t="shared" si="11"/>
        <v>0</v>
      </c>
      <c r="O70" s="119" t="s">
        <v>32</v>
      </c>
      <c r="P70" s="119">
        <f>INDEX(Model!$AO$55:$AO$119,MATCH($O70,Model!$AN$55:$AN$119,0)+MATCH(Model!$AL$117,Model!$AL$55:$AL$119,0)-1)</f>
        <v>0.36</v>
      </c>
      <c r="Q70" s="133">
        <f t="shared" si="17"/>
        <v>0</v>
      </c>
      <c r="R70" s="148">
        <f>Model!$AO$149</f>
        <v>0.99399999999999999</v>
      </c>
      <c r="S70" s="131">
        <f t="shared" si="18"/>
        <v>0</v>
      </c>
      <c r="T70" s="109" t="s">
        <v>35</v>
      </c>
      <c r="U70" s="109">
        <f>Model!$AO$148</f>
        <v>1</v>
      </c>
      <c r="V70" s="109"/>
      <c r="W70" s="133">
        <f>S70*U70</f>
        <v>0</v>
      </c>
      <c r="X70" s="148">
        <f>Model!$AO$180</f>
        <v>0.01</v>
      </c>
      <c r="Y70" s="131">
        <f t="shared" si="13"/>
        <v>0</v>
      </c>
      <c r="Z70" s="109" t="s">
        <v>66</v>
      </c>
      <c r="AA70" s="109">
        <f>Model!$AO$179</f>
        <v>0.52600000000000002</v>
      </c>
      <c r="AB70" s="109"/>
      <c r="AC70" s="120">
        <f t="shared" si="19"/>
        <v>0</v>
      </c>
      <c r="AD70" s="109">
        <f t="shared" si="20"/>
        <v>0</v>
      </c>
    </row>
    <row r="71" spans="3:30" x14ac:dyDescent="0.25">
      <c r="C71" s="150">
        <f>Model!$AO$13</f>
        <v>3004198</v>
      </c>
      <c r="D71" s="54">
        <f>Model!$AO$16</f>
        <v>0.38461538461538458</v>
      </c>
      <c r="E71" s="151">
        <f t="shared" si="14"/>
        <v>1155460.769230769</v>
      </c>
      <c r="F71" s="54">
        <f>Model!$AO$29</f>
        <v>1</v>
      </c>
      <c r="G71" s="151">
        <f t="shared" si="15"/>
        <v>1155460.769230769</v>
      </c>
      <c r="H71" s="108">
        <f>INDEX(Model!$AO$34:$AO$37,MATCH($J71,Model!$AN$34:$AN$37,0))</f>
        <v>0.1</v>
      </c>
      <c r="I71" s="129">
        <f t="shared" si="16"/>
        <v>115546.07692307691</v>
      </c>
      <c r="J71" s="109" t="s">
        <v>26</v>
      </c>
      <c r="K71" s="119">
        <f>INDEX(Model!$AO$38:$AO$41,MATCH($J71,Model!$AN$34:$AN$37,0))</f>
        <v>107.36595424145357</v>
      </c>
      <c r="L71" s="133">
        <f>K71*I71</f>
        <v>12405714.807702549</v>
      </c>
      <c r="M71" s="119">
        <f>Model!$AO$106</f>
        <v>0</v>
      </c>
      <c r="N71" s="131">
        <f t="shared" si="11"/>
        <v>0</v>
      </c>
      <c r="O71" s="119" t="s">
        <v>32</v>
      </c>
      <c r="P71" s="119">
        <f>INDEX(Model!$AO$55:$AO$119,MATCH($O71,Model!$AN$55:$AN$119,0)+MATCH(Model!$AL$117,Model!$AL$55:$AL$119,0)-1)</f>
        <v>0.36</v>
      </c>
      <c r="Q71" s="133">
        <f t="shared" si="17"/>
        <v>0</v>
      </c>
      <c r="R71" s="148">
        <f>Model!$AO$149</f>
        <v>0.99399999999999999</v>
      </c>
      <c r="S71" s="131">
        <f t="shared" si="18"/>
        <v>0</v>
      </c>
      <c r="T71" s="109" t="s">
        <v>35</v>
      </c>
      <c r="U71" s="109">
        <f>Model!$AO$148</f>
        <v>1</v>
      </c>
      <c r="V71" s="109"/>
      <c r="W71" s="133">
        <f>S71*U71</f>
        <v>0</v>
      </c>
      <c r="X71" s="148">
        <f>Model!$AO$193</f>
        <v>0</v>
      </c>
      <c r="Y71" s="131">
        <f t="shared" si="13"/>
        <v>0</v>
      </c>
      <c r="Z71" s="109" t="s">
        <v>139</v>
      </c>
      <c r="AA71" s="109">
        <f>Model!$AO$192</f>
        <v>0.4</v>
      </c>
      <c r="AB71" s="109"/>
      <c r="AC71" s="120">
        <f t="shared" si="19"/>
        <v>0</v>
      </c>
      <c r="AD71" s="109">
        <f t="shared" si="20"/>
        <v>0</v>
      </c>
    </row>
    <row r="72" spans="3:30" x14ac:dyDescent="0.25">
      <c r="C72" s="150">
        <f>Model!$AO$13</f>
        <v>3004198</v>
      </c>
      <c r="D72" s="54">
        <f>Model!$AO$16</f>
        <v>0.38461538461538458</v>
      </c>
      <c r="E72" s="151">
        <f t="shared" si="14"/>
        <v>1155460.769230769</v>
      </c>
      <c r="F72" s="54">
        <f>Model!$AO$29</f>
        <v>1</v>
      </c>
      <c r="G72" s="151">
        <f t="shared" si="15"/>
        <v>1155460.769230769</v>
      </c>
      <c r="H72" s="108">
        <f>INDEX(Model!$AO$34:$AO$37,MATCH($J72,Model!$AN$34:$AN$37,0))</f>
        <v>0.1</v>
      </c>
      <c r="I72" s="129">
        <f t="shared" si="16"/>
        <v>115546.07692307691</v>
      </c>
      <c r="J72" s="109" t="s">
        <v>26</v>
      </c>
      <c r="K72" s="119">
        <f>INDEX(Model!$AO$38:$AO$41,MATCH($J72,Model!$AN$34:$AN$37,0))</f>
        <v>107.36595424145357</v>
      </c>
      <c r="L72" s="133">
        <f>K72*I72</f>
        <v>12405714.807702549</v>
      </c>
      <c r="M72" s="119">
        <f>Model!$AO$106</f>
        <v>0</v>
      </c>
      <c r="N72" s="131">
        <f t="shared" si="11"/>
        <v>0</v>
      </c>
      <c r="O72" s="119" t="s">
        <v>32</v>
      </c>
      <c r="P72" s="119">
        <f>INDEX(Model!$AO$55:$AO$119,MATCH($O72,Model!$AN$55:$AN$119,0)+MATCH(Model!$AL$117,Model!$AL$55:$AL$119,0)-1)</f>
        <v>0.36</v>
      </c>
      <c r="Q72" s="133">
        <f t="shared" si="17"/>
        <v>0</v>
      </c>
      <c r="R72" s="148">
        <f>Model!$AO$149</f>
        <v>0.99399999999999999</v>
      </c>
      <c r="S72" s="131">
        <f t="shared" si="18"/>
        <v>0</v>
      </c>
      <c r="T72" s="109" t="s">
        <v>35</v>
      </c>
      <c r="U72" s="109">
        <f>Model!$AO$148</f>
        <v>1</v>
      </c>
      <c r="V72" s="109"/>
      <c r="W72" s="133">
        <f>S72*U72</f>
        <v>0</v>
      </c>
      <c r="X72" s="148">
        <f>Model!$AO$166</f>
        <v>0.94</v>
      </c>
      <c r="Y72" s="131">
        <f t="shared" si="13"/>
        <v>0</v>
      </c>
      <c r="Z72" s="109" t="s">
        <v>64</v>
      </c>
      <c r="AA72" s="109"/>
      <c r="AB72" s="109">
        <f>Model!$AO$165</f>
        <v>1.613</v>
      </c>
      <c r="AC72" s="120">
        <f t="shared" si="19"/>
        <v>0</v>
      </c>
      <c r="AD72" s="109">
        <f t="shared" si="20"/>
        <v>0</v>
      </c>
    </row>
    <row r="73" spans="3:30" x14ac:dyDescent="0.25">
      <c r="C73" s="150">
        <f>Model!$AO$13</f>
        <v>3004198</v>
      </c>
      <c r="D73" s="54">
        <f>Model!$AO$16</f>
        <v>0.38461538461538458</v>
      </c>
      <c r="E73" s="151">
        <f t="shared" si="14"/>
        <v>1155460.769230769</v>
      </c>
      <c r="F73" s="54">
        <f>Model!$AO$29</f>
        <v>1</v>
      </c>
      <c r="G73" s="151">
        <f t="shared" si="15"/>
        <v>1155460.769230769</v>
      </c>
      <c r="H73" s="108">
        <f>INDEX(Model!$AO$34:$AO$37,MATCH($J73,Model!$AN$34:$AN$37,0))</f>
        <v>0.1</v>
      </c>
      <c r="I73" s="129">
        <f t="shared" si="16"/>
        <v>115546.07692307691</v>
      </c>
      <c r="J73" s="109" t="s">
        <v>26</v>
      </c>
      <c r="K73" s="119">
        <f>INDEX(Model!$AO$38:$AO$41,MATCH($J73,Model!$AN$34:$AN$37,0))</f>
        <v>107.36595424145357</v>
      </c>
      <c r="L73" s="133">
        <f>K73*I73</f>
        <v>12405714.807702549</v>
      </c>
      <c r="M73" s="119">
        <f>Model!$AO$106</f>
        <v>0</v>
      </c>
      <c r="N73" s="131">
        <f t="shared" si="11"/>
        <v>0</v>
      </c>
      <c r="O73" s="119" t="s">
        <v>32</v>
      </c>
      <c r="P73" s="119">
        <f>INDEX(Model!$AO$55:$AO$119,MATCH($O73,Model!$AN$55:$AN$119,0)+MATCH(Model!$AL$117,Model!$AL$55:$AL$119,0)-1)</f>
        <v>0.36</v>
      </c>
      <c r="Q73" s="133">
        <f t="shared" si="17"/>
        <v>0</v>
      </c>
      <c r="R73" s="148">
        <f>Model!$AO$149</f>
        <v>0.99399999999999999</v>
      </c>
      <c r="S73" s="131">
        <f t="shared" si="18"/>
        <v>0</v>
      </c>
      <c r="T73" s="109" t="s">
        <v>35</v>
      </c>
      <c r="U73" s="109">
        <f>Model!$AO$148</f>
        <v>1</v>
      </c>
      <c r="V73" s="109"/>
      <c r="W73" s="133">
        <f>S73*U73</f>
        <v>0</v>
      </c>
      <c r="X73" s="148">
        <f>Model!$AO$206</f>
        <v>0.05</v>
      </c>
      <c r="Y73" s="131">
        <f t="shared" si="13"/>
        <v>0</v>
      </c>
      <c r="Z73" s="109" t="s">
        <v>65</v>
      </c>
      <c r="AA73" s="109"/>
      <c r="AB73" s="109">
        <f>Model!$AO$205</f>
        <v>1.111</v>
      </c>
      <c r="AC73" s="120">
        <f t="shared" si="19"/>
        <v>0</v>
      </c>
      <c r="AD73" s="109">
        <f t="shared" si="20"/>
        <v>0</v>
      </c>
    </row>
    <row r="74" spans="3:30" x14ac:dyDescent="0.25">
      <c r="C74" s="150">
        <f>Model!$AO$13</f>
        <v>3004198</v>
      </c>
      <c r="D74" s="54">
        <f>Model!$AO$16</f>
        <v>0.38461538461538458</v>
      </c>
      <c r="E74" s="151">
        <f t="shared" si="14"/>
        <v>1155460.769230769</v>
      </c>
      <c r="F74" s="54">
        <f>Model!$AO$29</f>
        <v>1</v>
      </c>
      <c r="G74" s="151">
        <f t="shared" si="15"/>
        <v>1155460.769230769</v>
      </c>
      <c r="H74" s="108">
        <f>INDEX(Model!$AO$34:$AO$37,MATCH($J74,Model!$AN$34:$AN$37,0))</f>
        <v>0.1</v>
      </c>
      <c r="I74" s="129">
        <f t="shared" si="16"/>
        <v>115546.07692307691</v>
      </c>
      <c r="J74" s="109" t="s">
        <v>26</v>
      </c>
      <c r="K74" s="119">
        <f>INDEX(Model!$AO$38:$AO$41,MATCH($J74,Model!$AN$34:$AN$37,0))</f>
        <v>107.36595424145357</v>
      </c>
      <c r="L74" s="133">
        <f>K74*I74</f>
        <v>12405714.807702549</v>
      </c>
      <c r="M74" s="119">
        <f>Model!$AO$93</f>
        <v>0</v>
      </c>
      <c r="N74" s="131">
        <f t="shared" ref="N74:N103" si="21">L74*M74</f>
        <v>0</v>
      </c>
      <c r="O74" s="119" t="s">
        <v>31</v>
      </c>
      <c r="P74" s="119">
        <f>INDEX(Model!$AO$55:$AO$119,MATCH($O74,Model!$AN$55:$AN$119,0)+MATCH(Model!$AL$117,Model!$AL$55:$AL$119,0)-1)</f>
        <v>0.51500000000000001</v>
      </c>
      <c r="Q74" s="133">
        <f t="shared" si="17"/>
        <v>0</v>
      </c>
      <c r="R74" s="148">
        <f>Model!$AO$139</f>
        <v>6.0000000000000001E-3</v>
      </c>
      <c r="S74" s="131">
        <f t="shared" si="18"/>
        <v>0</v>
      </c>
      <c r="T74" s="109" t="s">
        <v>34</v>
      </c>
      <c r="U74" s="109"/>
      <c r="V74" s="109">
        <f>Model!$AO$138</f>
        <v>1</v>
      </c>
      <c r="W74" s="133"/>
      <c r="X74" s="148"/>
      <c r="Y74" s="131">
        <f t="shared" si="13"/>
        <v>0</v>
      </c>
      <c r="Z74" s="109"/>
      <c r="AA74" s="109"/>
      <c r="AB74" s="109"/>
      <c r="AC74" s="120">
        <f t="shared" si="19"/>
        <v>0</v>
      </c>
      <c r="AD74" s="109">
        <f t="shared" si="20"/>
        <v>0</v>
      </c>
    </row>
    <row r="75" spans="3:30" x14ac:dyDescent="0.25">
      <c r="C75" s="150">
        <f>Model!$AO$13</f>
        <v>3004198</v>
      </c>
      <c r="D75" s="54">
        <f>Model!$AO$16</f>
        <v>0.38461538461538458</v>
      </c>
      <c r="E75" s="151">
        <f t="shared" si="14"/>
        <v>1155460.769230769</v>
      </c>
      <c r="F75" s="54">
        <f>Model!$AO$29</f>
        <v>1</v>
      </c>
      <c r="G75" s="151">
        <f t="shared" si="15"/>
        <v>1155460.769230769</v>
      </c>
      <c r="H75" s="108">
        <f>INDEX(Model!$AO$34:$AO$37,MATCH($J75,Model!$AN$34:$AN$37,0))</f>
        <v>0.1</v>
      </c>
      <c r="I75" s="129">
        <f t="shared" si="16"/>
        <v>115546.07692307691</v>
      </c>
      <c r="J75" s="109" t="s">
        <v>26</v>
      </c>
      <c r="K75" s="119">
        <f>INDEX(Model!$AO$38:$AO$41,MATCH($J75,Model!$AN$34:$AN$37,0))</f>
        <v>107.36595424145357</v>
      </c>
      <c r="L75" s="133">
        <f>K75*I75</f>
        <v>12405714.807702549</v>
      </c>
      <c r="M75" s="119">
        <f>Model!$AO$93</f>
        <v>0</v>
      </c>
      <c r="N75" s="131">
        <f t="shared" si="21"/>
        <v>0</v>
      </c>
      <c r="O75" s="119" t="s">
        <v>31</v>
      </c>
      <c r="P75" s="119">
        <f>INDEX(Model!$AO$55:$AO$119,MATCH($O75,Model!$AN$55:$AN$119,0)+MATCH(Model!$AL$117,Model!$AL$55:$AL$119,0)-1)</f>
        <v>0.51500000000000001</v>
      </c>
      <c r="Q75" s="133">
        <f t="shared" si="17"/>
        <v>0</v>
      </c>
      <c r="R75" s="148">
        <f>Model!$AO$149</f>
        <v>0.99399999999999999</v>
      </c>
      <c r="S75" s="131">
        <f t="shared" si="18"/>
        <v>0</v>
      </c>
      <c r="T75" s="109" t="s">
        <v>35</v>
      </c>
      <c r="U75" s="109">
        <f>Model!$AO$148</f>
        <v>1</v>
      </c>
      <c r="V75" s="109"/>
      <c r="W75" s="133">
        <f>S75*U75</f>
        <v>0</v>
      </c>
      <c r="X75" s="148">
        <f>Model!$AO$180</f>
        <v>0.01</v>
      </c>
      <c r="Y75" s="131">
        <f t="shared" si="13"/>
        <v>0</v>
      </c>
      <c r="Z75" s="109" t="s">
        <v>66</v>
      </c>
      <c r="AA75" s="109">
        <f>Model!$AO$179</f>
        <v>0.52600000000000002</v>
      </c>
      <c r="AB75" s="109"/>
      <c r="AC75" s="120">
        <f t="shared" si="19"/>
        <v>0</v>
      </c>
      <c r="AD75" s="109">
        <f t="shared" si="20"/>
        <v>0</v>
      </c>
    </row>
    <row r="76" spans="3:30" x14ac:dyDescent="0.25">
      <c r="C76" s="150">
        <f>Model!$AO$13</f>
        <v>3004198</v>
      </c>
      <c r="D76" s="54">
        <f>Model!$AO$16</f>
        <v>0.38461538461538458</v>
      </c>
      <c r="E76" s="151">
        <f t="shared" si="14"/>
        <v>1155460.769230769</v>
      </c>
      <c r="F76" s="54">
        <f>Model!$AO$29</f>
        <v>1</v>
      </c>
      <c r="G76" s="151">
        <f t="shared" si="15"/>
        <v>1155460.769230769</v>
      </c>
      <c r="H76" s="108">
        <f>INDEX(Model!$AO$34:$AO$37,MATCH($J76,Model!$AN$34:$AN$37,0))</f>
        <v>0.1</v>
      </c>
      <c r="I76" s="129">
        <f t="shared" si="16"/>
        <v>115546.07692307691</v>
      </c>
      <c r="J76" s="109" t="s">
        <v>26</v>
      </c>
      <c r="K76" s="119">
        <f>INDEX(Model!$AO$38:$AO$41,MATCH($J76,Model!$AN$34:$AN$37,0))</f>
        <v>107.36595424145357</v>
      </c>
      <c r="L76" s="133">
        <f>K76*I76</f>
        <v>12405714.807702549</v>
      </c>
      <c r="M76" s="119">
        <f>Model!$AO$93</f>
        <v>0</v>
      </c>
      <c r="N76" s="131">
        <f t="shared" si="21"/>
        <v>0</v>
      </c>
      <c r="O76" s="119" t="s">
        <v>31</v>
      </c>
      <c r="P76" s="119">
        <f>INDEX(Model!$AO$55:$AO$119,MATCH($O76,Model!$AN$55:$AN$119,0)+MATCH(Model!$AL$117,Model!$AL$55:$AL$119,0)-1)</f>
        <v>0.51500000000000001</v>
      </c>
      <c r="Q76" s="133">
        <f t="shared" si="17"/>
        <v>0</v>
      </c>
      <c r="R76" s="148">
        <f>Model!$AO$149</f>
        <v>0.99399999999999999</v>
      </c>
      <c r="S76" s="131">
        <f t="shared" si="18"/>
        <v>0</v>
      </c>
      <c r="T76" s="109" t="s">
        <v>35</v>
      </c>
      <c r="U76" s="109">
        <f>Model!$AO$148</f>
        <v>1</v>
      </c>
      <c r="V76" s="109"/>
      <c r="W76" s="133">
        <f>S76*U76</f>
        <v>0</v>
      </c>
      <c r="X76" s="148">
        <f>Model!$AO$193</f>
        <v>0</v>
      </c>
      <c r="Y76" s="131">
        <f t="shared" si="13"/>
        <v>0</v>
      </c>
      <c r="Z76" s="109" t="s">
        <v>139</v>
      </c>
      <c r="AA76" s="109">
        <f>Model!$AO$192</f>
        <v>0.4</v>
      </c>
      <c r="AB76" s="109"/>
      <c r="AC76" s="120">
        <f t="shared" si="19"/>
        <v>0</v>
      </c>
      <c r="AD76" s="109">
        <f t="shared" si="20"/>
        <v>0</v>
      </c>
    </row>
    <row r="77" spans="3:30" x14ac:dyDescent="0.25">
      <c r="C77" s="150">
        <f>Model!$AO$13</f>
        <v>3004198</v>
      </c>
      <c r="D77" s="54">
        <f>Model!$AO$16</f>
        <v>0.38461538461538458</v>
      </c>
      <c r="E77" s="151">
        <f t="shared" si="14"/>
        <v>1155460.769230769</v>
      </c>
      <c r="F77" s="54">
        <f>Model!$AO$29</f>
        <v>1</v>
      </c>
      <c r="G77" s="151">
        <f t="shared" si="15"/>
        <v>1155460.769230769</v>
      </c>
      <c r="H77" s="108">
        <f>INDEX(Model!$AO$34:$AO$37,MATCH($J77,Model!$AN$34:$AN$37,0))</f>
        <v>0.1</v>
      </c>
      <c r="I77" s="129">
        <f t="shared" si="16"/>
        <v>115546.07692307691</v>
      </c>
      <c r="J77" s="109" t="s">
        <v>26</v>
      </c>
      <c r="K77" s="119">
        <f>INDEX(Model!$AO$38:$AO$41,MATCH($J77,Model!$AN$34:$AN$37,0))</f>
        <v>107.36595424145357</v>
      </c>
      <c r="L77" s="133">
        <f>K77*I77</f>
        <v>12405714.807702549</v>
      </c>
      <c r="M77" s="119">
        <f>Model!$AO$93</f>
        <v>0</v>
      </c>
      <c r="N77" s="131">
        <f t="shared" si="21"/>
        <v>0</v>
      </c>
      <c r="O77" s="119" t="s">
        <v>31</v>
      </c>
      <c r="P77" s="119">
        <f>INDEX(Model!$AO$55:$AO$119,MATCH($O77,Model!$AN$55:$AN$119,0)+MATCH(Model!$AL$117,Model!$AL$55:$AL$119,0)-1)</f>
        <v>0.51500000000000001</v>
      </c>
      <c r="Q77" s="133">
        <f t="shared" si="17"/>
        <v>0</v>
      </c>
      <c r="R77" s="148">
        <f>Model!$AO$149</f>
        <v>0.99399999999999999</v>
      </c>
      <c r="S77" s="131">
        <f t="shared" si="18"/>
        <v>0</v>
      </c>
      <c r="T77" s="109" t="s">
        <v>35</v>
      </c>
      <c r="U77" s="109">
        <f>Model!$AO$148</f>
        <v>1</v>
      </c>
      <c r="V77" s="109"/>
      <c r="W77" s="133">
        <f>S77*U77</f>
        <v>0</v>
      </c>
      <c r="X77" s="148">
        <f>Model!$AO$166</f>
        <v>0.94</v>
      </c>
      <c r="Y77" s="131">
        <f t="shared" si="13"/>
        <v>0</v>
      </c>
      <c r="Z77" s="109" t="s">
        <v>64</v>
      </c>
      <c r="AA77" s="109"/>
      <c r="AB77" s="109">
        <f>Model!$AO$165</f>
        <v>1.613</v>
      </c>
      <c r="AC77" s="120">
        <f t="shared" si="19"/>
        <v>0</v>
      </c>
      <c r="AD77" s="109">
        <f t="shared" si="20"/>
        <v>0</v>
      </c>
    </row>
    <row r="78" spans="3:30" x14ac:dyDescent="0.25">
      <c r="C78" s="150">
        <f>Model!$AO$13</f>
        <v>3004198</v>
      </c>
      <c r="D78" s="54">
        <f>Model!$AO$16</f>
        <v>0.38461538461538458</v>
      </c>
      <c r="E78" s="151">
        <f t="shared" si="14"/>
        <v>1155460.769230769</v>
      </c>
      <c r="F78" s="54">
        <f>Model!$AO$29</f>
        <v>1</v>
      </c>
      <c r="G78" s="151">
        <f t="shared" si="15"/>
        <v>1155460.769230769</v>
      </c>
      <c r="H78" s="108">
        <f>INDEX(Model!$AO$34:$AO$37,MATCH($J78,Model!$AN$34:$AN$37,0))</f>
        <v>0.1</v>
      </c>
      <c r="I78" s="129">
        <f t="shared" si="16"/>
        <v>115546.07692307691</v>
      </c>
      <c r="J78" s="109" t="s">
        <v>26</v>
      </c>
      <c r="K78" s="119">
        <f>INDEX(Model!$AO$38:$AO$41,MATCH($J78,Model!$AN$34:$AN$37,0))</f>
        <v>107.36595424145357</v>
      </c>
      <c r="L78" s="133">
        <f>K78*I78</f>
        <v>12405714.807702549</v>
      </c>
      <c r="M78" s="119">
        <f>Model!$AO$93</f>
        <v>0</v>
      </c>
      <c r="N78" s="131">
        <f t="shared" si="21"/>
        <v>0</v>
      </c>
      <c r="O78" s="119" t="s">
        <v>31</v>
      </c>
      <c r="P78" s="119">
        <f>INDEX(Model!$AO$55:$AO$119,MATCH($O78,Model!$AN$55:$AN$119,0)+MATCH(Model!$AL$117,Model!$AL$55:$AL$119,0)-1)</f>
        <v>0.51500000000000001</v>
      </c>
      <c r="Q78" s="133">
        <f t="shared" si="17"/>
        <v>0</v>
      </c>
      <c r="R78" s="148">
        <f>Model!$AO$149</f>
        <v>0.99399999999999999</v>
      </c>
      <c r="S78" s="131">
        <f t="shared" si="18"/>
        <v>0</v>
      </c>
      <c r="T78" s="109" t="s">
        <v>35</v>
      </c>
      <c r="U78" s="109">
        <f>Model!$AO$148</f>
        <v>1</v>
      </c>
      <c r="V78" s="109"/>
      <c r="W78" s="133">
        <f>S78*U78</f>
        <v>0</v>
      </c>
      <c r="X78" s="148">
        <f>Model!$AO$206</f>
        <v>0.05</v>
      </c>
      <c r="Y78" s="131">
        <f t="shared" si="13"/>
        <v>0</v>
      </c>
      <c r="Z78" s="109" t="s">
        <v>65</v>
      </c>
      <c r="AA78" s="109"/>
      <c r="AB78" s="109">
        <f>Model!$AO$205</f>
        <v>1.111</v>
      </c>
      <c r="AC78" s="120">
        <f t="shared" si="19"/>
        <v>0</v>
      </c>
      <c r="AD78" s="109">
        <f t="shared" si="20"/>
        <v>0</v>
      </c>
    </row>
    <row r="79" spans="3:30" x14ac:dyDescent="0.25">
      <c r="C79" s="150">
        <f>Model!$AO$13</f>
        <v>3004198</v>
      </c>
      <c r="D79" s="54">
        <f>Model!$AO$16</f>
        <v>0.38461538461538458</v>
      </c>
      <c r="E79" s="151">
        <f t="shared" si="14"/>
        <v>1155460.769230769</v>
      </c>
      <c r="F79" s="54">
        <f>Model!$AO$29</f>
        <v>1</v>
      </c>
      <c r="G79" s="151">
        <f t="shared" si="15"/>
        <v>1155460.769230769</v>
      </c>
      <c r="H79" s="108">
        <f>INDEX(Model!$AO$34:$AO$37,MATCH($J79,Model!$AN$34:$AN$37,0))</f>
        <v>0.719409242</v>
      </c>
      <c r="I79" s="129">
        <f t="shared" si="16"/>
        <v>831249.15615304443</v>
      </c>
      <c r="J79" s="109" t="s">
        <v>25</v>
      </c>
      <c r="K79" s="119">
        <f>INDEX(Model!$AO$38:$AO$41,MATCH($J79,Model!$AN$34:$AN$37,0))</f>
        <v>138.51662237471803</v>
      </c>
      <c r="L79" s="133">
        <f>K79*I79</f>
        <v>115141825.46215427</v>
      </c>
      <c r="M79" s="119">
        <f>Model!$AO$119</f>
        <v>0</v>
      </c>
      <c r="N79" s="131">
        <f t="shared" si="21"/>
        <v>0</v>
      </c>
      <c r="O79" s="119" t="s">
        <v>33</v>
      </c>
      <c r="P79" s="119">
        <f>INDEX(Model!$AO$55:$AO$119,MATCH($O79,Model!$AN$55:$AN$119,0)+MATCH(Model!$AL$117,Model!$AL$55:$AL$119,0)-1)</f>
        <v>0.309</v>
      </c>
      <c r="Q79" s="133">
        <f t="shared" si="17"/>
        <v>0</v>
      </c>
      <c r="R79" s="148">
        <f>Model!$AO$139</f>
        <v>6.0000000000000001E-3</v>
      </c>
      <c r="S79" s="131">
        <f t="shared" si="18"/>
        <v>0</v>
      </c>
      <c r="T79" s="109" t="s">
        <v>34</v>
      </c>
      <c r="U79" s="109"/>
      <c r="V79" s="109">
        <f>Model!$AO$138</f>
        <v>1</v>
      </c>
      <c r="W79" s="133"/>
      <c r="X79" s="148"/>
      <c r="Y79" s="131">
        <f t="shared" si="13"/>
        <v>0</v>
      </c>
      <c r="Z79" s="109"/>
      <c r="AA79" s="109"/>
      <c r="AB79" s="109"/>
      <c r="AC79" s="120">
        <f t="shared" si="19"/>
        <v>0</v>
      </c>
      <c r="AD79" s="109">
        <f t="shared" si="20"/>
        <v>0</v>
      </c>
    </row>
    <row r="80" spans="3:30" x14ac:dyDescent="0.25">
      <c r="C80" s="150">
        <f>Model!$AO$13</f>
        <v>3004198</v>
      </c>
      <c r="D80" s="54">
        <f>Model!$AO$16</f>
        <v>0.38461538461538458</v>
      </c>
      <c r="E80" s="151">
        <f t="shared" si="14"/>
        <v>1155460.769230769</v>
      </c>
      <c r="F80" s="54">
        <f>Model!$AO$29</f>
        <v>1</v>
      </c>
      <c r="G80" s="151">
        <f t="shared" si="15"/>
        <v>1155460.769230769</v>
      </c>
      <c r="H80" s="108">
        <f>INDEX(Model!$AO$34:$AO$37,MATCH($J80,Model!$AN$34:$AN$37,0))</f>
        <v>0.719409242</v>
      </c>
      <c r="I80" s="129">
        <f t="shared" si="16"/>
        <v>831249.15615304443</v>
      </c>
      <c r="J80" s="109" t="s">
        <v>25</v>
      </c>
      <c r="K80" s="119">
        <f>INDEX(Model!$AO$38:$AO$41,MATCH($J80,Model!$AN$34:$AN$37,0))</f>
        <v>138.51662237471803</v>
      </c>
      <c r="L80" s="133">
        <f>K80*I80</f>
        <v>115141825.46215427</v>
      </c>
      <c r="M80" s="119">
        <f>Model!$AO$119</f>
        <v>0</v>
      </c>
      <c r="N80" s="131">
        <f t="shared" si="21"/>
        <v>0</v>
      </c>
      <c r="O80" s="119" t="s">
        <v>33</v>
      </c>
      <c r="P80" s="119">
        <f>INDEX(Model!$AO$55:$AO$119,MATCH($O80,Model!$AN$55:$AN$119,0)+MATCH(Model!$AL$117,Model!$AL$55:$AL$119,0)-1)</f>
        <v>0.309</v>
      </c>
      <c r="Q80" s="133">
        <f t="shared" si="17"/>
        <v>0</v>
      </c>
      <c r="R80" s="148">
        <f>Model!$AO$149</f>
        <v>0.99399999999999999</v>
      </c>
      <c r="S80" s="131">
        <f t="shared" si="18"/>
        <v>0</v>
      </c>
      <c r="T80" s="109" t="s">
        <v>35</v>
      </c>
      <c r="U80" s="109">
        <f>Model!$AO$148</f>
        <v>1</v>
      </c>
      <c r="V80" s="109"/>
      <c r="W80" s="133">
        <f>S80*U80</f>
        <v>0</v>
      </c>
      <c r="X80" s="148">
        <f>Model!$AO$180</f>
        <v>0.01</v>
      </c>
      <c r="Y80" s="131">
        <f t="shared" si="13"/>
        <v>0</v>
      </c>
      <c r="Z80" s="109" t="s">
        <v>66</v>
      </c>
      <c r="AA80" s="109">
        <f>Model!$AO$179</f>
        <v>0.52600000000000002</v>
      </c>
      <c r="AB80" s="109"/>
      <c r="AC80" s="120">
        <f t="shared" si="19"/>
        <v>0</v>
      </c>
      <c r="AD80" s="109">
        <f t="shared" si="20"/>
        <v>0</v>
      </c>
    </row>
    <row r="81" spans="3:30" x14ac:dyDescent="0.25">
      <c r="C81" s="150">
        <f>Model!$AO$13</f>
        <v>3004198</v>
      </c>
      <c r="D81" s="54">
        <f>Model!$AO$16</f>
        <v>0.38461538461538458</v>
      </c>
      <c r="E81" s="151">
        <f t="shared" si="14"/>
        <v>1155460.769230769</v>
      </c>
      <c r="F81" s="54">
        <f>Model!$AO$29</f>
        <v>1</v>
      </c>
      <c r="G81" s="151">
        <f t="shared" si="15"/>
        <v>1155460.769230769</v>
      </c>
      <c r="H81" s="108">
        <f>INDEX(Model!$AO$34:$AO$37,MATCH($J81,Model!$AN$34:$AN$37,0))</f>
        <v>0.719409242</v>
      </c>
      <c r="I81" s="129">
        <f t="shared" si="16"/>
        <v>831249.15615304443</v>
      </c>
      <c r="J81" s="109" t="s">
        <v>25</v>
      </c>
      <c r="K81" s="119">
        <f>INDEX(Model!$AO$38:$AO$41,MATCH($J81,Model!$AN$34:$AN$37,0))</f>
        <v>138.51662237471803</v>
      </c>
      <c r="L81" s="133">
        <f>K81*I81</f>
        <v>115141825.46215427</v>
      </c>
      <c r="M81" s="119">
        <f>Model!$AO$119</f>
        <v>0</v>
      </c>
      <c r="N81" s="131">
        <f t="shared" si="21"/>
        <v>0</v>
      </c>
      <c r="O81" s="119" t="s">
        <v>33</v>
      </c>
      <c r="P81" s="119">
        <f>INDEX(Model!$AO$55:$AO$119,MATCH($O81,Model!$AN$55:$AN$119,0)+MATCH(Model!$AL$117,Model!$AL$55:$AL$119,0)-1)</f>
        <v>0.309</v>
      </c>
      <c r="Q81" s="133">
        <f t="shared" si="17"/>
        <v>0</v>
      </c>
      <c r="R81" s="148">
        <f>Model!$AO$149</f>
        <v>0.99399999999999999</v>
      </c>
      <c r="S81" s="131">
        <f t="shared" si="18"/>
        <v>0</v>
      </c>
      <c r="T81" s="109" t="s">
        <v>35</v>
      </c>
      <c r="U81" s="109">
        <f>Model!$AO$148</f>
        <v>1</v>
      </c>
      <c r="V81" s="109"/>
      <c r="W81" s="133">
        <f>S81*U81</f>
        <v>0</v>
      </c>
      <c r="X81" s="148">
        <f>Model!$AO$193</f>
        <v>0</v>
      </c>
      <c r="Y81" s="131">
        <f t="shared" si="13"/>
        <v>0</v>
      </c>
      <c r="Z81" s="109" t="s">
        <v>139</v>
      </c>
      <c r="AA81" s="109">
        <f>Model!$AO$192</f>
        <v>0.4</v>
      </c>
      <c r="AB81" s="109"/>
      <c r="AC81" s="120">
        <f t="shared" si="19"/>
        <v>0</v>
      </c>
      <c r="AD81" s="109">
        <f t="shared" si="20"/>
        <v>0</v>
      </c>
    </row>
    <row r="82" spans="3:30" x14ac:dyDescent="0.25">
      <c r="C82" s="150">
        <f>Model!$AO$13</f>
        <v>3004198</v>
      </c>
      <c r="D82" s="54">
        <f>Model!$AO$16</f>
        <v>0.38461538461538458</v>
      </c>
      <c r="E82" s="151">
        <f t="shared" si="14"/>
        <v>1155460.769230769</v>
      </c>
      <c r="F82" s="54">
        <f>Model!$AO$29</f>
        <v>1</v>
      </c>
      <c r="G82" s="151">
        <f t="shared" si="15"/>
        <v>1155460.769230769</v>
      </c>
      <c r="H82" s="108">
        <f>INDEX(Model!$AO$34:$AO$37,MATCH($J82,Model!$AN$34:$AN$37,0))</f>
        <v>0.719409242</v>
      </c>
      <c r="I82" s="129">
        <f t="shared" si="16"/>
        <v>831249.15615304443</v>
      </c>
      <c r="J82" s="109" t="s">
        <v>25</v>
      </c>
      <c r="K82" s="119">
        <f>INDEX(Model!$AO$38:$AO$41,MATCH($J82,Model!$AN$34:$AN$37,0))</f>
        <v>138.51662237471803</v>
      </c>
      <c r="L82" s="133">
        <f>K82*I82</f>
        <v>115141825.46215427</v>
      </c>
      <c r="M82" s="119">
        <f>Model!$AO$119</f>
        <v>0</v>
      </c>
      <c r="N82" s="131">
        <f t="shared" si="21"/>
        <v>0</v>
      </c>
      <c r="O82" s="119" t="s">
        <v>33</v>
      </c>
      <c r="P82" s="119">
        <f>INDEX(Model!$AO$55:$AO$119,MATCH($O82,Model!$AN$55:$AN$119,0)+MATCH(Model!$AL$117,Model!$AL$55:$AL$119,0)-1)</f>
        <v>0.309</v>
      </c>
      <c r="Q82" s="133">
        <f t="shared" si="17"/>
        <v>0</v>
      </c>
      <c r="R82" s="148">
        <f>Model!$AO$149</f>
        <v>0.99399999999999999</v>
      </c>
      <c r="S82" s="131">
        <f t="shared" si="18"/>
        <v>0</v>
      </c>
      <c r="T82" s="109" t="s">
        <v>35</v>
      </c>
      <c r="U82" s="109">
        <f>Model!$AO$148</f>
        <v>1</v>
      </c>
      <c r="V82" s="109"/>
      <c r="W82" s="133">
        <f>S82*U82</f>
        <v>0</v>
      </c>
      <c r="X82" s="148">
        <f>Model!$AO$166</f>
        <v>0.94</v>
      </c>
      <c r="Y82" s="131">
        <f t="shared" si="13"/>
        <v>0</v>
      </c>
      <c r="Z82" s="109" t="s">
        <v>64</v>
      </c>
      <c r="AA82" s="109"/>
      <c r="AB82" s="109">
        <f>Model!$AO$165</f>
        <v>1.613</v>
      </c>
      <c r="AC82" s="120">
        <f t="shared" si="19"/>
        <v>0</v>
      </c>
      <c r="AD82" s="109">
        <f t="shared" si="20"/>
        <v>0</v>
      </c>
    </row>
    <row r="83" spans="3:30" x14ac:dyDescent="0.25">
      <c r="C83" s="150">
        <f>Model!$AO$13</f>
        <v>3004198</v>
      </c>
      <c r="D83" s="54">
        <f>Model!$AO$16</f>
        <v>0.38461538461538458</v>
      </c>
      <c r="E83" s="151">
        <f t="shared" si="14"/>
        <v>1155460.769230769</v>
      </c>
      <c r="F83" s="54">
        <f>Model!$AO$29</f>
        <v>1</v>
      </c>
      <c r="G83" s="151">
        <f t="shared" si="15"/>
        <v>1155460.769230769</v>
      </c>
      <c r="H83" s="108">
        <f>INDEX(Model!$AO$34:$AO$37,MATCH($J83,Model!$AN$34:$AN$37,0))</f>
        <v>0.719409242</v>
      </c>
      <c r="I83" s="129">
        <f t="shared" si="16"/>
        <v>831249.15615304443</v>
      </c>
      <c r="J83" s="109" t="s">
        <v>25</v>
      </c>
      <c r="K83" s="119">
        <f>INDEX(Model!$AO$38:$AO$41,MATCH($J83,Model!$AN$34:$AN$37,0))</f>
        <v>138.51662237471803</v>
      </c>
      <c r="L83" s="133">
        <f>K83*I83</f>
        <v>115141825.46215427</v>
      </c>
      <c r="M83" s="119">
        <f>Model!$AO$119</f>
        <v>0</v>
      </c>
      <c r="N83" s="131">
        <f t="shared" si="21"/>
        <v>0</v>
      </c>
      <c r="O83" s="119" t="s">
        <v>33</v>
      </c>
      <c r="P83" s="119">
        <f>INDEX(Model!$AO$55:$AO$119,MATCH($O83,Model!$AN$55:$AN$119,0)+MATCH(Model!$AL$117,Model!$AL$55:$AL$119,0)-1)</f>
        <v>0.309</v>
      </c>
      <c r="Q83" s="133">
        <f t="shared" si="17"/>
        <v>0</v>
      </c>
      <c r="R83" s="148">
        <f>Model!$AO$149</f>
        <v>0.99399999999999999</v>
      </c>
      <c r="S83" s="131">
        <f t="shared" si="18"/>
        <v>0</v>
      </c>
      <c r="T83" s="109" t="s">
        <v>35</v>
      </c>
      <c r="U83" s="109">
        <f>Model!$AO$148</f>
        <v>1</v>
      </c>
      <c r="V83" s="109"/>
      <c r="W83" s="133">
        <f>S83*U83</f>
        <v>0</v>
      </c>
      <c r="X83" s="148">
        <f>Model!$AO$206</f>
        <v>0.05</v>
      </c>
      <c r="Y83" s="131">
        <f t="shared" si="13"/>
        <v>0</v>
      </c>
      <c r="Z83" s="109" t="s">
        <v>65</v>
      </c>
      <c r="AA83" s="109"/>
      <c r="AB83" s="109">
        <f>Model!$AO$205</f>
        <v>1.111</v>
      </c>
      <c r="AC83" s="120">
        <f t="shared" si="19"/>
        <v>0</v>
      </c>
      <c r="AD83" s="109">
        <f t="shared" si="20"/>
        <v>0</v>
      </c>
    </row>
    <row r="84" spans="3:30" x14ac:dyDescent="0.25">
      <c r="C84" s="150">
        <f>Model!$AO$13</f>
        <v>3004198</v>
      </c>
      <c r="D84" s="54">
        <f>Model!$AO$16</f>
        <v>0.38461538461538458</v>
      </c>
      <c r="E84" s="151">
        <f t="shared" si="14"/>
        <v>1155460.769230769</v>
      </c>
      <c r="F84" s="54">
        <f>Model!$AO$29</f>
        <v>1</v>
      </c>
      <c r="G84" s="151">
        <f t="shared" si="15"/>
        <v>1155460.769230769</v>
      </c>
      <c r="H84" s="108">
        <f>INDEX(Model!$AO$34:$AO$37,MATCH($J84,Model!$AN$34:$AN$37,0))</f>
        <v>0.719409242</v>
      </c>
      <c r="I84" s="129">
        <f t="shared" si="16"/>
        <v>831249.15615304443</v>
      </c>
      <c r="J84" s="109" t="s">
        <v>25</v>
      </c>
      <c r="K84" s="119">
        <f>INDEX(Model!$AO$38:$AO$41,MATCH($J84,Model!$AN$34:$AN$37,0))</f>
        <v>138.51662237471803</v>
      </c>
      <c r="L84" s="133">
        <f>K84*I84</f>
        <v>115141825.46215427</v>
      </c>
      <c r="M84" s="119">
        <f>Model!$AO$80</f>
        <v>0.83299999999999996</v>
      </c>
      <c r="N84" s="131">
        <f t="shared" si="21"/>
        <v>95913140.609974504</v>
      </c>
      <c r="O84" s="119" t="s">
        <v>29</v>
      </c>
      <c r="P84" s="119">
        <f>INDEX(Model!$AO$55:$AO$119,MATCH($O84,Model!$AN$55:$AN$119,0)+MATCH(Model!$AL$117,Model!$AL$55:$AL$119,0)-1)</f>
        <v>0.63300000000000001</v>
      </c>
      <c r="Q84" s="133">
        <f t="shared" si="17"/>
        <v>60713018.006113864</v>
      </c>
      <c r="R84" s="148">
        <f>Model!$AO$139</f>
        <v>6.0000000000000001E-3</v>
      </c>
      <c r="S84" s="131">
        <f t="shared" si="18"/>
        <v>364278.10803668317</v>
      </c>
      <c r="T84" s="109" t="s">
        <v>34</v>
      </c>
      <c r="U84" s="109"/>
      <c r="V84" s="109">
        <f>Model!$AO$138</f>
        <v>1</v>
      </c>
      <c r="W84" s="133"/>
      <c r="X84" s="148"/>
      <c r="Y84" s="131">
        <f t="shared" si="13"/>
        <v>0</v>
      </c>
      <c r="Z84" s="109"/>
      <c r="AA84" s="109"/>
      <c r="AB84" s="109"/>
      <c r="AC84" s="120">
        <f t="shared" si="19"/>
        <v>364278.10803668317</v>
      </c>
      <c r="AD84" s="109">
        <f t="shared" si="20"/>
        <v>0</v>
      </c>
    </row>
    <row r="85" spans="3:30" x14ac:dyDescent="0.25">
      <c r="C85" s="150">
        <f>Model!$AO$13</f>
        <v>3004198</v>
      </c>
      <c r="D85" s="54">
        <f>Model!$AO$16</f>
        <v>0.38461538461538458</v>
      </c>
      <c r="E85" s="151">
        <f t="shared" si="14"/>
        <v>1155460.769230769</v>
      </c>
      <c r="F85" s="54">
        <f>Model!$AO$29</f>
        <v>1</v>
      </c>
      <c r="G85" s="151">
        <f t="shared" si="15"/>
        <v>1155460.769230769</v>
      </c>
      <c r="H85" s="108">
        <f>INDEX(Model!$AO$34:$AO$37,MATCH($J85,Model!$AN$34:$AN$37,0))</f>
        <v>0.719409242</v>
      </c>
      <c r="I85" s="129">
        <f t="shared" si="16"/>
        <v>831249.15615304443</v>
      </c>
      <c r="J85" s="109" t="s">
        <v>25</v>
      </c>
      <c r="K85" s="119">
        <f>INDEX(Model!$AO$38:$AO$41,MATCH($J85,Model!$AN$34:$AN$37,0))</f>
        <v>138.51662237471803</v>
      </c>
      <c r="L85" s="133">
        <f>K85*I85</f>
        <v>115141825.46215427</v>
      </c>
      <c r="M85" s="119">
        <f>Model!$AO$80</f>
        <v>0.83299999999999996</v>
      </c>
      <c r="N85" s="131">
        <f t="shared" si="21"/>
        <v>95913140.609974504</v>
      </c>
      <c r="O85" s="119" t="s">
        <v>29</v>
      </c>
      <c r="P85" s="119">
        <f>INDEX(Model!$AO$55:$AO$119,MATCH($O85,Model!$AN$55:$AN$119,0)+MATCH(Model!$AL$117,Model!$AL$55:$AL$119,0)-1)</f>
        <v>0.63300000000000001</v>
      </c>
      <c r="Q85" s="133">
        <f t="shared" si="17"/>
        <v>60713018.006113864</v>
      </c>
      <c r="R85" s="148">
        <f>Model!$AO$149</f>
        <v>0.99399999999999999</v>
      </c>
      <c r="S85" s="131">
        <f t="shared" si="18"/>
        <v>60348739.898077182</v>
      </c>
      <c r="T85" s="109" t="s">
        <v>35</v>
      </c>
      <c r="U85" s="109">
        <f>Model!$AO$148</f>
        <v>1</v>
      </c>
      <c r="V85" s="109"/>
      <c r="W85" s="133">
        <f>S85*U85</f>
        <v>60348739.898077182</v>
      </c>
      <c r="X85" s="148">
        <f>Model!$AO$180</f>
        <v>0.01</v>
      </c>
      <c r="Y85" s="131">
        <f t="shared" si="13"/>
        <v>603487.39898077189</v>
      </c>
      <c r="Z85" s="109" t="s">
        <v>66</v>
      </c>
      <c r="AA85" s="109">
        <f>Model!$AO$179</f>
        <v>0.52600000000000002</v>
      </c>
      <c r="AB85" s="109"/>
      <c r="AC85" s="120">
        <f t="shared" si="19"/>
        <v>317434.37186388602</v>
      </c>
      <c r="AD85" s="109">
        <f t="shared" si="20"/>
        <v>0</v>
      </c>
    </row>
    <row r="86" spans="3:30" x14ac:dyDescent="0.25">
      <c r="C86" s="150">
        <f>Model!$AO$13</f>
        <v>3004198</v>
      </c>
      <c r="D86" s="54">
        <f>Model!$AO$16</f>
        <v>0.38461538461538458</v>
      </c>
      <c r="E86" s="151">
        <f t="shared" si="14"/>
        <v>1155460.769230769</v>
      </c>
      <c r="F86" s="54">
        <f>Model!$AO$29</f>
        <v>1</v>
      </c>
      <c r="G86" s="151">
        <f t="shared" si="15"/>
        <v>1155460.769230769</v>
      </c>
      <c r="H86" s="108">
        <f>INDEX(Model!$AO$34:$AO$37,MATCH($J86,Model!$AN$34:$AN$37,0))</f>
        <v>0.719409242</v>
      </c>
      <c r="I86" s="129">
        <f t="shared" si="16"/>
        <v>831249.15615304443</v>
      </c>
      <c r="J86" s="109" t="s">
        <v>25</v>
      </c>
      <c r="K86" s="119">
        <f>INDEX(Model!$AO$38:$AO$41,MATCH($J86,Model!$AN$34:$AN$37,0))</f>
        <v>138.51662237471803</v>
      </c>
      <c r="L86" s="133">
        <f>K86*I86</f>
        <v>115141825.46215427</v>
      </c>
      <c r="M86" s="119">
        <f>Model!$AO$80</f>
        <v>0.83299999999999996</v>
      </c>
      <c r="N86" s="131">
        <f t="shared" si="21"/>
        <v>95913140.609974504</v>
      </c>
      <c r="O86" s="119" t="s">
        <v>29</v>
      </c>
      <c r="P86" s="119">
        <f>INDEX(Model!$AO$55:$AO$119,MATCH($O86,Model!$AN$55:$AN$119,0)+MATCH(Model!$AL$117,Model!$AL$55:$AL$119,0)-1)</f>
        <v>0.63300000000000001</v>
      </c>
      <c r="Q86" s="133">
        <f t="shared" si="17"/>
        <v>60713018.006113864</v>
      </c>
      <c r="R86" s="148">
        <f>Model!$AO$149</f>
        <v>0.99399999999999999</v>
      </c>
      <c r="S86" s="131">
        <f t="shared" si="18"/>
        <v>60348739.898077182</v>
      </c>
      <c r="T86" s="109" t="s">
        <v>35</v>
      </c>
      <c r="U86" s="109">
        <f>Model!$AO$148</f>
        <v>1</v>
      </c>
      <c r="V86" s="109"/>
      <c r="W86" s="133">
        <f>S86*U86</f>
        <v>60348739.898077182</v>
      </c>
      <c r="X86" s="148">
        <f>Model!$AO$193</f>
        <v>0</v>
      </c>
      <c r="Y86" s="131">
        <f t="shared" si="13"/>
        <v>0</v>
      </c>
      <c r="Z86" s="109" t="s">
        <v>139</v>
      </c>
      <c r="AA86" s="109">
        <f>Model!$AO$192</f>
        <v>0.4</v>
      </c>
      <c r="AB86" s="109"/>
      <c r="AC86" s="120">
        <f t="shared" si="19"/>
        <v>0</v>
      </c>
      <c r="AD86" s="109">
        <f t="shared" si="20"/>
        <v>0</v>
      </c>
    </row>
    <row r="87" spans="3:30" x14ac:dyDescent="0.25">
      <c r="C87" s="150">
        <f>Model!$AO$13</f>
        <v>3004198</v>
      </c>
      <c r="D87" s="54">
        <f>Model!$AO$16</f>
        <v>0.38461538461538458</v>
      </c>
      <c r="E87" s="151">
        <f t="shared" si="14"/>
        <v>1155460.769230769</v>
      </c>
      <c r="F87" s="54">
        <f>Model!$AO$29</f>
        <v>1</v>
      </c>
      <c r="G87" s="151">
        <f t="shared" si="15"/>
        <v>1155460.769230769</v>
      </c>
      <c r="H87" s="108">
        <f>INDEX(Model!$AO$34:$AO$37,MATCH($J87,Model!$AN$34:$AN$37,0))</f>
        <v>0.719409242</v>
      </c>
      <c r="I87" s="129">
        <f t="shared" si="16"/>
        <v>831249.15615304443</v>
      </c>
      <c r="J87" s="109" t="s">
        <v>25</v>
      </c>
      <c r="K87" s="119">
        <f>INDEX(Model!$AO$38:$AO$41,MATCH($J87,Model!$AN$34:$AN$37,0))</f>
        <v>138.51662237471803</v>
      </c>
      <c r="L87" s="133">
        <f>K87*I87</f>
        <v>115141825.46215427</v>
      </c>
      <c r="M87" s="119">
        <f>Model!$AO$80</f>
        <v>0.83299999999999996</v>
      </c>
      <c r="N87" s="131">
        <f t="shared" si="21"/>
        <v>95913140.609974504</v>
      </c>
      <c r="O87" s="119" t="s">
        <v>29</v>
      </c>
      <c r="P87" s="119">
        <f>INDEX(Model!$AO$55:$AO$119,MATCH($O87,Model!$AN$55:$AN$119,0)+MATCH(Model!$AL$117,Model!$AL$55:$AL$119,0)-1)</f>
        <v>0.63300000000000001</v>
      </c>
      <c r="Q87" s="133">
        <f t="shared" si="17"/>
        <v>60713018.006113864</v>
      </c>
      <c r="R87" s="148">
        <f>Model!$AO$149</f>
        <v>0.99399999999999999</v>
      </c>
      <c r="S87" s="131">
        <f t="shared" si="18"/>
        <v>60348739.898077182</v>
      </c>
      <c r="T87" s="109" t="s">
        <v>35</v>
      </c>
      <c r="U87" s="109">
        <f>Model!$AO$148</f>
        <v>1</v>
      </c>
      <c r="V87" s="109"/>
      <c r="W87" s="133">
        <f>S87*U87</f>
        <v>60348739.898077182</v>
      </c>
      <c r="X87" s="148">
        <f>Model!$AO$166</f>
        <v>0.94</v>
      </c>
      <c r="Y87" s="131">
        <f t="shared" si="13"/>
        <v>56727815.504192546</v>
      </c>
      <c r="Z87" s="109" t="s">
        <v>64</v>
      </c>
      <c r="AA87" s="109"/>
      <c r="AB87" s="109">
        <f>Model!$AO$165</f>
        <v>1.613</v>
      </c>
      <c r="AC87" s="120">
        <f t="shared" si="19"/>
        <v>0</v>
      </c>
      <c r="AD87" s="109">
        <f t="shared" si="20"/>
        <v>91501966.408262581</v>
      </c>
    </row>
    <row r="88" spans="3:30" x14ac:dyDescent="0.25">
      <c r="C88" s="150">
        <f>Model!$AO$13</f>
        <v>3004198</v>
      </c>
      <c r="D88" s="54">
        <f>Model!$AO$16</f>
        <v>0.38461538461538458</v>
      </c>
      <c r="E88" s="151">
        <f t="shared" si="14"/>
        <v>1155460.769230769</v>
      </c>
      <c r="F88" s="54">
        <f>Model!$AO$29</f>
        <v>1</v>
      </c>
      <c r="G88" s="151">
        <f t="shared" si="15"/>
        <v>1155460.769230769</v>
      </c>
      <c r="H88" s="108">
        <f>INDEX(Model!$AO$34:$AO$37,MATCH($J88,Model!$AN$34:$AN$37,0))</f>
        <v>0.719409242</v>
      </c>
      <c r="I88" s="129">
        <f t="shared" si="16"/>
        <v>831249.15615304443</v>
      </c>
      <c r="J88" s="109" t="s">
        <v>25</v>
      </c>
      <c r="K88" s="119">
        <f>INDEX(Model!$AO$38:$AO$41,MATCH($J88,Model!$AN$34:$AN$37,0))</f>
        <v>138.51662237471803</v>
      </c>
      <c r="L88" s="133">
        <f>K88*I88</f>
        <v>115141825.46215427</v>
      </c>
      <c r="M88" s="119">
        <f>Model!$AO$80</f>
        <v>0.83299999999999996</v>
      </c>
      <c r="N88" s="131">
        <f t="shared" si="21"/>
        <v>95913140.609974504</v>
      </c>
      <c r="O88" s="119" t="s">
        <v>29</v>
      </c>
      <c r="P88" s="119">
        <f>INDEX(Model!$AO$55:$AO$119,MATCH($O88,Model!$AN$55:$AN$119,0)+MATCH(Model!$AL$117,Model!$AL$55:$AL$119,0)-1)</f>
        <v>0.63300000000000001</v>
      </c>
      <c r="Q88" s="133">
        <f t="shared" si="17"/>
        <v>60713018.006113864</v>
      </c>
      <c r="R88" s="148">
        <f>Model!$AO$149</f>
        <v>0.99399999999999999</v>
      </c>
      <c r="S88" s="131">
        <f t="shared" si="18"/>
        <v>60348739.898077182</v>
      </c>
      <c r="T88" s="109" t="s">
        <v>35</v>
      </c>
      <c r="U88" s="109">
        <f>Model!$AO$148</f>
        <v>1</v>
      </c>
      <c r="V88" s="109"/>
      <c r="W88" s="133">
        <f>S88*U88</f>
        <v>60348739.898077182</v>
      </c>
      <c r="X88" s="148">
        <f>Model!$AO$206</f>
        <v>0.05</v>
      </c>
      <c r="Y88" s="131">
        <f t="shared" si="13"/>
        <v>3017436.9949038592</v>
      </c>
      <c r="Z88" s="109" t="s">
        <v>65</v>
      </c>
      <c r="AA88" s="109"/>
      <c r="AB88" s="109">
        <f>Model!$AO$205</f>
        <v>1.111</v>
      </c>
      <c r="AC88" s="120">
        <f t="shared" si="19"/>
        <v>0</v>
      </c>
      <c r="AD88" s="109">
        <f t="shared" si="20"/>
        <v>3352372.5013381876</v>
      </c>
    </row>
    <row r="89" spans="3:30" x14ac:dyDescent="0.25">
      <c r="C89" s="150">
        <f>Model!$AO$13</f>
        <v>3004198</v>
      </c>
      <c r="D89" s="54">
        <f>Model!$AO$16</f>
        <v>0.38461538461538458</v>
      </c>
      <c r="E89" s="151">
        <f t="shared" si="14"/>
        <v>1155460.769230769</v>
      </c>
      <c r="F89" s="54">
        <f>Model!$AO$29</f>
        <v>1</v>
      </c>
      <c r="G89" s="151">
        <f t="shared" si="15"/>
        <v>1155460.769230769</v>
      </c>
      <c r="H89" s="108">
        <f>INDEX(Model!$AO$34:$AO$37,MATCH($J89,Model!$AN$34:$AN$37,0))</f>
        <v>0.719409242</v>
      </c>
      <c r="I89" s="129">
        <f t="shared" si="16"/>
        <v>831249.15615304443</v>
      </c>
      <c r="J89" s="109" t="s">
        <v>25</v>
      </c>
      <c r="K89" s="119">
        <f>INDEX(Model!$AO$38:$AO$41,MATCH($J89,Model!$AN$34:$AN$37,0))</f>
        <v>138.51662237471803</v>
      </c>
      <c r="L89" s="133">
        <f>K89*I89</f>
        <v>115141825.46215427</v>
      </c>
      <c r="M89" s="119">
        <f>Model!$AO$67</f>
        <v>0.16700000000000001</v>
      </c>
      <c r="N89" s="131">
        <f t="shared" si="21"/>
        <v>19228684.852179766</v>
      </c>
      <c r="O89" s="119" t="s">
        <v>30</v>
      </c>
      <c r="P89" s="119">
        <f>INDEX(Model!$AO$55:$AO$119,MATCH($O89,Model!$AN$55:$AN$119,0)+MATCH(Model!$AL$117,Model!$AL$55:$AL$119,0)-1)</f>
        <v>0.997</v>
      </c>
      <c r="Q89" s="133">
        <f t="shared" si="17"/>
        <v>19170998.797623225</v>
      </c>
      <c r="R89" s="148">
        <f>Model!$AO$139</f>
        <v>6.0000000000000001E-3</v>
      </c>
      <c r="S89" s="131">
        <f t="shared" si="18"/>
        <v>115025.99278573935</v>
      </c>
      <c r="T89" s="109" t="s">
        <v>34</v>
      </c>
      <c r="U89" s="109"/>
      <c r="V89" s="109">
        <f>Model!$AO$138</f>
        <v>1</v>
      </c>
      <c r="W89" s="133"/>
      <c r="X89" s="148"/>
      <c r="Y89" s="131">
        <f t="shared" si="13"/>
        <v>0</v>
      </c>
      <c r="Z89" s="109"/>
      <c r="AA89" s="109"/>
      <c r="AB89" s="109"/>
      <c r="AC89" s="120">
        <f t="shared" si="19"/>
        <v>115025.99278573935</v>
      </c>
      <c r="AD89" s="109">
        <f t="shared" si="20"/>
        <v>0</v>
      </c>
    </row>
    <row r="90" spans="3:30" x14ac:dyDescent="0.25">
      <c r="C90" s="150">
        <f>Model!$AO$13</f>
        <v>3004198</v>
      </c>
      <c r="D90" s="54">
        <f>Model!$AO$16</f>
        <v>0.38461538461538458</v>
      </c>
      <c r="E90" s="151">
        <f t="shared" si="14"/>
        <v>1155460.769230769</v>
      </c>
      <c r="F90" s="54">
        <f>Model!$AO$29</f>
        <v>1</v>
      </c>
      <c r="G90" s="151">
        <f t="shared" si="15"/>
        <v>1155460.769230769</v>
      </c>
      <c r="H90" s="108">
        <f>INDEX(Model!$AO$34:$AO$37,MATCH($J90,Model!$AN$34:$AN$37,0))</f>
        <v>0.719409242</v>
      </c>
      <c r="I90" s="129">
        <f t="shared" si="16"/>
        <v>831249.15615304443</v>
      </c>
      <c r="J90" s="109" t="s">
        <v>25</v>
      </c>
      <c r="K90" s="119">
        <f>INDEX(Model!$AO$38:$AO$41,MATCH($J90,Model!$AN$34:$AN$37,0))</f>
        <v>138.51662237471803</v>
      </c>
      <c r="L90" s="133">
        <f>K90*I90</f>
        <v>115141825.46215427</v>
      </c>
      <c r="M90" s="119">
        <f>Model!$AO$67</f>
        <v>0.16700000000000001</v>
      </c>
      <c r="N90" s="131">
        <f t="shared" si="21"/>
        <v>19228684.852179766</v>
      </c>
      <c r="O90" s="119" t="s">
        <v>30</v>
      </c>
      <c r="P90" s="119">
        <f>INDEX(Model!$AO$55:$AO$119,MATCH($O90,Model!$AN$55:$AN$119,0)+MATCH(Model!$AL$117,Model!$AL$55:$AL$119,0)-1)</f>
        <v>0.997</v>
      </c>
      <c r="Q90" s="133">
        <f t="shared" si="17"/>
        <v>19170998.797623225</v>
      </c>
      <c r="R90" s="148">
        <f>Model!$AO$149</f>
        <v>0.99399999999999999</v>
      </c>
      <c r="S90" s="131">
        <f t="shared" si="18"/>
        <v>19055972.804837484</v>
      </c>
      <c r="T90" s="109" t="s">
        <v>35</v>
      </c>
      <c r="U90" s="109">
        <f>Model!$AO$148</f>
        <v>1</v>
      </c>
      <c r="V90" s="109"/>
      <c r="W90" s="133">
        <f>S90*U90</f>
        <v>19055972.804837484</v>
      </c>
      <c r="X90" s="148">
        <f>Model!$AO$180</f>
        <v>0.01</v>
      </c>
      <c r="Y90" s="131">
        <f t="shared" si="13"/>
        <v>190559.72804837485</v>
      </c>
      <c r="Z90" s="109" t="s">
        <v>66</v>
      </c>
      <c r="AA90" s="109">
        <f>Model!$AO$179</f>
        <v>0.52600000000000002</v>
      </c>
      <c r="AB90" s="109"/>
      <c r="AC90" s="120">
        <f t="shared" si="19"/>
        <v>100234.41695344518</v>
      </c>
      <c r="AD90" s="109">
        <f t="shared" si="20"/>
        <v>0</v>
      </c>
    </row>
    <row r="91" spans="3:30" x14ac:dyDescent="0.25">
      <c r="C91" s="150">
        <f>Model!$AO$13</f>
        <v>3004198</v>
      </c>
      <c r="D91" s="54">
        <f>Model!$AO$16</f>
        <v>0.38461538461538458</v>
      </c>
      <c r="E91" s="151">
        <f t="shared" si="14"/>
        <v>1155460.769230769</v>
      </c>
      <c r="F91" s="54">
        <f>Model!$AO$29</f>
        <v>1</v>
      </c>
      <c r="G91" s="151">
        <f t="shared" si="15"/>
        <v>1155460.769230769</v>
      </c>
      <c r="H91" s="108">
        <f>INDEX(Model!$AO$34:$AO$37,MATCH($J91,Model!$AN$34:$AN$37,0))</f>
        <v>0.719409242</v>
      </c>
      <c r="I91" s="129">
        <f t="shared" si="16"/>
        <v>831249.15615304443</v>
      </c>
      <c r="J91" s="109" t="s">
        <v>25</v>
      </c>
      <c r="K91" s="119">
        <f>INDEX(Model!$AO$38:$AO$41,MATCH($J91,Model!$AN$34:$AN$37,0))</f>
        <v>138.51662237471803</v>
      </c>
      <c r="L91" s="133">
        <f>K91*I91</f>
        <v>115141825.46215427</v>
      </c>
      <c r="M91" s="119">
        <f>Model!$AO$67</f>
        <v>0.16700000000000001</v>
      </c>
      <c r="N91" s="131">
        <f t="shared" si="21"/>
        <v>19228684.852179766</v>
      </c>
      <c r="O91" s="119" t="s">
        <v>30</v>
      </c>
      <c r="P91" s="119">
        <f>INDEX(Model!$AO$55:$AO$119,MATCH($O91,Model!$AN$55:$AN$119,0)+MATCH(Model!$AL$117,Model!$AL$55:$AL$119,0)-1)</f>
        <v>0.997</v>
      </c>
      <c r="Q91" s="133">
        <f t="shared" si="17"/>
        <v>19170998.797623225</v>
      </c>
      <c r="R91" s="148">
        <f>Model!$AO$149</f>
        <v>0.99399999999999999</v>
      </c>
      <c r="S91" s="131">
        <f t="shared" si="18"/>
        <v>19055972.804837484</v>
      </c>
      <c r="T91" s="109" t="s">
        <v>35</v>
      </c>
      <c r="U91" s="109">
        <f>Model!$AO$148</f>
        <v>1</v>
      </c>
      <c r="V91" s="109"/>
      <c r="W91" s="133">
        <f>S91*U91</f>
        <v>19055972.804837484</v>
      </c>
      <c r="X91" s="148">
        <f>Model!$AO$193</f>
        <v>0</v>
      </c>
      <c r="Y91" s="131">
        <f t="shared" si="13"/>
        <v>0</v>
      </c>
      <c r="Z91" s="109" t="s">
        <v>139</v>
      </c>
      <c r="AA91" s="109">
        <f>Model!$AO$192</f>
        <v>0.4</v>
      </c>
      <c r="AB91" s="109"/>
      <c r="AC91" s="120">
        <f t="shared" si="19"/>
        <v>0</v>
      </c>
      <c r="AD91" s="109">
        <f t="shared" si="20"/>
        <v>0</v>
      </c>
    </row>
    <row r="92" spans="3:30" x14ac:dyDescent="0.25">
      <c r="C92" s="150">
        <f>Model!$AO$13</f>
        <v>3004198</v>
      </c>
      <c r="D92" s="54">
        <f>Model!$AO$16</f>
        <v>0.38461538461538458</v>
      </c>
      <c r="E92" s="151">
        <f t="shared" si="14"/>
        <v>1155460.769230769</v>
      </c>
      <c r="F92" s="54">
        <f>Model!$AO$29</f>
        <v>1</v>
      </c>
      <c r="G92" s="151">
        <f t="shared" si="15"/>
        <v>1155460.769230769</v>
      </c>
      <c r="H92" s="108">
        <f>INDEX(Model!$AO$34:$AO$37,MATCH($J92,Model!$AN$34:$AN$37,0))</f>
        <v>0.719409242</v>
      </c>
      <c r="I92" s="129">
        <f t="shared" si="16"/>
        <v>831249.15615304443</v>
      </c>
      <c r="J92" s="109" t="s">
        <v>25</v>
      </c>
      <c r="K92" s="119">
        <f>INDEX(Model!$AO$38:$AO$41,MATCH($J92,Model!$AN$34:$AN$37,0))</f>
        <v>138.51662237471803</v>
      </c>
      <c r="L92" s="133">
        <f>K92*I92</f>
        <v>115141825.46215427</v>
      </c>
      <c r="M92" s="119">
        <f>Model!$AO$67</f>
        <v>0.16700000000000001</v>
      </c>
      <c r="N92" s="131">
        <f t="shared" si="21"/>
        <v>19228684.852179766</v>
      </c>
      <c r="O92" s="119" t="s">
        <v>30</v>
      </c>
      <c r="P92" s="119">
        <f>INDEX(Model!$AO$55:$AO$119,MATCH($O92,Model!$AN$55:$AN$119,0)+MATCH(Model!$AL$117,Model!$AL$55:$AL$119,0)-1)</f>
        <v>0.997</v>
      </c>
      <c r="Q92" s="133">
        <f t="shared" si="17"/>
        <v>19170998.797623225</v>
      </c>
      <c r="R92" s="148">
        <f>Model!$AO$149</f>
        <v>0.99399999999999999</v>
      </c>
      <c r="S92" s="131">
        <f t="shared" si="18"/>
        <v>19055972.804837484</v>
      </c>
      <c r="T92" s="109" t="s">
        <v>35</v>
      </c>
      <c r="U92" s="109">
        <f>Model!$AO$148</f>
        <v>1</v>
      </c>
      <c r="V92" s="109"/>
      <c r="W92" s="133">
        <f>S92*U92</f>
        <v>19055972.804837484</v>
      </c>
      <c r="X92" s="148">
        <f>Model!$AO$166</f>
        <v>0.94</v>
      </c>
      <c r="Y92" s="131">
        <f t="shared" si="13"/>
        <v>17912614.436547235</v>
      </c>
      <c r="Z92" s="109" t="s">
        <v>64</v>
      </c>
      <c r="AA92" s="109"/>
      <c r="AB92" s="109">
        <f>Model!$AO$165</f>
        <v>1.613</v>
      </c>
      <c r="AC92" s="120">
        <f t="shared" si="19"/>
        <v>0</v>
      </c>
      <c r="AD92" s="109">
        <f t="shared" si="20"/>
        <v>28893047.086150691</v>
      </c>
    </row>
    <row r="93" spans="3:30" x14ac:dyDescent="0.25">
      <c r="C93" s="150">
        <f>Model!$AO$13</f>
        <v>3004198</v>
      </c>
      <c r="D93" s="54">
        <f>Model!$AO$16</f>
        <v>0.38461538461538458</v>
      </c>
      <c r="E93" s="151">
        <f t="shared" si="14"/>
        <v>1155460.769230769</v>
      </c>
      <c r="F93" s="54">
        <f>Model!$AO$29</f>
        <v>1</v>
      </c>
      <c r="G93" s="151">
        <f t="shared" si="15"/>
        <v>1155460.769230769</v>
      </c>
      <c r="H93" s="108">
        <f>INDEX(Model!$AO$34:$AO$37,MATCH($J93,Model!$AN$34:$AN$37,0))</f>
        <v>0.719409242</v>
      </c>
      <c r="I93" s="129">
        <f t="shared" si="16"/>
        <v>831249.15615304443</v>
      </c>
      <c r="J93" s="109" t="s">
        <v>25</v>
      </c>
      <c r="K93" s="119">
        <f>INDEX(Model!$AO$38:$AO$41,MATCH($J93,Model!$AN$34:$AN$37,0))</f>
        <v>138.51662237471803</v>
      </c>
      <c r="L93" s="133">
        <f>K93*I93</f>
        <v>115141825.46215427</v>
      </c>
      <c r="M93" s="119">
        <f>Model!$AO$67</f>
        <v>0.16700000000000001</v>
      </c>
      <c r="N93" s="131">
        <f t="shared" si="21"/>
        <v>19228684.852179766</v>
      </c>
      <c r="O93" s="119" t="s">
        <v>30</v>
      </c>
      <c r="P93" s="119">
        <f>INDEX(Model!$AO$55:$AO$119,MATCH($O93,Model!$AN$55:$AN$119,0)+MATCH(Model!$AL$117,Model!$AL$55:$AL$119,0)-1)</f>
        <v>0.997</v>
      </c>
      <c r="Q93" s="133">
        <f t="shared" si="17"/>
        <v>19170998.797623225</v>
      </c>
      <c r="R93" s="148">
        <f>Model!$AO$149</f>
        <v>0.99399999999999999</v>
      </c>
      <c r="S93" s="131">
        <f t="shared" si="18"/>
        <v>19055972.804837484</v>
      </c>
      <c r="T93" s="109" t="s">
        <v>35</v>
      </c>
      <c r="U93" s="109">
        <f>Model!$AO$148</f>
        <v>1</v>
      </c>
      <c r="V93" s="109"/>
      <c r="W93" s="133">
        <f>S93*U93</f>
        <v>19055972.804837484</v>
      </c>
      <c r="X93" s="148">
        <f>Model!$AO$206</f>
        <v>0.05</v>
      </c>
      <c r="Y93" s="131">
        <f t="shared" si="13"/>
        <v>952798.64024187427</v>
      </c>
      <c r="Z93" s="109" t="s">
        <v>65</v>
      </c>
      <c r="AA93" s="109"/>
      <c r="AB93" s="109">
        <f>Model!$AO$205</f>
        <v>1.111</v>
      </c>
      <c r="AC93" s="120">
        <f t="shared" si="19"/>
        <v>0</v>
      </c>
      <c r="AD93" s="109">
        <f t="shared" si="20"/>
        <v>1058559.2893087224</v>
      </c>
    </row>
    <row r="94" spans="3:30" x14ac:dyDescent="0.25">
      <c r="C94" s="150">
        <f>Model!$AO$13</f>
        <v>3004198</v>
      </c>
      <c r="D94" s="54">
        <f>Model!$AO$16</f>
        <v>0.38461538461538458</v>
      </c>
      <c r="E94" s="151">
        <f t="shared" si="14"/>
        <v>1155460.769230769</v>
      </c>
      <c r="F94" s="54">
        <f>Model!$AO$29</f>
        <v>1</v>
      </c>
      <c r="G94" s="151">
        <f t="shared" si="15"/>
        <v>1155460.769230769</v>
      </c>
      <c r="H94" s="108">
        <f>INDEX(Model!$AO$34:$AO$37,MATCH($J94,Model!$AN$34:$AN$37,0))</f>
        <v>0.719409242</v>
      </c>
      <c r="I94" s="129">
        <f t="shared" si="16"/>
        <v>831249.15615304443</v>
      </c>
      <c r="J94" s="109" t="s">
        <v>25</v>
      </c>
      <c r="K94" s="119">
        <f>INDEX(Model!$AO$38:$AO$41,MATCH($J94,Model!$AN$34:$AN$37,0))</f>
        <v>138.51662237471803</v>
      </c>
      <c r="L94" s="133">
        <f>K94*I94</f>
        <v>115141825.46215427</v>
      </c>
      <c r="M94" s="119">
        <f>Model!$AO$106</f>
        <v>0</v>
      </c>
      <c r="N94" s="131">
        <f t="shared" si="21"/>
        <v>0</v>
      </c>
      <c r="O94" s="119" t="s">
        <v>32</v>
      </c>
      <c r="P94" s="119">
        <f>INDEX(Model!$AO$55:$AO$119,MATCH($O94,Model!$AN$55:$AN$119,0)+MATCH(Model!$AL$117,Model!$AL$55:$AL$119,0)-1)</f>
        <v>0.36</v>
      </c>
      <c r="Q94" s="133">
        <f t="shared" si="17"/>
        <v>0</v>
      </c>
      <c r="R94" s="148">
        <f>Model!$AO$139</f>
        <v>6.0000000000000001E-3</v>
      </c>
      <c r="S94" s="131">
        <f t="shared" si="18"/>
        <v>0</v>
      </c>
      <c r="T94" s="109" t="s">
        <v>34</v>
      </c>
      <c r="U94" s="109"/>
      <c r="V94" s="109">
        <f>Model!$AO$138</f>
        <v>1</v>
      </c>
      <c r="W94" s="133"/>
      <c r="X94" s="148"/>
      <c r="Y94" s="131">
        <f t="shared" si="13"/>
        <v>0</v>
      </c>
      <c r="Z94" s="109"/>
      <c r="AA94" s="109"/>
      <c r="AB94" s="109"/>
      <c r="AC94" s="120">
        <f t="shared" si="19"/>
        <v>0</v>
      </c>
      <c r="AD94" s="109">
        <f t="shared" si="20"/>
        <v>0</v>
      </c>
    </row>
    <row r="95" spans="3:30" x14ac:dyDescent="0.25">
      <c r="C95" s="150">
        <f>Model!$AO$13</f>
        <v>3004198</v>
      </c>
      <c r="D95" s="54">
        <f>Model!$AO$16</f>
        <v>0.38461538461538458</v>
      </c>
      <c r="E95" s="151">
        <f t="shared" si="14"/>
        <v>1155460.769230769</v>
      </c>
      <c r="F95" s="54">
        <f>Model!$AO$29</f>
        <v>1</v>
      </c>
      <c r="G95" s="151">
        <f t="shared" si="15"/>
        <v>1155460.769230769</v>
      </c>
      <c r="H95" s="108">
        <f>INDEX(Model!$AO$34:$AO$37,MATCH($J95,Model!$AN$34:$AN$37,0))</f>
        <v>0.719409242</v>
      </c>
      <c r="I95" s="129">
        <f t="shared" si="16"/>
        <v>831249.15615304443</v>
      </c>
      <c r="J95" s="109" t="s">
        <v>25</v>
      </c>
      <c r="K95" s="119">
        <f>INDEX(Model!$AO$38:$AO$41,MATCH($J95,Model!$AN$34:$AN$37,0))</f>
        <v>138.51662237471803</v>
      </c>
      <c r="L95" s="133">
        <f>K95*I95</f>
        <v>115141825.46215427</v>
      </c>
      <c r="M95" s="119">
        <f>Model!$AO$106</f>
        <v>0</v>
      </c>
      <c r="N95" s="131">
        <f t="shared" si="21"/>
        <v>0</v>
      </c>
      <c r="O95" s="119" t="s">
        <v>32</v>
      </c>
      <c r="P95" s="119">
        <f>INDEX(Model!$AO$55:$AO$119,MATCH($O95,Model!$AN$55:$AN$119,0)+MATCH(Model!$AL$117,Model!$AL$55:$AL$119,0)-1)</f>
        <v>0.36</v>
      </c>
      <c r="Q95" s="133">
        <f t="shared" si="17"/>
        <v>0</v>
      </c>
      <c r="R95" s="148">
        <f>Model!$AO$149</f>
        <v>0.99399999999999999</v>
      </c>
      <c r="S95" s="131">
        <f t="shared" si="18"/>
        <v>0</v>
      </c>
      <c r="T95" s="109" t="s">
        <v>35</v>
      </c>
      <c r="U95" s="109">
        <f>Model!$AO$148</f>
        <v>1</v>
      </c>
      <c r="V95" s="109"/>
      <c r="W95" s="133">
        <f>S95*U95</f>
        <v>0</v>
      </c>
      <c r="X95" s="148">
        <f>Model!$AO$180</f>
        <v>0.01</v>
      </c>
      <c r="Y95" s="131">
        <f t="shared" si="13"/>
        <v>0</v>
      </c>
      <c r="Z95" s="109" t="s">
        <v>66</v>
      </c>
      <c r="AA95" s="109">
        <f>Model!$AO$179</f>
        <v>0.52600000000000002</v>
      </c>
      <c r="AB95" s="109"/>
      <c r="AC95" s="120">
        <f t="shared" si="19"/>
        <v>0</v>
      </c>
      <c r="AD95" s="109">
        <f t="shared" si="20"/>
        <v>0</v>
      </c>
    </row>
    <row r="96" spans="3:30" x14ac:dyDescent="0.25">
      <c r="C96" s="150">
        <f>Model!$AO$13</f>
        <v>3004198</v>
      </c>
      <c r="D96" s="54">
        <f>Model!$AO$16</f>
        <v>0.38461538461538458</v>
      </c>
      <c r="E96" s="151">
        <f t="shared" si="14"/>
        <v>1155460.769230769</v>
      </c>
      <c r="F96" s="54">
        <f>Model!$AO$29</f>
        <v>1</v>
      </c>
      <c r="G96" s="151">
        <f t="shared" si="15"/>
        <v>1155460.769230769</v>
      </c>
      <c r="H96" s="108">
        <f>INDEX(Model!$AO$34:$AO$37,MATCH($J96,Model!$AN$34:$AN$37,0))</f>
        <v>0.719409242</v>
      </c>
      <c r="I96" s="129">
        <f t="shared" si="16"/>
        <v>831249.15615304443</v>
      </c>
      <c r="J96" s="109" t="s">
        <v>25</v>
      </c>
      <c r="K96" s="119">
        <f>INDEX(Model!$AO$38:$AO$41,MATCH($J96,Model!$AN$34:$AN$37,0))</f>
        <v>138.51662237471803</v>
      </c>
      <c r="L96" s="133">
        <f>K96*I96</f>
        <v>115141825.46215427</v>
      </c>
      <c r="M96" s="119">
        <f>Model!$AO$106</f>
        <v>0</v>
      </c>
      <c r="N96" s="131">
        <f t="shared" si="21"/>
        <v>0</v>
      </c>
      <c r="O96" s="119" t="s">
        <v>32</v>
      </c>
      <c r="P96" s="119">
        <f>INDEX(Model!$AO$55:$AO$119,MATCH($O96,Model!$AN$55:$AN$119,0)+MATCH(Model!$AL$117,Model!$AL$55:$AL$119,0)-1)</f>
        <v>0.36</v>
      </c>
      <c r="Q96" s="133">
        <f t="shared" si="17"/>
        <v>0</v>
      </c>
      <c r="R96" s="148">
        <f>Model!$AO$149</f>
        <v>0.99399999999999999</v>
      </c>
      <c r="S96" s="131">
        <f t="shared" si="18"/>
        <v>0</v>
      </c>
      <c r="T96" s="109" t="s">
        <v>35</v>
      </c>
      <c r="U96" s="109">
        <f>Model!$AO$148</f>
        <v>1</v>
      </c>
      <c r="V96" s="109"/>
      <c r="W96" s="133">
        <f>S96*U96</f>
        <v>0</v>
      </c>
      <c r="X96" s="148">
        <f>Model!$AO$193</f>
        <v>0</v>
      </c>
      <c r="Y96" s="131">
        <f t="shared" si="13"/>
        <v>0</v>
      </c>
      <c r="Z96" s="109" t="s">
        <v>139</v>
      </c>
      <c r="AA96" s="109">
        <f>Model!$AO$192</f>
        <v>0.4</v>
      </c>
      <c r="AB96" s="109"/>
      <c r="AC96" s="120">
        <f t="shared" si="19"/>
        <v>0</v>
      </c>
      <c r="AD96" s="109">
        <f t="shared" si="20"/>
        <v>0</v>
      </c>
    </row>
    <row r="97" spans="3:30" x14ac:dyDescent="0.25">
      <c r="C97" s="150">
        <f>Model!$AO$13</f>
        <v>3004198</v>
      </c>
      <c r="D97" s="54">
        <f>Model!$AO$16</f>
        <v>0.38461538461538458</v>
      </c>
      <c r="E97" s="151">
        <f t="shared" si="14"/>
        <v>1155460.769230769</v>
      </c>
      <c r="F97" s="54">
        <f>Model!$AO$29</f>
        <v>1</v>
      </c>
      <c r="G97" s="151">
        <f t="shared" si="15"/>
        <v>1155460.769230769</v>
      </c>
      <c r="H97" s="108">
        <f>INDEX(Model!$AO$34:$AO$37,MATCH($J97,Model!$AN$34:$AN$37,0))</f>
        <v>0.719409242</v>
      </c>
      <c r="I97" s="129">
        <f t="shared" si="16"/>
        <v>831249.15615304443</v>
      </c>
      <c r="J97" s="109" t="s">
        <v>25</v>
      </c>
      <c r="K97" s="119">
        <f>INDEX(Model!$AO$38:$AO$41,MATCH($J97,Model!$AN$34:$AN$37,0))</f>
        <v>138.51662237471803</v>
      </c>
      <c r="L97" s="133">
        <f>K97*I97</f>
        <v>115141825.46215427</v>
      </c>
      <c r="M97" s="119">
        <f>Model!$AO$106</f>
        <v>0</v>
      </c>
      <c r="N97" s="131">
        <f t="shared" si="21"/>
        <v>0</v>
      </c>
      <c r="O97" s="119" t="s">
        <v>32</v>
      </c>
      <c r="P97" s="119">
        <f>INDEX(Model!$AO$55:$AO$119,MATCH($O97,Model!$AN$55:$AN$119,0)+MATCH(Model!$AL$117,Model!$AL$55:$AL$119,0)-1)</f>
        <v>0.36</v>
      </c>
      <c r="Q97" s="133">
        <f t="shared" si="17"/>
        <v>0</v>
      </c>
      <c r="R97" s="148">
        <f>Model!$AO$149</f>
        <v>0.99399999999999999</v>
      </c>
      <c r="S97" s="131">
        <f t="shared" si="18"/>
        <v>0</v>
      </c>
      <c r="T97" s="109" t="s">
        <v>35</v>
      </c>
      <c r="U97" s="109">
        <f>Model!$AO$148</f>
        <v>1</v>
      </c>
      <c r="V97" s="109"/>
      <c r="W97" s="133">
        <f>S97*U97</f>
        <v>0</v>
      </c>
      <c r="X97" s="148">
        <f>Model!$AO$166</f>
        <v>0.94</v>
      </c>
      <c r="Y97" s="131">
        <f t="shared" si="13"/>
        <v>0</v>
      </c>
      <c r="Z97" s="109" t="s">
        <v>64</v>
      </c>
      <c r="AA97" s="109"/>
      <c r="AB97" s="109">
        <f>Model!$AO$165</f>
        <v>1.613</v>
      </c>
      <c r="AC97" s="120">
        <f t="shared" si="19"/>
        <v>0</v>
      </c>
      <c r="AD97" s="109">
        <f t="shared" si="20"/>
        <v>0</v>
      </c>
    </row>
    <row r="98" spans="3:30" x14ac:dyDescent="0.25">
      <c r="C98" s="150">
        <f>Model!$AO$13</f>
        <v>3004198</v>
      </c>
      <c r="D98" s="54">
        <f>Model!$AO$16</f>
        <v>0.38461538461538458</v>
      </c>
      <c r="E98" s="151">
        <f t="shared" si="14"/>
        <v>1155460.769230769</v>
      </c>
      <c r="F98" s="54">
        <f>Model!$AO$29</f>
        <v>1</v>
      </c>
      <c r="G98" s="151">
        <f t="shared" si="15"/>
        <v>1155460.769230769</v>
      </c>
      <c r="H98" s="108">
        <f>INDEX(Model!$AO$34:$AO$37,MATCH($J98,Model!$AN$34:$AN$37,0))</f>
        <v>0.719409242</v>
      </c>
      <c r="I98" s="129">
        <f t="shared" si="16"/>
        <v>831249.15615304443</v>
      </c>
      <c r="J98" s="109" t="s">
        <v>25</v>
      </c>
      <c r="K98" s="119">
        <f>INDEX(Model!$AO$38:$AO$41,MATCH($J98,Model!$AN$34:$AN$37,0))</f>
        <v>138.51662237471803</v>
      </c>
      <c r="L98" s="133">
        <f>K98*I98</f>
        <v>115141825.46215427</v>
      </c>
      <c r="M98" s="119">
        <f>Model!$AO$106</f>
        <v>0</v>
      </c>
      <c r="N98" s="131">
        <f t="shared" si="21"/>
        <v>0</v>
      </c>
      <c r="O98" s="119" t="s">
        <v>32</v>
      </c>
      <c r="P98" s="119">
        <f>INDEX(Model!$AO$55:$AO$119,MATCH($O98,Model!$AN$55:$AN$119,0)+MATCH(Model!$AL$117,Model!$AL$55:$AL$119,0)-1)</f>
        <v>0.36</v>
      </c>
      <c r="Q98" s="133">
        <f t="shared" si="17"/>
        <v>0</v>
      </c>
      <c r="R98" s="148">
        <f>Model!$AO$149</f>
        <v>0.99399999999999999</v>
      </c>
      <c r="S98" s="131">
        <f t="shared" si="18"/>
        <v>0</v>
      </c>
      <c r="T98" s="109" t="s">
        <v>35</v>
      </c>
      <c r="U98" s="109">
        <f>Model!$AO$148</f>
        <v>1</v>
      </c>
      <c r="V98" s="109"/>
      <c r="W98" s="133">
        <f>S98*U98</f>
        <v>0</v>
      </c>
      <c r="X98" s="148">
        <f>Model!$AO$206</f>
        <v>0.05</v>
      </c>
      <c r="Y98" s="131">
        <f t="shared" si="13"/>
        <v>0</v>
      </c>
      <c r="Z98" s="109" t="s">
        <v>65</v>
      </c>
      <c r="AA98" s="109"/>
      <c r="AB98" s="109">
        <f>Model!$AO$205</f>
        <v>1.111</v>
      </c>
      <c r="AC98" s="120">
        <f t="shared" si="19"/>
        <v>0</v>
      </c>
      <c r="AD98" s="109">
        <f t="shared" si="20"/>
        <v>0</v>
      </c>
    </row>
    <row r="99" spans="3:30" x14ac:dyDescent="0.25">
      <c r="C99" s="150">
        <f>Model!$AO$13</f>
        <v>3004198</v>
      </c>
      <c r="D99" s="54">
        <f>Model!$AO$16</f>
        <v>0.38461538461538458</v>
      </c>
      <c r="E99" s="151">
        <f t="shared" si="14"/>
        <v>1155460.769230769</v>
      </c>
      <c r="F99" s="54">
        <f>Model!$AO$29</f>
        <v>1</v>
      </c>
      <c r="G99" s="151">
        <f t="shared" si="15"/>
        <v>1155460.769230769</v>
      </c>
      <c r="H99" s="108">
        <f>INDEX(Model!$AO$34:$AO$37,MATCH($J99,Model!$AN$34:$AN$37,0))</f>
        <v>0.719409242</v>
      </c>
      <c r="I99" s="129">
        <f t="shared" si="16"/>
        <v>831249.15615304443</v>
      </c>
      <c r="J99" s="109" t="s">
        <v>25</v>
      </c>
      <c r="K99" s="119">
        <f>INDEX(Model!$AO$38:$AO$41,MATCH($J99,Model!$AN$34:$AN$37,0))</f>
        <v>138.51662237471803</v>
      </c>
      <c r="L99" s="133">
        <f>K99*I99</f>
        <v>115141825.46215427</v>
      </c>
      <c r="M99" s="119">
        <f>Model!$AO$93</f>
        <v>0</v>
      </c>
      <c r="N99" s="131">
        <f t="shared" si="21"/>
        <v>0</v>
      </c>
      <c r="O99" s="119" t="s">
        <v>31</v>
      </c>
      <c r="P99" s="119">
        <f>INDEX(Model!$AO$55:$AO$119,MATCH($O99,Model!$AN$55:$AN$119,0)+MATCH(Model!$AL$117,Model!$AL$55:$AL$119,0)-1)</f>
        <v>0.51500000000000001</v>
      </c>
      <c r="Q99" s="133">
        <f t="shared" si="17"/>
        <v>0</v>
      </c>
      <c r="R99" s="148">
        <f>Model!$AO$139</f>
        <v>6.0000000000000001E-3</v>
      </c>
      <c r="S99" s="131">
        <f t="shared" si="18"/>
        <v>0</v>
      </c>
      <c r="T99" s="109" t="s">
        <v>34</v>
      </c>
      <c r="U99" s="109"/>
      <c r="V99" s="109">
        <f>Model!$AO$138</f>
        <v>1</v>
      </c>
      <c r="W99" s="133"/>
      <c r="X99" s="148"/>
      <c r="Y99" s="131">
        <f t="shared" si="13"/>
        <v>0</v>
      </c>
      <c r="Z99" s="109"/>
      <c r="AA99" s="109"/>
      <c r="AB99" s="109"/>
      <c r="AC99" s="120">
        <f t="shared" si="19"/>
        <v>0</v>
      </c>
      <c r="AD99" s="109">
        <f t="shared" si="20"/>
        <v>0</v>
      </c>
    </row>
    <row r="100" spans="3:30" x14ac:dyDescent="0.25">
      <c r="C100" s="150">
        <f>Model!$AO$13</f>
        <v>3004198</v>
      </c>
      <c r="D100" s="54">
        <f>Model!$AO$16</f>
        <v>0.38461538461538458</v>
      </c>
      <c r="E100" s="151">
        <f t="shared" si="14"/>
        <v>1155460.769230769</v>
      </c>
      <c r="F100" s="54">
        <f>Model!$AO$29</f>
        <v>1</v>
      </c>
      <c r="G100" s="151">
        <f t="shared" si="15"/>
        <v>1155460.769230769</v>
      </c>
      <c r="H100" s="108">
        <f>INDEX(Model!$AO$34:$AO$37,MATCH($J100,Model!$AN$34:$AN$37,0))</f>
        <v>0.719409242</v>
      </c>
      <c r="I100" s="129">
        <f t="shared" si="16"/>
        <v>831249.15615304443</v>
      </c>
      <c r="J100" s="109" t="s">
        <v>25</v>
      </c>
      <c r="K100" s="119">
        <f>INDEX(Model!$AO$38:$AO$41,MATCH($J100,Model!$AN$34:$AN$37,0))</f>
        <v>138.51662237471803</v>
      </c>
      <c r="L100" s="133">
        <f>K100*I100</f>
        <v>115141825.46215427</v>
      </c>
      <c r="M100" s="119">
        <f>Model!$AO$93</f>
        <v>0</v>
      </c>
      <c r="N100" s="131">
        <f t="shared" si="21"/>
        <v>0</v>
      </c>
      <c r="O100" s="119" t="s">
        <v>31</v>
      </c>
      <c r="P100" s="119">
        <f>INDEX(Model!$AO$55:$AO$119,MATCH($O100,Model!$AN$55:$AN$119,0)+MATCH(Model!$AL$117,Model!$AL$55:$AL$119,0)-1)</f>
        <v>0.51500000000000001</v>
      </c>
      <c r="Q100" s="133">
        <f t="shared" si="17"/>
        <v>0</v>
      </c>
      <c r="R100" s="148">
        <f>Model!$AO$149</f>
        <v>0.99399999999999999</v>
      </c>
      <c r="S100" s="131">
        <f t="shared" si="18"/>
        <v>0</v>
      </c>
      <c r="T100" s="109" t="s">
        <v>35</v>
      </c>
      <c r="U100" s="109">
        <f>Model!$AO$148</f>
        <v>1</v>
      </c>
      <c r="V100" s="109"/>
      <c r="W100" s="133">
        <f>S100*U100</f>
        <v>0</v>
      </c>
      <c r="X100" s="148">
        <f>Model!$AO$180</f>
        <v>0.01</v>
      </c>
      <c r="Y100" s="131">
        <f t="shared" si="13"/>
        <v>0</v>
      </c>
      <c r="Z100" s="109" t="s">
        <v>66</v>
      </c>
      <c r="AA100" s="109">
        <f>Model!$AO$179</f>
        <v>0.52600000000000002</v>
      </c>
      <c r="AB100" s="109"/>
      <c r="AC100" s="120">
        <f t="shared" si="19"/>
        <v>0</v>
      </c>
      <c r="AD100" s="109">
        <f t="shared" si="20"/>
        <v>0</v>
      </c>
    </row>
    <row r="101" spans="3:30" x14ac:dyDescent="0.25">
      <c r="C101" s="150">
        <f>Model!$AO$13</f>
        <v>3004198</v>
      </c>
      <c r="D101" s="54">
        <f>Model!$AO$16</f>
        <v>0.38461538461538458</v>
      </c>
      <c r="E101" s="151">
        <f t="shared" si="14"/>
        <v>1155460.769230769</v>
      </c>
      <c r="F101" s="54">
        <f>Model!$AO$29</f>
        <v>1</v>
      </c>
      <c r="G101" s="151">
        <f t="shared" si="15"/>
        <v>1155460.769230769</v>
      </c>
      <c r="H101" s="108">
        <f>INDEX(Model!$AO$34:$AO$37,MATCH($J101,Model!$AN$34:$AN$37,0))</f>
        <v>0.719409242</v>
      </c>
      <c r="I101" s="129">
        <f t="shared" si="16"/>
        <v>831249.15615304443</v>
      </c>
      <c r="J101" s="109" t="s">
        <v>25</v>
      </c>
      <c r="K101" s="119">
        <f>INDEX(Model!$AO$38:$AO$41,MATCH($J101,Model!$AN$34:$AN$37,0))</f>
        <v>138.51662237471803</v>
      </c>
      <c r="L101" s="133">
        <f>K101*I101</f>
        <v>115141825.46215427</v>
      </c>
      <c r="M101" s="119">
        <f>Model!$AO$93</f>
        <v>0</v>
      </c>
      <c r="N101" s="131">
        <f t="shared" si="21"/>
        <v>0</v>
      </c>
      <c r="O101" s="119" t="s">
        <v>31</v>
      </c>
      <c r="P101" s="119">
        <f>INDEX(Model!$AO$55:$AO$119,MATCH($O101,Model!$AN$55:$AN$119,0)+MATCH(Model!$AL$117,Model!$AL$55:$AL$119,0)-1)</f>
        <v>0.51500000000000001</v>
      </c>
      <c r="Q101" s="133">
        <f t="shared" si="17"/>
        <v>0</v>
      </c>
      <c r="R101" s="148">
        <f>Model!$AO$149</f>
        <v>0.99399999999999999</v>
      </c>
      <c r="S101" s="131">
        <f t="shared" si="18"/>
        <v>0</v>
      </c>
      <c r="T101" s="109" t="s">
        <v>35</v>
      </c>
      <c r="U101" s="109">
        <f>Model!$AO$148</f>
        <v>1</v>
      </c>
      <c r="V101" s="109"/>
      <c r="W101" s="133">
        <f>S101*U101</f>
        <v>0</v>
      </c>
      <c r="X101" s="148">
        <f>Model!$AO$193</f>
        <v>0</v>
      </c>
      <c r="Y101" s="131">
        <f t="shared" si="13"/>
        <v>0</v>
      </c>
      <c r="Z101" s="109" t="s">
        <v>139</v>
      </c>
      <c r="AA101" s="109">
        <f>Model!$AO$192</f>
        <v>0.4</v>
      </c>
      <c r="AB101" s="109"/>
      <c r="AC101" s="120">
        <f t="shared" si="19"/>
        <v>0</v>
      </c>
      <c r="AD101" s="109">
        <f t="shared" si="20"/>
        <v>0</v>
      </c>
    </row>
    <row r="102" spans="3:30" x14ac:dyDescent="0.25">
      <c r="C102" s="150">
        <f>Model!$AO$13</f>
        <v>3004198</v>
      </c>
      <c r="D102" s="54">
        <f>Model!$AO$16</f>
        <v>0.38461538461538458</v>
      </c>
      <c r="E102" s="151">
        <f t="shared" si="14"/>
        <v>1155460.769230769</v>
      </c>
      <c r="F102" s="54">
        <f>Model!$AO$29</f>
        <v>1</v>
      </c>
      <c r="G102" s="151">
        <f t="shared" si="15"/>
        <v>1155460.769230769</v>
      </c>
      <c r="H102" s="108">
        <f>INDEX(Model!$AO$34:$AO$37,MATCH($J102,Model!$AN$34:$AN$37,0))</f>
        <v>0.719409242</v>
      </c>
      <c r="I102" s="129">
        <f t="shared" si="16"/>
        <v>831249.15615304443</v>
      </c>
      <c r="J102" s="109" t="s">
        <v>25</v>
      </c>
      <c r="K102" s="119">
        <f>INDEX(Model!$AO$38:$AO$41,MATCH($J102,Model!$AN$34:$AN$37,0))</f>
        <v>138.51662237471803</v>
      </c>
      <c r="L102" s="133">
        <f>K102*I102</f>
        <v>115141825.46215427</v>
      </c>
      <c r="M102" s="119">
        <f>Model!$AO$93</f>
        <v>0</v>
      </c>
      <c r="N102" s="131">
        <f t="shared" si="21"/>
        <v>0</v>
      </c>
      <c r="O102" s="119" t="s">
        <v>31</v>
      </c>
      <c r="P102" s="119">
        <f>INDEX(Model!$AO$55:$AO$119,MATCH($O102,Model!$AN$55:$AN$119,0)+MATCH(Model!$AL$117,Model!$AL$55:$AL$119,0)-1)</f>
        <v>0.51500000000000001</v>
      </c>
      <c r="Q102" s="133">
        <f t="shared" si="17"/>
        <v>0</v>
      </c>
      <c r="R102" s="148">
        <f>Model!$AO$149</f>
        <v>0.99399999999999999</v>
      </c>
      <c r="S102" s="131">
        <f t="shared" si="18"/>
        <v>0</v>
      </c>
      <c r="T102" s="109" t="s">
        <v>35</v>
      </c>
      <c r="U102" s="109">
        <f>Model!$AO$148</f>
        <v>1</v>
      </c>
      <c r="V102" s="109"/>
      <c r="W102" s="133">
        <f>S102*U102</f>
        <v>0</v>
      </c>
      <c r="X102" s="148">
        <f>Model!$AO$166</f>
        <v>0.94</v>
      </c>
      <c r="Y102" s="131">
        <f t="shared" si="13"/>
        <v>0</v>
      </c>
      <c r="Z102" s="109" t="s">
        <v>64</v>
      </c>
      <c r="AA102" s="109"/>
      <c r="AB102" s="109">
        <f>Model!$AO$165</f>
        <v>1.613</v>
      </c>
      <c r="AC102" s="120">
        <f t="shared" si="19"/>
        <v>0</v>
      </c>
      <c r="AD102" s="109">
        <f t="shared" si="20"/>
        <v>0</v>
      </c>
    </row>
    <row r="103" spans="3:30" x14ac:dyDescent="0.25">
      <c r="C103" s="150">
        <f>Model!$AO$13</f>
        <v>3004198</v>
      </c>
      <c r="D103" s="54">
        <f>Model!$AO$16</f>
        <v>0.38461538461538458</v>
      </c>
      <c r="E103" s="151">
        <f t="shared" si="14"/>
        <v>1155460.769230769</v>
      </c>
      <c r="F103" s="54">
        <f>Model!$AO$29</f>
        <v>1</v>
      </c>
      <c r="G103" s="151">
        <f t="shared" si="15"/>
        <v>1155460.769230769</v>
      </c>
      <c r="H103" s="108">
        <f>INDEX(Model!$AO$34:$AO$37,MATCH($J103,Model!$AN$34:$AN$37,0))</f>
        <v>0.719409242</v>
      </c>
      <c r="I103" s="129">
        <f t="shared" si="16"/>
        <v>831249.15615304443</v>
      </c>
      <c r="J103" s="109" t="s">
        <v>25</v>
      </c>
      <c r="K103" s="119">
        <f>INDEX(Model!$AO$38:$AO$41,MATCH($J103,Model!$AN$34:$AN$37,0))</f>
        <v>138.51662237471803</v>
      </c>
      <c r="L103" s="133">
        <f>K103*I103</f>
        <v>115141825.46215427</v>
      </c>
      <c r="M103" s="119">
        <f>Model!$AO$93</f>
        <v>0</v>
      </c>
      <c r="N103" s="131">
        <f t="shared" si="21"/>
        <v>0</v>
      </c>
      <c r="O103" s="119" t="s">
        <v>31</v>
      </c>
      <c r="P103" s="119">
        <f>INDEX(Model!$AO$55:$AO$119,MATCH($O103,Model!$AN$55:$AN$119,0)+MATCH(Model!$AL$117,Model!$AL$55:$AL$119,0)-1)</f>
        <v>0.51500000000000001</v>
      </c>
      <c r="Q103" s="133">
        <f t="shared" si="17"/>
        <v>0</v>
      </c>
      <c r="R103" s="148">
        <f>Model!$AO$149</f>
        <v>0.99399999999999999</v>
      </c>
      <c r="S103" s="131">
        <f t="shared" si="18"/>
        <v>0</v>
      </c>
      <c r="T103" s="109" t="s">
        <v>35</v>
      </c>
      <c r="U103" s="109">
        <f>Model!$AO$148</f>
        <v>1</v>
      </c>
      <c r="V103" s="109"/>
      <c r="W103" s="133">
        <f>S103*U103</f>
        <v>0</v>
      </c>
      <c r="X103" s="148">
        <f>Model!$AO$206</f>
        <v>0.05</v>
      </c>
      <c r="Y103" s="131">
        <f t="shared" si="13"/>
        <v>0</v>
      </c>
      <c r="Z103" s="109" t="s">
        <v>65</v>
      </c>
      <c r="AA103" s="109"/>
      <c r="AB103" s="109">
        <f>Model!$AO$205</f>
        <v>1.111</v>
      </c>
      <c r="AC103" s="120">
        <f t="shared" si="19"/>
        <v>0</v>
      </c>
      <c r="AD103" s="109">
        <f t="shared" si="20"/>
        <v>0</v>
      </c>
    </row>
  </sheetData>
  <sortState xmlns:xlrd2="http://schemas.microsoft.com/office/spreadsheetml/2017/richdata2" ref="O4:O25">
    <sortCondition ref="O25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F0BE-7E79-4AE7-BB07-A4813FC3C148}">
  <sheetPr codeName="Sheet6">
    <tabColor rgb="FFFFFF00"/>
  </sheetPr>
  <dimension ref="A1:AY103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5" x14ac:dyDescent="0.25"/>
  <cols>
    <col min="1" max="1" width="35.85546875" bestFit="1" customWidth="1"/>
    <col min="2" max="2" width="4.42578125" customWidth="1"/>
    <col min="3" max="3" width="11.7109375" style="114" bestFit="1" customWidth="1"/>
    <col min="4" max="4" width="12.140625" customWidth="1"/>
    <col min="5" max="5" width="11.7109375" style="114" bestFit="1" customWidth="1"/>
    <col min="6" max="6" width="10.140625" customWidth="1"/>
    <col min="7" max="7" width="11.7109375" style="114" bestFit="1" customWidth="1"/>
    <col min="8" max="8" width="11.85546875" style="104" bestFit="1" customWidth="1"/>
    <col min="9" max="9" width="10.140625" style="104" bestFit="1" customWidth="1"/>
    <col min="10" max="10" width="28.42578125" bestFit="1" customWidth="1"/>
    <col min="11" max="11" width="11.28515625" customWidth="1"/>
    <col min="12" max="12" width="13.85546875" style="114" bestFit="1" customWidth="1"/>
    <col min="13" max="13" width="17.5703125" style="104" customWidth="1"/>
    <col min="14" max="14" width="19.42578125" style="104" customWidth="1"/>
    <col min="15" max="15" width="13.85546875" style="104" customWidth="1"/>
    <col min="16" max="16" width="18.140625" style="104" customWidth="1"/>
    <col min="17" max="17" width="9.5703125" style="104" customWidth="1"/>
    <col min="18" max="18" width="2" bestFit="1" customWidth="1"/>
    <col min="19" max="19" width="16.42578125" bestFit="1" customWidth="1"/>
    <col min="20" max="20" width="13.42578125" style="114" bestFit="1" customWidth="1"/>
    <col min="21" max="21" width="17.42578125" style="104" customWidth="1"/>
    <col min="22" max="22" width="21.42578125" style="104" customWidth="1"/>
    <col min="23" max="23" width="13.28515625" bestFit="1" customWidth="1"/>
    <col min="24" max="24" width="17" customWidth="1"/>
    <col min="25" max="25" width="17.42578125" bestFit="1" customWidth="1"/>
    <col min="26" max="26" width="2" bestFit="1" customWidth="1"/>
    <col min="27" max="27" width="17.7109375" bestFit="1" customWidth="1"/>
    <col min="28" max="28" width="15.42578125" bestFit="1" customWidth="1"/>
    <col min="29" max="29" width="12.7109375" style="114" bestFit="1" customWidth="1"/>
    <col min="30" max="30" width="20.140625" style="104" customWidth="1"/>
    <col min="31" max="31" width="20.85546875" style="104" customWidth="1"/>
    <col min="32" max="32" width="13.28515625" bestFit="1" customWidth="1"/>
    <col min="33" max="33" width="21.42578125" customWidth="1"/>
    <col min="34" max="34" width="25.7109375" style="101" bestFit="1" customWidth="1"/>
    <col min="35" max="35" width="2" bestFit="1" customWidth="1"/>
    <col min="36" max="36" width="8.28515625" style="101" bestFit="1" customWidth="1"/>
    <col min="37" max="37" width="13.140625" bestFit="1" customWidth="1"/>
    <col min="38" max="38" width="12.7109375" style="114" bestFit="1" customWidth="1"/>
    <col min="39" max="39" width="13.140625" style="101" bestFit="1" customWidth="1"/>
    <col min="42" max="42" width="25.7109375" bestFit="1" customWidth="1"/>
    <col min="43" max="43" width="16.7109375" bestFit="1" customWidth="1"/>
    <col min="48" max="48" width="9.85546875" customWidth="1"/>
    <col min="49" max="49" width="10" customWidth="1"/>
  </cols>
  <sheetData>
    <row r="1" spans="1:51" s="156" customFormat="1" x14ac:dyDescent="0.25">
      <c r="C1" s="157" t="s">
        <v>5</v>
      </c>
      <c r="E1" s="157" t="s">
        <v>0</v>
      </c>
      <c r="G1" s="157" t="s">
        <v>130</v>
      </c>
      <c r="L1" s="157" t="s">
        <v>1</v>
      </c>
      <c r="M1" s="158"/>
      <c r="N1" s="158"/>
      <c r="O1" s="158"/>
      <c r="P1" s="158"/>
      <c r="Q1" s="158"/>
      <c r="T1" s="157" t="s">
        <v>86</v>
      </c>
      <c r="U1" s="158"/>
      <c r="V1" s="158"/>
      <c r="AC1" s="157" t="s">
        <v>35</v>
      </c>
      <c r="AD1" s="158"/>
      <c r="AE1" s="158"/>
      <c r="AH1" s="159"/>
      <c r="AJ1" s="159"/>
      <c r="AL1" s="157" t="s">
        <v>71</v>
      </c>
      <c r="AM1" s="159"/>
    </row>
    <row r="2" spans="1:51" s="160" customFormat="1" x14ac:dyDescent="0.25">
      <c r="C2" s="137" t="s">
        <v>180</v>
      </c>
      <c r="D2" s="138" t="s">
        <v>181</v>
      </c>
      <c r="E2" s="137" t="s">
        <v>180</v>
      </c>
      <c r="F2" s="140" t="s">
        <v>181</v>
      </c>
      <c r="G2" s="137" t="s">
        <v>180</v>
      </c>
      <c r="H2" s="140" t="s">
        <v>182</v>
      </c>
      <c r="I2" s="140" t="s">
        <v>180</v>
      </c>
      <c r="J2" s="138"/>
      <c r="K2" s="138" t="s">
        <v>181</v>
      </c>
      <c r="L2" s="137" t="s">
        <v>180</v>
      </c>
      <c r="M2" s="123" t="s">
        <v>205</v>
      </c>
      <c r="N2" s="123" t="s">
        <v>208</v>
      </c>
      <c r="O2" s="140" t="s">
        <v>182</v>
      </c>
      <c r="P2" s="140" t="s">
        <v>180</v>
      </c>
      <c r="Q2" s="139"/>
      <c r="R2" s="138"/>
      <c r="S2" s="140" t="s">
        <v>181</v>
      </c>
      <c r="T2" s="141" t="s">
        <v>180</v>
      </c>
      <c r="U2" s="123" t="s">
        <v>205</v>
      </c>
      <c r="V2" s="123" t="s">
        <v>208</v>
      </c>
      <c r="W2" s="140" t="s">
        <v>182</v>
      </c>
      <c r="X2" s="140" t="s">
        <v>180</v>
      </c>
      <c r="Y2" s="138"/>
      <c r="Z2" s="138"/>
      <c r="AA2" s="138" t="s">
        <v>181</v>
      </c>
      <c r="AB2" s="138" t="s">
        <v>181</v>
      </c>
      <c r="AC2" s="137" t="s">
        <v>180</v>
      </c>
      <c r="AD2" s="123" t="s">
        <v>205</v>
      </c>
      <c r="AE2" s="123" t="s">
        <v>208</v>
      </c>
      <c r="AF2" s="140" t="s">
        <v>182</v>
      </c>
      <c r="AG2" s="140" t="s">
        <v>180</v>
      </c>
      <c r="AH2" s="142"/>
      <c r="AI2" s="138"/>
      <c r="AJ2" s="142" t="s">
        <v>181</v>
      </c>
      <c r="AK2" s="138" t="s">
        <v>181</v>
      </c>
      <c r="AL2" s="137" t="s">
        <v>181</v>
      </c>
      <c r="AM2" s="142" t="s">
        <v>181</v>
      </c>
    </row>
    <row r="3" spans="1:51" s="153" customFormat="1" ht="75" x14ac:dyDescent="0.25">
      <c r="A3" s="154" t="s">
        <v>206</v>
      </c>
      <c r="C3" s="121" t="s">
        <v>52</v>
      </c>
      <c r="D3" s="122" t="s">
        <v>177</v>
      </c>
      <c r="E3" s="121" t="s">
        <v>101</v>
      </c>
      <c r="F3" s="122" t="s">
        <v>178</v>
      </c>
      <c r="G3" s="121" t="s">
        <v>179</v>
      </c>
      <c r="H3" s="123" t="s">
        <v>167</v>
      </c>
      <c r="I3" s="124" t="s">
        <v>104</v>
      </c>
      <c r="J3" s="122"/>
      <c r="K3" s="122" t="s">
        <v>202</v>
      </c>
      <c r="L3" s="121" t="s">
        <v>39</v>
      </c>
      <c r="M3" s="152" t="s">
        <v>210</v>
      </c>
      <c r="N3" s="152"/>
      <c r="O3" s="124" t="s">
        <v>168</v>
      </c>
      <c r="P3" s="152" t="s">
        <v>207</v>
      </c>
      <c r="Q3" s="123"/>
      <c r="R3" s="122"/>
      <c r="S3" s="124" t="s">
        <v>203</v>
      </c>
      <c r="T3" s="125" t="s">
        <v>36</v>
      </c>
      <c r="U3" s="152" t="s">
        <v>204</v>
      </c>
      <c r="V3" s="152"/>
      <c r="W3" s="124" t="s">
        <v>168</v>
      </c>
      <c r="X3" s="152" t="s">
        <v>207</v>
      </c>
      <c r="Y3" s="122"/>
      <c r="Z3" s="122"/>
      <c r="AA3" s="122" t="s">
        <v>186</v>
      </c>
      <c r="AB3" s="122" t="s">
        <v>187</v>
      </c>
      <c r="AC3" s="121" t="s">
        <v>36</v>
      </c>
      <c r="AD3" s="152" t="s">
        <v>204</v>
      </c>
      <c r="AE3" s="152"/>
      <c r="AF3" s="124" t="s">
        <v>168</v>
      </c>
      <c r="AG3" s="152" t="s">
        <v>207</v>
      </c>
      <c r="AH3" s="126"/>
      <c r="AI3" s="122"/>
      <c r="AJ3" s="126" t="s">
        <v>184</v>
      </c>
      <c r="AK3" s="122" t="s">
        <v>185</v>
      </c>
      <c r="AL3" s="121" t="s">
        <v>184</v>
      </c>
      <c r="AM3" s="126" t="s">
        <v>185</v>
      </c>
      <c r="AP3" s="163" t="s">
        <v>209</v>
      </c>
      <c r="AQ3" s="122" t="s">
        <v>183</v>
      </c>
      <c r="AR3" s="153" t="s">
        <v>37</v>
      </c>
      <c r="AS3" s="153" t="s">
        <v>197</v>
      </c>
      <c r="AT3" s="153" t="s">
        <v>45</v>
      </c>
      <c r="AU3" s="153" t="s">
        <v>198</v>
      </c>
      <c r="AV3" s="153" t="s">
        <v>199</v>
      </c>
      <c r="AW3" s="153" t="s">
        <v>200</v>
      </c>
      <c r="AX3" s="153" t="s">
        <v>201</v>
      </c>
    </row>
    <row r="4" spans="1:51" x14ac:dyDescent="0.25">
      <c r="A4" s="127" t="s">
        <v>195</v>
      </c>
      <c r="C4" s="150">
        <f>Model!$AP$13</f>
        <v>3321768</v>
      </c>
      <c r="D4" s="54">
        <f>Model!$AP$16</f>
        <v>0.38461538461538458</v>
      </c>
      <c r="E4" s="151">
        <f>D4*C4</f>
        <v>1277603.0769230768</v>
      </c>
      <c r="F4" s="54">
        <f>Model!$AP$29</f>
        <v>1</v>
      </c>
      <c r="G4" s="151">
        <f>F4*E4</f>
        <v>1277603.0769230768</v>
      </c>
      <c r="H4" s="108">
        <f>INDEX(Model!$AP$34:$AP$37,MATCH($J4,Model!$AN$34:$AN$37,0))</f>
        <v>0.13950000000000001</v>
      </c>
      <c r="I4" s="129">
        <f>G4*H4</f>
        <v>178225.62923076923</v>
      </c>
      <c r="J4" s="54" t="s">
        <v>27</v>
      </c>
      <c r="K4" s="108">
        <f>INDEX(Model!$AP$38:$AP$41,MATCH($J4,Model!$AN$34:$AN$37,0))</f>
        <v>88.687168672720716</v>
      </c>
      <c r="L4" s="128">
        <f>K4*I4</f>
        <v>15806326.441391015</v>
      </c>
      <c r="M4" s="129">
        <f>'Example calcs 2000'!N4*0.95</f>
        <v>0</v>
      </c>
      <c r="N4" s="129">
        <f>L4-SUMPRODUCT(M$4:M$103*($J$4:$J$103=$J4)*R$4:R$103)</f>
        <v>2780738.9181738812</v>
      </c>
      <c r="O4" s="129">
        <f>IFERROR(INDEX($AQ$4:$AQ$6,MATCH(Q4,$AP$4:$AP$6,0))/SUM($AQ$4:$AQ$6),"")</f>
        <v>4.0757259630805254E-9</v>
      </c>
      <c r="P4" s="129">
        <f>IFERROR(N4*O4,0)+M4</f>
        <v>1.133352980534974E-2</v>
      </c>
      <c r="Q4" s="108" t="s">
        <v>33</v>
      </c>
      <c r="R4" s="52">
        <f>IF(Q4&lt;&gt;Q3,1,0)</f>
        <v>1</v>
      </c>
      <c r="S4" s="108">
        <f>INDEX(Model!$AP$55:$AP$119,MATCH($Q4,Model!$AN$55:$AN$119,0)+MATCH(Model!$AL$117,Model!$AL$55:$AL$119,0)-1)</f>
        <v>0.309</v>
      </c>
      <c r="T4" s="128">
        <f>P4*S4</f>
        <v>3.5020607098530695E-3</v>
      </c>
      <c r="U4" s="129">
        <f>'Example calcs 2000'!S4*0.8</f>
        <v>0</v>
      </c>
      <c r="V4" s="129">
        <f>T4-SUMPRODUCT(U$4:U$103*($J$4:$J$103=$J4)*($Q$4:$Q$103=$Q4)*Z$4:Z$103)</f>
        <v>3.5020607098530695E-3</v>
      </c>
      <c r="W4" s="129">
        <f>IFERROR(INDEX($AQ$8:$AQ$9,MATCH(Y4,$AP$8:$AP$9,0))/SUM($AQ$8:$AQ$9),"")</f>
        <v>4.1883053058948572E-2</v>
      </c>
      <c r="X4" s="129">
        <f t="shared" ref="X4:X67" si="0">IFERROR(V4*W4,0)+U4</f>
        <v>1.4667699452643521E-4</v>
      </c>
      <c r="Y4" s="54" t="s">
        <v>34</v>
      </c>
      <c r="Z4" s="52">
        <f>IF(Y4&lt;&gt;Y3,1,0)</f>
        <v>1</v>
      </c>
      <c r="AA4" s="54"/>
      <c r="AB4" s="54">
        <f>Model!$AO$138</f>
        <v>1</v>
      </c>
      <c r="AC4" s="128"/>
      <c r="AD4" s="129">
        <f>'Example calcs 2000'!Y4*0.8</f>
        <v>0</v>
      </c>
      <c r="AE4" s="129">
        <f>AC4-SUMPRODUCT(AD$4:AD$103*($J$4:$J$103=$J4)*($Q$4:$Q$103=$Q4)*($Y$4:$Y$103=$Y4)*AI$4:AI$103)</f>
        <v>0</v>
      </c>
      <c r="AF4" s="129" t="str">
        <f>IFERROR(INDEX($AQ$11:$AQ$13,MATCH(AH4,$AP$11:$AP$13,0))/SUM($AQ$11:$AQ$13),"")</f>
        <v/>
      </c>
      <c r="AG4" s="129">
        <f t="shared" ref="AG4:AG67" si="1">IFERROR(AE4*AF4,0)+AD4</f>
        <v>0</v>
      </c>
      <c r="AH4" s="109"/>
      <c r="AI4" s="52">
        <f>IF(AH4&lt;&gt;AH3,1,0)</f>
        <v>0</v>
      </c>
      <c r="AJ4" s="109"/>
      <c r="AK4" s="54"/>
      <c r="AL4" s="115">
        <f>AB4*X4+AJ4*AG4</f>
        <v>1.4667699452643521E-4</v>
      </c>
      <c r="AM4" s="109">
        <f>AK4*AG4</f>
        <v>0</v>
      </c>
      <c r="AP4" s="1" t="s">
        <v>33</v>
      </c>
      <c r="AQ4" s="136">
        <f t="shared" ref="AQ4:AQ6" si="2">(AS4*AT4/(1-(1+AT4)^(-AU4))+SUM(AV4:AX4))^-AR4</f>
        <v>2.3644047760233659E-37</v>
      </c>
      <c r="AR4">
        <f>Model!$AO$54</f>
        <v>10</v>
      </c>
      <c r="AS4" s="145">
        <f>Model!AP112</f>
        <v>18325</v>
      </c>
      <c r="AT4">
        <f>Model!AO111</f>
        <v>0.25</v>
      </c>
      <c r="AU4">
        <f>Model!AO110</f>
        <v>25</v>
      </c>
      <c r="AV4" s="145">
        <f>Model!AP113</f>
        <v>0</v>
      </c>
      <c r="AW4" s="145">
        <f>Model!AP114</f>
        <v>0</v>
      </c>
    </row>
    <row r="5" spans="1:51" x14ac:dyDescent="0.25">
      <c r="C5" s="165">
        <f>Model!$AP$13</f>
        <v>3321768</v>
      </c>
      <c r="D5" s="110">
        <f>Model!$AP$16</f>
        <v>0.38461538461538458</v>
      </c>
      <c r="E5" s="166">
        <f t="shared" ref="E5:E68" si="3">D5*C5</f>
        <v>1277603.0769230768</v>
      </c>
      <c r="F5" s="110">
        <f>Model!$AP$29</f>
        <v>1</v>
      </c>
      <c r="G5" s="166">
        <f t="shared" ref="G5:G68" si="4">F5*E5</f>
        <v>1277603.0769230768</v>
      </c>
      <c r="H5" s="111">
        <f>INDEX(Model!$AP$34:$AP$37,MATCH($J5,Model!$AN$34:$AN$37,0))</f>
        <v>0.13950000000000001</v>
      </c>
      <c r="I5" s="130">
        <f t="shared" ref="I5:I68" si="5">G5*H5</f>
        <v>178225.62923076923</v>
      </c>
      <c r="J5" s="110" t="s">
        <v>27</v>
      </c>
      <c r="K5" s="111">
        <f>INDEX(Model!$AP$38:$AP$41,MATCH($J5,Model!$AN$34:$AN$37,0))</f>
        <v>88.687168672720716</v>
      </c>
      <c r="L5" s="132">
        <f>K5*I5</f>
        <v>15806326.441391015</v>
      </c>
      <c r="M5" s="130">
        <f>'Example calcs 2000'!N5*0.95</f>
        <v>0</v>
      </c>
      <c r="N5" s="130">
        <f t="shared" ref="N5:N68" si="6">L5-SUMPRODUCT(M$4:M$103*($J$4:$J$103=$J5)*R$4:R$103)</f>
        <v>2780738.9181738812</v>
      </c>
      <c r="O5" s="130">
        <f t="shared" ref="O5:O68" si="7">IFERROR(INDEX($AQ$4:$AQ$6,MATCH(Q5,$AP$4:$AP$6,0))/SUM($AQ$4:$AQ$6),"")</f>
        <v>4.0757259630805254E-9</v>
      </c>
      <c r="P5" s="130">
        <f t="shared" ref="P5:P68" si="8">IFERROR(N5*O5,0)+M5</f>
        <v>1.133352980534974E-2</v>
      </c>
      <c r="Q5" s="111" t="s">
        <v>33</v>
      </c>
      <c r="R5" s="167">
        <f t="shared" ref="R5:R68" si="9">IF(Q5&lt;&gt;Q4,1,0)</f>
        <v>0</v>
      </c>
      <c r="S5" s="111">
        <f>INDEX(Model!$AP$55:$AP$119,MATCH($Q5,Model!$AN$55:$AN$119,0)+MATCH(Model!$AL$117,Model!$AL$55:$AL$119,0)-1)</f>
        <v>0.309</v>
      </c>
      <c r="T5" s="132">
        <f t="shared" ref="T5:T68" si="10">P5*S5</f>
        <v>3.5020607098530695E-3</v>
      </c>
      <c r="U5" s="130">
        <f>'Example calcs 2000'!S5*0.8</f>
        <v>0</v>
      </c>
      <c r="V5" s="130">
        <f t="shared" ref="V5:V68" si="11">T5-SUMPRODUCT(U$4:U$103*($J$4:$J$103=$J5)*($Q$4:$Q$103=$Q5)*Z$4:Z$103)</f>
        <v>3.5020607098530695E-3</v>
      </c>
      <c r="W5" s="130">
        <f t="shared" ref="W5:W68" si="12">IFERROR(INDEX($AQ$8:$AQ$9,MATCH(Y5,$AP$8:$AP$9,0))/SUM($AQ$8:$AQ$9),"")</f>
        <v>0.95811694694105154</v>
      </c>
      <c r="X5" s="130">
        <f t="shared" si="0"/>
        <v>3.3553837153266347E-3</v>
      </c>
      <c r="Y5" s="110" t="s">
        <v>35</v>
      </c>
      <c r="Z5" s="167">
        <f t="shared" ref="Z5:Z68" si="13">IF(Y5&lt;&gt;Y4,1,0)</f>
        <v>1</v>
      </c>
      <c r="AA5" s="110">
        <f>Model!$AO$148</f>
        <v>1</v>
      </c>
      <c r="AB5" s="110"/>
      <c r="AC5" s="132">
        <f>X5*AA5</f>
        <v>3.3553837153266347E-3</v>
      </c>
      <c r="AD5" s="130">
        <f>'Example calcs 2000'!Y5*0.8</f>
        <v>0</v>
      </c>
      <c r="AE5" s="130">
        <f t="shared" ref="AE5:AE68" si="14">AC5-SUMPRODUCT(AD$4:AD$103*($J$4:$J$103=$J5)*($Q$4:$Q$103=$Q5)*($Y$4:$Y$103=$Y5)*AI$4:AI$103)</f>
        <v>3.3553837153266347E-3</v>
      </c>
      <c r="AF5" s="149"/>
      <c r="AG5" s="130">
        <f t="shared" si="1"/>
        <v>0</v>
      </c>
      <c r="AH5" s="110" t="s">
        <v>66</v>
      </c>
      <c r="AI5" s="167">
        <f t="shared" ref="AI5:AI68" si="15">IF(AH5&lt;&gt;AH4,1,0)</f>
        <v>1</v>
      </c>
      <c r="AJ5" s="110">
        <f>Model!$AO$179</f>
        <v>0.52600000000000002</v>
      </c>
      <c r="AK5" s="110"/>
      <c r="AL5" s="116">
        <f t="shared" ref="AL5:AL68" si="16">AB5*X5+AJ5*AG5</f>
        <v>0</v>
      </c>
      <c r="AM5" s="110">
        <f t="shared" ref="AM5:AM68" si="17">AK5*AG5</f>
        <v>0</v>
      </c>
      <c r="AP5" s="1" t="s">
        <v>32</v>
      </c>
      <c r="AQ5" s="136">
        <f t="shared" si="2"/>
        <v>5.9218915519278998E-35</v>
      </c>
      <c r="AR5">
        <f>Model!$AO$54</f>
        <v>10</v>
      </c>
      <c r="AS5" s="145">
        <f>Model!AP99</f>
        <v>10548</v>
      </c>
      <c r="AT5">
        <f>Model!AO98</f>
        <v>0.25</v>
      </c>
      <c r="AU5">
        <f>Model!AO97</f>
        <v>25</v>
      </c>
      <c r="AV5" s="145">
        <f>Model!AP100</f>
        <v>0</v>
      </c>
      <c r="AW5" s="145">
        <f>Model!AP101</f>
        <v>0</v>
      </c>
    </row>
    <row r="6" spans="1:51" x14ac:dyDescent="0.25">
      <c r="C6" s="150">
        <f>Model!$AP$13</f>
        <v>3321768</v>
      </c>
      <c r="D6" s="54">
        <f>Model!$AP$16</f>
        <v>0.38461538461538458</v>
      </c>
      <c r="E6" s="151">
        <f t="shared" si="3"/>
        <v>1277603.0769230768</v>
      </c>
      <c r="F6" s="54">
        <f>Model!$AP$29</f>
        <v>1</v>
      </c>
      <c r="G6" s="151">
        <f t="shared" si="4"/>
        <v>1277603.0769230768</v>
      </c>
      <c r="H6" s="108">
        <f>INDEX(Model!$AP$34:$AP$37,MATCH($J6,Model!$AN$34:$AN$37,0))</f>
        <v>0.13950000000000001</v>
      </c>
      <c r="I6" s="129">
        <f t="shared" si="5"/>
        <v>178225.62923076923</v>
      </c>
      <c r="J6" s="54" t="s">
        <v>27</v>
      </c>
      <c r="K6" s="108">
        <f>INDEX(Model!$AP$38:$AP$41,MATCH($J6,Model!$AN$34:$AN$37,0))</f>
        <v>88.687168672720716</v>
      </c>
      <c r="L6" s="128">
        <f>K6*I6</f>
        <v>15806326.441391015</v>
      </c>
      <c r="M6" s="129">
        <f>'Example calcs 2000'!N6*0.95</f>
        <v>0</v>
      </c>
      <c r="N6" s="129">
        <f t="shared" si="6"/>
        <v>2780738.9181738812</v>
      </c>
      <c r="O6" s="129">
        <f t="shared" si="7"/>
        <v>4.0757259630805254E-9</v>
      </c>
      <c r="P6" s="129">
        <f t="shared" si="8"/>
        <v>1.133352980534974E-2</v>
      </c>
      <c r="Q6" s="108" t="s">
        <v>33</v>
      </c>
      <c r="R6" s="52">
        <f t="shared" si="9"/>
        <v>0</v>
      </c>
      <c r="S6" s="108">
        <f>INDEX(Model!$AP$55:$AP$119,MATCH($Q6,Model!$AN$55:$AN$119,0)+MATCH(Model!$AL$117,Model!$AL$55:$AL$119,0)-1)</f>
        <v>0.309</v>
      </c>
      <c r="T6" s="128">
        <f t="shared" si="10"/>
        <v>3.5020607098530695E-3</v>
      </c>
      <c r="U6" s="129">
        <f>'Example calcs 2000'!S6*0.8</f>
        <v>0</v>
      </c>
      <c r="V6" s="129">
        <f t="shared" si="11"/>
        <v>3.5020607098530695E-3</v>
      </c>
      <c r="W6" s="129">
        <f t="shared" si="12"/>
        <v>0.95811694694105154</v>
      </c>
      <c r="X6" s="129">
        <f t="shared" si="0"/>
        <v>3.3553837153266347E-3</v>
      </c>
      <c r="Y6" s="54" t="s">
        <v>35</v>
      </c>
      <c r="Z6" s="52">
        <f t="shared" si="13"/>
        <v>0</v>
      </c>
      <c r="AA6" s="54">
        <f>Model!$AO$148</f>
        <v>1</v>
      </c>
      <c r="AB6" s="54"/>
      <c r="AC6" s="128">
        <f>X6*AA6</f>
        <v>3.3553837153266347E-3</v>
      </c>
      <c r="AD6" s="129">
        <f>'Example calcs 2000'!Y6*0.8</f>
        <v>0</v>
      </c>
      <c r="AE6" s="129">
        <f t="shared" si="14"/>
        <v>3.3553837153266347E-3</v>
      </c>
      <c r="AF6" s="175" t="str">
        <f t="shared" ref="AF6:AF8" si="18">IFERROR(INDEX($AQ$12,MATCH(AH6,$AP$12,0))/SUM($AQ$12),"")</f>
        <v/>
      </c>
      <c r="AG6" s="129">
        <f t="shared" si="1"/>
        <v>0</v>
      </c>
      <c r="AH6" s="109" t="s">
        <v>139</v>
      </c>
      <c r="AI6" s="52">
        <f t="shared" si="15"/>
        <v>1</v>
      </c>
      <c r="AJ6" s="109">
        <f>Model!$AO$192</f>
        <v>0.4</v>
      </c>
      <c r="AK6" s="54"/>
      <c r="AL6" s="115">
        <f t="shared" si="16"/>
        <v>0</v>
      </c>
      <c r="AM6" s="109">
        <f t="shared" si="17"/>
        <v>0</v>
      </c>
      <c r="AP6" s="1" t="s">
        <v>31</v>
      </c>
      <c r="AQ6" s="136">
        <f t="shared" si="2"/>
        <v>5.8011808796853376E-29</v>
      </c>
      <c r="AR6">
        <f>Model!$AO$54</f>
        <v>10</v>
      </c>
      <c r="AS6" s="145">
        <f>Model!AP86</f>
        <v>2655</v>
      </c>
      <c r="AT6">
        <f>Model!AO85</f>
        <v>0.25</v>
      </c>
      <c r="AU6">
        <f>Model!AO84</f>
        <v>25</v>
      </c>
      <c r="AV6" s="145">
        <f>Model!AP87</f>
        <v>0</v>
      </c>
      <c r="AW6" s="145">
        <f>Model!AP88</f>
        <v>0</v>
      </c>
    </row>
    <row r="7" spans="1:51" x14ac:dyDescent="0.25">
      <c r="A7" s="134" t="s">
        <v>140</v>
      </c>
      <c r="C7" s="150">
        <f>Model!$AP$13</f>
        <v>3321768</v>
      </c>
      <c r="D7" s="54">
        <f>Model!$AP$16</f>
        <v>0.38461538461538458</v>
      </c>
      <c r="E7" s="151">
        <f t="shared" si="3"/>
        <v>1277603.0769230768</v>
      </c>
      <c r="F7" s="54">
        <f>Model!$AP$29</f>
        <v>1</v>
      </c>
      <c r="G7" s="151">
        <f t="shared" si="4"/>
        <v>1277603.0769230768</v>
      </c>
      <c r="H7" s="108">
        <f>INDEX(Model!$AP$34:$AP$37,MATCH($J7,Model!$AN$34:$AN$37,0))</f>
        <v>0.13950000000000001</v>
      </c>
      <c r="I7" s="129">
        <f t="shared" si="5"/>
        <v>178225.62923076923</v>
      </c>
      <c r="J7" s="54" t="s">
        <v>27</v>
      </c>
      <c r="K7" s="108">
        <f>INDEX(Model!$AP$38:$AP$41,MATCH($J7,Model!$AN$34:$AN$37,0))</f>
        <v>88.687168672720716</v>
      </c>
      <c r="L7" s="128">
        <f>K7*I7</f>
        <v>15806326.441391015</v>
      </c>
      <c r="M7" s="129">
        <f>'Example calcs 2000'!N7*0.95</f>
        <v>0</v>
      </c>
      <c r="N7" s="129">
        <f t="shared" si="6"/>
        <v>2780738.9181738812</v>
      </c>
      <c r="O7" s="129">
        <f t="shared" si="7"/>
        <v>4.0757259630805254E-9</v>
      </c>
      <c r="P7" s="129">
        <f t="shared" si="8"/>
        <v>1.133352980534974E-2</v>
      </c>
      <c r="Q7" s="108" t="s">
        <v>33</v>
      </c>
      <c r="R7" s="52">
        <f t="shared" si="9"/>
        <v>0</v>
      </c>
      <c r="S7" s="108">
        <f>INDEX(Model!$AP$55:$AP$119,MATCH($Q7,Model!$AN$55:$AN$119,0)+MATCH(Model!$AL$117,Model!$AL$55:$AL$119,0)-1)</f>
        <v>0.309</v>
      </c>
      <c r="T7" s="128">
        <f t="shared" si="10"/>
        <v>3.5020607098530695E-3</v>
      </c>
      <c r="U7" s="129">
        <f>'Example calcs 2000'!S7*0.8</f>
        <v>0</v>
      </c>
      <c r="V7" s="129">
        <f t="shared" si="11"/>
        <v>3.5020607098530695E-3</v>
      </c>
      <c r="W7" s="129">
        <f t="shared" si="12"/>
        <v>0.95811694694105154</v>
      </c>
      <c r="X7" s="129">
        <f t="shared" si="0"/>
        <v>3.3553837153266347E-3</v>
      </c>
      <c r="Y7" s="54" t="s">
        <v>35</v>
      </c>
      <c r="Z7" s="52">
        <f t="shared" si="13"/>
        <v>0</v>
      </c>
      <c r="AA7" s="54">
        <f>Model!$AO$148</f>
        <v>1</v>
      </c>
      <c r="AB7" s="54"/>
      <c r="AC7" s="128">
        <f>X7*AA7</f>
        <v>3.3553837153266347E-3</v>
      </c>
      <c r="AD7" s="129">
        <f>'Example calcs 2000'!Y7*0.8</f>
        <v>0</v>
      </c>
      <c r="AE7" s="129">
        <f t="shared" si="14"/>
        <v>3.3553837153266347E-3</v>
      </c>
      <c r="AF7" s="175" t="str">
        <f>IFERROR(INDEX($AQ$12,MATCH(AH7,$AP$12,0))/SUM($AQ$12),"")</f>
        <v/>
      </c>
      <c r="AG7" s="129">
        <f t="shared" si="1"/>
        <v>0</v>
      </c>
      <c r="AH7" s="109" t="s">
        <v>64</v>
      </c>
      <c r="AI7" s="52">
        <f t="shared" si="15"/>
        <v>1</v>
      </c>
      <c r="AJ7" s="109"/>
      <c r="AK7" s="54">
        <f>Model!$AO$165</f>
        <v>1.613</v>
      </c>
      <c r="AL7" s="115">
        <f t="shared" si="16"/>
        <v>0</v>
      </c>
      <c r="AM7" s="109">
        <f t="shared" si="17"/>
        <v>0</v>
      </c>
      <c r="AP7" s="1"/>
      <c r="AQ7" s="136"/>
    </row>
    <row r="8" spans="1:51" x14ac:dyDescent="0.25">
      <c r="A8" s="100" t="s">
        <v>188</v>
      </c>
      <c r="C8" s="150">
        <f>Model!$AP$13</f>
        <v>3321768</v>
      </c>
      <c r="D8" s="54">
        <f>Model!$AP$16</f>
        <v>0.38461538461538458</v>
      </c>
      <c r="E8" s="151">
        <f t="shared" si="3"/>
        <v>1277603.0769230768</v>
      </c>
      <c r="F8" s="54">
        <f>Model!$AP$29</f>
        <v>1</v>
      </c>
      <c r="G8" s="151">
        <f t="shared" si="4"/>
        <v>1277603.0769230768</v>
      </c>
      <c r="H8" s="108">
        <f>INDEX(Model!$AP$34:$AP$37,MATCH($J8,Model!$AN$34:$AN$37,0))</f>
        <v>0.13950000000000001</v>
      </c>
      <c r="I8" s="129">
        <f t="shared" si="5"/>
        <v>178225.62923076923</v>
      </c>
      <c r="J8" s="54" t="s">
        <v>27</v>
      </c>
      <c r="K8" s="108">
        <f>INDEX(Model!$AP$38:$AP$41,MATCH($J8,Model!$AN$34:$AN$37,0))</f>
        <v>88.687168672720716</v>
      </c>
      <c r="L8" s="128">
        <f>K8*I8</f>
        <v>15806326.441391015</v>
      </c>
      <c r="M8" s="129">
        <f>'Example calcs 2000'!N8*0.95</f>
        <v>0</v>
      </c>
      <c r="N8" s="129">
        <f t="shared" si="6"/>
        <v>2780738.9181738812</v>
      </c>
      <c r="O8" s="129">
        <f t="shared" si="7"/>
        <v>4.0757259630805254E-9</v>
      </c>
      <c r="P8" s="129">
        <f t="shared" si="8"/>
        <v>1.133352980534974E-2</v>
      </c>
      <c r="Q8" s="108" t="s">
        <v>33</v>
      </c>
      <c r="R8" s="52">
        <f t="shared" si="9"/>
        <v>0</v>
      </c>
      <c r="S8" s="108">
        <f>INDEX(Model!$AP$55:$AP$119,MATCH($Q8,Model!$AN$55:$AN$119,0)+MATCH(Model!$AL$117,Model!$AL$55:$AL$119,0)-1)</f>
        <v>0.309</v>
      </c>
      <c r="T8" s="128">
        <f t="shared" si="10"/>
        <v>3.5020607098530695E-3</v>
      </c>
      <c r="U8" s="129">
        <f>'Example calcs 2000'!S8*0.8</f>
        <v>0</v>
      </c>
      <c r="V8" s="129">
        <f t="shared" si="11"/>
        <v>3.5020607098530695E-3</v>
      </c>
      <c r="W8" s="129">
        <f t="shared" si="12"/>
        <v>0.95811694694105154</v>
      </c>
      <c r="X8" s="129">
        <f t="shared" si="0"/>
        <v>3.3553837153266347E-3</v>
      </c>
      <c r="Y8" s="54" t="s">
        <v>35</v>
      </c>
      <c r="Z8" s="52">
        <f t="shared" si="13"/>
        <v>0</v>
      </c>
      <c r="AA8" s="54">
        <f>Model!$AO$148</f>
        <v>1</v>
      </c>
      <c r="AB8" s="54"/>
      <c r="AC8" s="128">
        <f>X8*AA8</f>
        <v>3.3553837153266347E-3</v>
      </c>
      <c r="AD8" s="129">
        <f>'Example calcs 2000'!Y8*0.8</f>
        <v>0</v>
      </c>
      <c r="AE8" s="129">
        <f t="shared" si="14"/>
        <v>3.3553837153266347E-3</v>
      </c>
      <c r="AF8" s="175">
        <f t="shared" ref="AF8" si="19">IFERROR(INDEX($AQ$12,MATCH(AH8,$AP$12,0))/SUM($AQ$12),"")</f>
        <v>1</v>
      </c>
      <c r="AG8" s="129">
        <f t="shared" si="1"/>
        <v>3.3553837153266347E-3</v>
      </c>
      <c r="AH8" s="109" t="s">
        <v>65</v>
      </c>
      <c r="AI8" s="52">
        <f t="shared" si="15"/>
        <v>1</v>
      </c>
      <c r="AJ8" s="109"/>
      <c r="AK8" s="54">
        <f>Model!$AO$205</f>
        <v>1.111</v>
      </c>
      <c r="AL8" s="115">
        <f t="shared" si="16"/>
        <v>0</v>
      </c>
      <c r="AM8" s="109">
        <f t="shared" si="17"/>
        <v>3.7278313077278909E-3</v>
      </c>
      <c r="AP8" s="1" t="s">
        <v>34</v>
      </c>
      <c r="AQ8" s="136">
        <f>(AS8*AT8/(1-(1+AT8)^(-AU8))+SUM(AV8:AX8))^-AR8</f>
        <v>4.1920840987895374E-29</v>
      </c>
      <c r="AR8">
        <f>Model!$AO$124</f>
        <v>10</v>
      </c>
      <c r="AS8" s="145">
        <f>Model!AP130</f>
        <v>2655</v>
      </c>
      <c r="AT8">
        <f>Model!AO129</f>
        <v>0.25</v>
      </c>
      <c r="AU8">
        <f>Model!AO128</f>
        <v>25</v>
      </c>
      <c r="AV8" s="145">
        <f>Model!AP131</f>
        <v>0</v>
      </c>
      <c r="AW8" s="145">
        <f>Model!AP132</f>
        <v>0</v>
      </c>
      <c r="AX8" s="164">
        <f>Model!AO133</f>
        <v>22</v>
      </c>
      <c r="AY8" t="s">
        <v>211</v>
      </c>
    </row>
    <row r="9" spans="1:51" x14ac:dyDescent="0.25">
      <c r="C9" s="150">
        <f>Model!$AP$13</f>
        <v>3321768</v>
      </c>
      <c r="D9" s="54">
        <f>Model!$AP$16</f>
        <v>0.38461538461538458</v>
      </c>
      <c r="E9" s="151">
        <f t="shared" si="3"/>
        <v>1277603.0769230768</v>
      </c>
      <c r="F9" s="54">
        <f>Model!$AP$29</f>
        <v>1</v>
      </c>
      <c r="G9" s="151">
        <f t="shared" si="4"/>
        <v>1277603.0769230768</v>
      </c>
      <c r="H9" s="108">
        <f>INDEX(Model!$AP$34:$AP$37,MATCH($J9,Model!$AN$34:$AN$37,0))</f>
        <v>0.13950000000000001</v>
      </c>
      <c r="I9" s="129">
        <f t="shared" si="5"/>
        <v>178225.62923076923</v>
      </c>
      <c r="J9" s="54" t="s">
        <v>27</v>
      </c>
      <c r="K9" s="108">
        <f>INDEX(Model!$AP$38:$AP$41,MATCH($J9,Model!$AN$34:$AN$37,0))</f>
        <v>88.687168672720716</v>
      </c>
      <c r="L9" s="128">
        <f>K9*I9</f>
        <v>15806326.441391015</v>
      </c>
      <c r="M9" s="129">
        <f>'Example calcs 2000'!N9*0.95</f>
        <v>10850314.406839872</v>
      </c>
      <c r="N9" s="129">
        <f t="shared" si="6"/>
        <v>2780738.9181738812</v>
      </c>
      <c r="O9" s="129" t="str">
        <f t="shared" si="7"/>
        <v/>
      </c>
      <c r="P9" s="129">
        <f t="shared" si="8"/>
        <v>10850314.406839872</v>
      </c>
      <c r="Q9" s="108" t="s">
        <v>29</v>
      </c>
      <c r="R9" s="52">
        <f t="shared" si="9"/>
        <v>1</v>
      </c>
      <c r="S9" s="108">
        <f>INDEX(Model!$AP$55:$AP$119,MATCH($Q9,Model!$AN$55:$AN$119,0)+MATCH(Model!$AL$117,Model!$AL$55:$AL$119,0)-1)</f>
        <v>0.63300000000000001</v>
      </c>
      <c r="T9" s="128">
        <f t="shared" si="10"/>
        <v>6868249.0195296388</v>
      </c>
      <c r="U9" s="129">
        <f>'Example calcs 2000'!S9*0.8</f>
        <v>34702.731888149756</v>
      </c>
      <c r="V9" s="129">
        <f t="shared" si="11"/>
        <v>1084460.3715046793</v>
      </c>
      <c r="W9" s="129">
        <f t="shared" si="12"/>
        <v>4.1883053058948572E-2</v>
      </c>
      <c r="X9" s="129">
        <f t="shared" si="0"/>
        <v>80123.243168207322</v>
      </c>
      <c r="Y9" s="54" t="s">
        <v>34</v>
      </c>
      <c r="Z9" s="52">
        <f t="shared" si="13"/>
        <v>1</v>
      </c>
      <c r="AA9" s="54"/>
      <c r="AB9" s="54">
        <f>Model!$AO$138</f>
        <v>1</v>
      </c>
      <c r="AC9" s="128"/>
      <c r="AD9" s="129">
        <f>'Example calcs 2000'!Y9*0.8</f>
        <v>0</v>
      </c>
      <c r="AE9" s="129">
        <f t="shared" si="14"/>
        <v>0</v>
      </c>
      <c r="AF9" s="129" t="str">
        <f t="shared" ref="AF5:AF68" si="20">IFERROR(INDEX($AQ$11:$AQ$13,MATCH(AH9,$AP$11:$AP$13,0))/SUM($AQ$11:$AQ$13),"")</f>
        <v/>
      </c>
      <c r="AG9" s="129">
        <f t="shared" si="1"/>
        <v>0</v>
      </c>
      <c r="AH9" s="109"/>
      <c r="AI9" s="52">
        <f t="shared" si="15"/>
        <v>1</v>
      </c>
      <c r="AJ9" s="109"/>
      <c r="AK9" s="54"/>
      <c r="AL9" s="115">
        <f t="shared" si="16"/>
        <v>80123.243168207322</v>
      </c>
      <c r="AM9" s="109">
        <f t="shared" si="17"/>
        <v>0</v>
      </c>
      <c r="AP9" s="1" t="s">
        <v>35</v>
      </c>
      <c r="AQ9" s="136">
        <f>Model!AO143^-AR9</f>
        <v>9.5898138380678763E-28</v>
      </c>
      <c r="AR9">
        <f>Model!$AO$124</f>
        <v>10</v>
      </c>
    </row>
    <row r="10" spans="1:51" x14ac:dyDescent="0.25">
      <c r="A10" s="135" t="s">
        <v>196</v>
      </c>
      <c r="C10" s="165">
        <f>Model!$AP$13</f>
        <v>3321768</v>
      </c>
      <c r="D10" s="110">
        <f>Model!$AP$16</f>
        <v>0.38461538461538458</v>
      </c>
      <c r="E10" s="166">
        <f t="shared" si="3"/>
        <v>1277603.0769230768</v>
      </c>
      <c r="F10" s="110">
        <f>Model!$AP$29</f>
        <v>1</v>
      </c>
      <c r="G10" s="166">
        <f t="shared" si="4"/>
        <v>1277603.0769230768</v>
      </c>
      <c r="H10" s="111">
        <f>INDEX(Model!$AP$34:$AP$37,MATCH($J10,Model!$AN$34:$AN$37,0))</f>
        <v>0.13950000000000001</v>
      </c>
      <c r="I10" s="130">
        <f t="shared" si="5"/>
        <v>178225.62923076923</v>
      </c>
      <c r="J10" s="110" t="s">
        <v>27</v>
      </c>
      <c r="K10" s="111">
        <f>INDEX(Model!$AP$38:$AP$41,MATCH($J10,Model!$AN$34:$AN$37,0))</f>
        <v>88.687168672720716</v>
      </c>
      <c r="L10" s="132">
        <f>K10*I10</f>
        <v>15806326.441391015</v>
      </c>
      <c r="M10" s="130">
        <f>'Example calcs 2000'!N10*0.95</f>
        <v>10850314.406839872</v>
      </c>
      <c r="N10" s="130">
        <f t="shared" si="6"/>
        <v>2780738.9181738812</v>
      </c>
      <c r="O10" s="130" t="str">
        <f t="shared" si="7"/>
        <v/>
      </c>
      <c r="P10" s="130">
        <f t="shared" si="8"/>
        <v>10850314.406839872</v>
      </c>
      <c r="Q10" s="111" t="s">
        <v>29</v>
      </c>
      <c r="R10" s="167">
        <f t="shared" si="9"/>
        <v>0</v>
      </c>
      <c r="S10" s="111">
        <f>INDEX(Model!$AP$55:$AP$119,MATCH($Q10,Model!$AN$55:$AN$119,0)+MATCH(Model!$AL$117,Model!$AL$55:$AL$119,0)-1)</f>
        <v>0.63300000000000001</v>
      </c>
      <c r="T10" s="132">
        <f t="shared" si="10"/>
        <v>6868249.0195296388</v>
      </c>
      <c r="U10" s="130">
        <f>'Example calcs 2000'!S10*0.8</f>
        <v>5749085.9161368096</v>
      </c>
      <c r="V10" s="130">
        <f t="shared" si="11"/>
        <v>1084460.3715046793</v>
      </c>
      <c r="W10" s="130">
        <f t="shared" si="12"/>
        <v>0.95811694694105154</v>
      </c>
      <c r="X10" s="130">
        <f t="shared" si="0"/>
        <v>6788125.7763614319</v>
      </c>
      <c r="Y10" s="110" t="s">
        <v>35</v>
      </c>
      <c r="Z10" s="167">
        <f t="shared" si="13"/>
        <v>1</v>
      </c>
      <c r="AA10" s="110">
        <f>Model!$AO$148</f>
        <v>1</v>
      </c>
      <c r="AB10" s="110"/>
      <c r="AC10" s="132">
        <f>X10*AA10</f>
        <v>6788125.7763614319</v>
      </c>
      <c r="AD10" s="130">
        <f>'Example calcs 2000'!Y10*0.8</f>
        <v>0</v>
      </c>
      <c r="AE10" s="130">
        <f t="shared" si="14"/>
        <v>1039039.8602246214</v>
      </c>
      <c r="AF10" s="149"/>
      <c r="AG10" s="130">
        <f t="shared" si="1"/>
        <v>0</v>
      </c>
      <c r="AH10" s="110" t="s">
        <v>66</v>
      </c>
      <c r="AI10" s="167">
        <f t="shared" si="15"/>
        <v>1</v>
      </c>
      <c r="AJ10" s="110">
        <f>Model!$AO$179</f>
        <v>0.52600000000000002</v>
      </c>
      <c r="AK10" s="110"/>
      <c r="AL10" s="116">
        <f t="shared" si="16"/>
        <v>0</v>
      </c>
      <c r="AM10" s="110">
        <f t="shared" si="17"/>
        <v>0</v>
      </c>
      <c r="AP10" s="1"/>
      <c r="AQ10" s="136"/>
    </row>
    <row r="11" spans="1:51" x14ac:dyDescent="0.25">
      <c r="A11" s="174" t="s">
        <v>229</v>
      </c>
      <c r="C11" s="150">
        <f>Model!$AP$13</f>
        <v>3321768</v>
      </c>
      <c r="D11" s="54">
        <f>Model!$AP$16</f>
        <v>0.38461538461538458</v>
      </c>
      <c r="E11" s="151">
        <f t="shared" si="3"/>
        <v>1277603.0769230768</v>
      </c>
      <c r="F11" s="54">
        <f>Model!$AP$29</f>
        <v>1</v>
      </c>
      <c r="G11" s="151">
        <f t="shared" si="4"/>
        <v>1277603.0769230768</v>
      </c>
      <c r="H11" s="108">
        <f>INDEX(Model!$AP$34:$AP$37,MATCH($J11,Model!$AN$34:$AN$37,0))</f>
        <v>0.13950000000000001</v>
      </c>
      <c r="I11" s="129">
        <f t="shared" si="5"/>
        <v>178225.62923076923</v>
      </c>
      <c r="J11" s="54" t="s">
        <v>27</v>
      </c>
      <c r="K11" s="108">
        <f>INDEX(Model!$AP$38:$AP$41,MATCH($J11,Model!$AN$34:$AN$37,0))</f>
        <v>88.687168672720716</v>
      </c>
      <c r="L11" s="128">
        <f>K11*I11</f>
        <v>15806326.441391015</v>
      </c>
      <c r="M11" s="129">
        <f>'Example calcs 2000'!N11*0.95</f>
        <v>10850314.406839872</v>
      </c>
      <c r="N11" s="129">
        <f t="shared" si="6"/>
        <v>2780738.9181738812</v>
      </c>
      <c r="O11" s="129" t="str">
        <f t="shared" si="7"/>
        <v/>
      </c>
      <c r="P11" s="129">
        <f t="shared" si="8"/>
        <v>10850314.406839872</v>
      </c>
      <c r="Q11" s="108" t="s">
        <v>29</v>
      </c>
      <c r="R11" s="52">
        <f t="shared" si="9"/>
        <v>0</v>
      </c>
      <c r="S11" s="108">
        <f>INDEX(Model!$AP$55:$AP$119,MATCH($Q11,Model!$AN$55:$AN$119,0)+MATCH(Model!$AL$117,Model!$AL$55:$AL$119,0)-1)</f>
        <v>0.63300000000000001</v>
      </c>
      <c r="T11" s="128">
        <f t="shared" si="10"/>
        <v>6868249.0195296388</v>
      </c>
      <c r="U11" s="129">
        <f>'Example calcs 2000'!S11*0.8</f>
        <v>5749085.9161368096</v>
      </c>
      <c r="V11" s="129">
        <f t="shared" si="11"/>
        <v>1084460.3715046793</v>
      </c>
      <c r="W11" s="129">
        <f t="shared" si="12"/>
        <v>0.95811694694105154</v>
      </c>
      <c r="X11" s="129">
        <f t="shared" si="0"/>
        <v>6788125.7763614319</v>
      </c>
      <c r="Y11" s="54" t="s">
        <v>35</v>
      </c>
      <c r="Z11" s="52">
        <f t="shared" si="13"/>
        <v>0</v>
      </c>
      <c r="AA11" s="54">
        <f>Model!$AO$148</f>
        <v>1</v>
      </c>
      <c r="AB11" s="54"/>
      <c r="AC11" s="128">
        <f>X11*AA11</f>
        <v>6788125.7763614319</v>
      </c>
      <c r="AD11" s="129">
        <f>'Example calcs 2000'!Y11*0.8</f>
        <v>0</v>
      </c>
      <c r="AE11" s="129">
        <f t="shared" si="14"/>
        <v>1039039.8602246214</v>
      </c>
      <c r="AF11" s="175" t="str">
        <f t="shared" ref="AF11:AF13" si="21">IFERROR(INDEX($AQ$12,MATCH(AH11,$AP$12,0))/SUM($AQ$12),"")</f>
        <v/>
      </c>
      <c r="AG11" s="129">
        <f t="shared" si="1"/>
        <v>0</v>
      </c>
      <c r="AH11" s="109" t="s">
        <v>139</v>
      </c>
      <c r="AI11" s="52">
        <f t="shared" si="15"/>
        <v>1</v>
      </c>
      <c r="AJ11" s="109">
        <f>Model!$AO$192</f>
        <v>0.4</v>
      </c>
      <c r="AK11" s="110"/>
      <c r="AL11" s="115">
        <f t="shared" si="16"/>
        <v>0</v>
      </c>
      <c r="AM11" s="109">
        <f t="shared" si="17"/>
        <v>0</v>
      </c>
      <c r="AP11" s="1" t="s">
        <v>139</v>
      </c>
      <c r="AQ11" s="136">
        <f>(AS11*AT11/(1-(1+AT11)^(-AU11))+SUM(AV11:AX11))^-AR11</f>
        <v>1.2632895040547378E-36</v>
      </c>
      <c r="AR11">
        <f>Model!$AO$154</f>
        <v>10</v>
      </c>
      <c r="AS11" s="145">
        <f>Model!AP186</f>
        <v>15521</v>
      </c>
      <c r="AT11">
        <f>Model!AO185</f>
        <v>0.25</v>
      </c>
      <c r="AU11">
        <f>Model!AO184</f>
        <v>50</v>
      </c>
      <c r="AV11" s="145">
        <f>Model!AP187</f>
        <v>0</v>
      </c>
      <c r="AW11" s="145">
        <f>Model!AP188</f>
        <v>0</v>
      </c>
      <c r="AX11" s="164">
        <f>Model!AO189</f>
        <v>8.8000000000000007</v>
      </c>
      <c r="AY11" t="s">
        <v>211</v>
      </c>
    </row>
    <row r="12" spans="1:51" x14ac:dyDescent="0.25">
      <c r="C12" s="150">
        <f>Model!$AP$13</f>
        <v>3321768</v>
      </c>
      <c r="D12" s="54">
        <f>Model!$AP$16</f>
        <v>0.38461538461538458</v>
      </c>
      <c r="E12" s="151">
        <f t="shared" si="3"/>
        <v>1277603.0769230768</v>
      </c>
      <c r="F12" s="54">
        <f>Model!$AP$29</f>
        <v>1</v>
      </c>
      <c r="G12" s="151">
        <f t="shared" si="4"/>
        <v>1277603.0769230768</v>
      </c>
      <c r="H12" s="108">
        <f>INDEX(Model!$AP$34:$AP$37,MATCH($J12,Model!$AN$34:$AN$37,0))</f>
        <v>0.13950000000000001</v>
      </c>
      <c r="I12" s="129">
        <f t="shared" si="5"/>
        <v>178225.62923076923</v>
      </c>
      <c r="J12" s="54" t="s">
        <v>27</v>
      </c>
      <c r="K12" s="108">
        <f>INDEX(Model!$AP$38:$AP$41,MATCH($J12,Model!$AN$34:$AN$37,0))</f>
        <v>88.687168672720716</v>
      </c>
      <c r="L12" s="128">
        <f>K12*I12</f>
        <v>15806326.441391015</v>
      </c>
      <c r="M12" s="129">
        <f>'Example calcs 2000'!N12*0.95</f>
        <v>10850314.406839872</v>
      </c>
      <c r="N12" s="129">
        <f t="shared" si="6"/>
        <v>2780738.9181738812</v>
      </c>
      <c r="O12" s="129" t="str">
        <f t="shared" si="7"/>
        <v/>
      </c>
      <c r="P12" s="129">
        <f t="shared" si="8"/>
        <v>10850314.406839872</v>
      </c>
      <c r="Q12" s="108" t="s">
        <v>29</v>
      </c>
      <c r="R12" s="52">
        <f t="shared" si="9"/>
        <v>0</v>
      </c>
      <c r="S12" s="108">
        <f>INDEX(Model!$AP$55:$AP$119,MATCH($Q12,Model!$AN$55:$AN$119,0)+MATCH(Model!$AL$117,Model!$AL$55:$AL$119,0)-1)</f>
        <v>0.63300000000000001</v>
      </c>
      <c r="T12" s="128">
        <f t="shared" si="10"/>
        <v>6868249.0195296388</v>
      </c>
      <c r="U12" s="129">
        <f>'Example calcs 2000'!S12*0.8</f>
        <v>5749085.9161368096</v>
      </c>
      <c r="V12" s="129">
        <f t="shared" si="11"/>
        <v>1084460.3715046793</v>
      </c>
      <c r="W12" s="129">
        <f t="shared" si="12"/>
        <v>0.95811694694105154</v>
      </c>
      <c r="X12" s="129">
        <f t="shared" si="0"/>
        <v>6788125.7763614319</v>
      </c>
      <c r="Y12" s="54" t="s">
        <v>35</v>
      </c>
      <c r="Z12" s="52">
        <f t="shared" si="13"/>
        <v>0</v>
      </c>
      <c r="AA12" s="54">
        <f>Model!$AO$148</f>
        <v>1</v>
      </c>
      <c r="AB12" s="54"/>
      <c r="AC12" s="128">
        <f>X12*AA12</f>
        <v>6788125.7763614319</v>
      </c>
      <c r="AD12" s="129">
        <f>'Example calcs 2000'!Y12*0.8</f>
        <v>5458728.0415844461</v>
      </c>
      <c r="AE12" s="129">
        <f t="shared" si="14"/>
        <v>1039039.8602246214</v>
      </c>
      <c r="AF12" s="175" t="str">
        <f>IFERROR(INDEX($AQ$12,MATCH(AH12,$AP$12,0))/SUM($AQ$12),"")</f>
        <v/>
      </c>
      <c r="AG12" s="129">
        <f t="shared" si="1"/>
        <v>5458728.0415844461</v>
      </c>
      <c r="AH12" s="109" t="s">
        <v>64</v>
      </c>
      <c r="AI12" s="52">
        <f t="shared" si="15"/>
        <v>1</v>
      </c>
      <c r="AJ12" s="109"/>
      <c r="AK12" s="54">
        <f>Model!$AO$165</f>
        <v>1.613</v>
      </c>
      <c r="AL12" s="115">
        <f t="shared" si="16"/>
        <v>0</v>
      </c>
      <c r="AM12" s="109">
        <f t="shared" si="17"/>
        <v>8804928.3310757112</v>
      </c>
      <c r="AP12" s="1" t="s">
        <v>65</v>
      </c>
      <c r="AQ12" s="136">
        <f>(AS12*AT12/(1-(1+AT12)^(-AU12))+SUM(AV12:AX12))^-AR12</f>
        <v>2.292137010387118E-30</v>
      </c>
      <c r="AR12">
        <f>Model!$AO$154</f>
        <v>10</v>
      </c>
      <c r="AS12" s="145">
        <f>Model!AP199</f>
        <v>3565</v>
      </c>
      <c r="AT12">
        <f>Model!AO198</f>
        <v>0.25</v>
      </c>
      <c r="AU12">
        <f>Model!AO197</f>
        <v>18</v>
      </c>
      <c r="AV12" s="145">
        <f>Model!AP200</f>
        <v>0</v>
      </c>
      <c r="AW12" s="145">
        <f>Model!AP201</f>
        <v>0</v>
      </c>
      <c r="AX12" s="164">
        <f>Model!AO202</f>
        <v>12.798719999999999</v>
      </c>
      <c r="AY12" t="s">
        <v>211</v>
      </c>
    </row>
    <row r="13" spans="1:51" x14ac:dyDescent="0.25">
      <c r="C13" s="150">
        <f>Model!$AP$13</f>
        <v>3321768</v>
      </c>
      <c r="D13" s="54">
        <f>Model!$AP$16</f>
        <v>0.38461538461538458</v>
      </c>
      <c r="E13" s="151">
        <f t="shared" si="3"/>
        <v>1277603.0769230768</v>
      </c>
      <c r="F13" s="54">
        <f>Model!$AP$29</f>
        <v>1</v>
      </c>
      <c r="G13" s="151">
        <f t="shared" si="4"/>
        <v>1277603.0769230768</v>
      </c>
      <c r="H13" s="108">
        <f>INDEX(Model!$AP$34:$AP$37,MATCH($J13,Model!$AN$34:$AN$37,0))</f>
        <v>0.13950000000000001</v>
      </c>
      <c r="I13" s="129">
        <f t="shared" si="5"/>
        <v>178225.62923076923</v>
      </c>
      <c r="J13" s="54" t="s">
        <v>27</v>
      </c>
      <c r="K13" s="108">
        <f>INDEX(Model!$AP$38:$AP$41,MATCH($J13,Model!$AN$34:$AN$37,0))</f>
        <v>88.687168672720716</v>
      </c>
      <c r="L13" s="128">
        <f>K13*I13</f>
        <v>15806326.441391015</v>
      </c>
      <c r="M13" s="129">
        <f>'Example calcs 2000'!N13*0.95</f>
        <v>10850314.406839872</v>
      </c>
      <c r="N13" s="129">
        <f t="shared" si="6"/>
        <v>2780738.9181738812</v>
      </c>
      <c r="O13" s="129" t="str">
        <f t="shared" si="7"/>
        <v/>
      </c>
      <c r="P13" s="129">
        <f t="shared" si="8"/>
        <v>10850314.406839872</v>
      </c>
      <c r="Q13" s="108" t="s">
        <v>29</v>
      </c>
      <c r="R13" s="52">
        <f t="shared" si="9"/>
        <v>0</v>
      </c>
      <c r="S13" s="108">
        <f>INDEX(Model!$AP$55:$AP$119,MATCH($Q13,Model!$AN$55:$AN$119,0)+MATCH(Model!$AL$117,Model!$AL$55:$AL$119,0)-1)</f>
        <v>0.63300000000000001</v>
      </c>
      <c r="T13" s="128">
        <f t="shared" si="10"/>
        <v>6868249.0195296388</v>
      </c>
      <c r="U13" s="129">
        <f>'Example calcs 2000'!S13*0.8</f>
        <v>5749085.9161368096</v>
      </c>
      <c r="V13" s="129">
        <f t="shared" si="11"/>
        <v>1084460.3715046793</v>
      </c>
      <c r="W13" s="129">
        <f t="shared" si="12"/>
        <v>0.95811694694105154</v>
      </c>
      <c r="X13" s="129">
        <f t="shared" si="0"/>
        <v>6788125.7763614319</v>
      </c>
      <c r="Y13" s="54" t="s">
        <v>35</v>
      </c>
      <c r="Z13" s="52">
        <f t="shared" si="13"/>
        <v>0</v>
      </c>
      <c r="AA13" s="54">
        <f>Model!$AO$148</f>
        <v>1</v>
      </c>
      <c r="AB13" s="54"/>
      <c r="AC13" s="128">
        <f>X13*AA13</f>
        <v>6788125.7763614319</v>
      </c>
      <c r="AD13" s="129">
        <f>'Example calcs 2000'!Y13*0.8</f>
        <v>290357.87455236417</v>
      </c>
      <c r="AE13" s="129">
        <f t="shared" si="14"/>
        <v>1039039.8602246214</v>
      </c>
      <c r="AF13" s="175">
        <f t="shared" ref="AF13" si="22">IFERROR(INDEX($AQ$12,MATCH(AH13,$AP$12,0))/SUM($AQ$12),"")</f>
        <v>1</v>
      </c>
      <c r="AG13" s="129">
        <f t="shared" si="1"/>
        <v>1329397.7347769856</v>
      </c>
      <c r="AH13" s="109" t="s">
        <v>65</v>
      </c>
      <c r="AI13" s="52">
        <f t="shared" si="15"/>
        <v>1</v>
      </c>
      <c r="AJ13" s="109"/>
      <c r="AK13" s="54">
        <f>Model!$AO$205</f>
        <v>1.111</v>
      </c>
      <c r="AL13" s="115">
        <f t="shared" si="16"/>
        <v>0</v>
      </c>
      <c r="AM13" s="109">
        <f t="shared" si="17"/>
        <v>1476960.8833372309</v>
      </c>
      <c r="AP13" s="1" t="s">
        <v>66</v>
      </c>
      <c r="AQ13" s="136">
        <f t="shared" ref="AQ13" si="23">(AS13*AT13/(1-(1+AT13)^(-AU13))+SUM(AV13:AX13))^-AR13</f>
        <v>1.0103875157687775E-31</v>
      </c>
      <c r="AR13">
        <f>Model!$AO$154</f>
        <v>10</v>
      </c>
      <c r="AS13" s="145">
        <f>Model!AP172</f>
        <v>4641.7</v>
      </c>
      <c r="AT13">
        <f>Model!AO171</f>
        <v>0.25</v>
      </c>
      <c r="AU13">
        <f>Model!AO170</f>
        <v>12</v>
      </c>
      <c r="AV13" s="145">
        <f>Model!AP173</f>
        <v>0</v>
      </c>
      <c r="AW13" s="145">
        <f>Model!AP174</f>
        <v>0</v>
      </c>
      <c r="AX13" s="164">
        <f>Model!AO175</f>
        <v>11.572000000000001</v>
      </c>
      <c r="AY13" t="s">
        <v>211</v>
      </c>
    </row>
    <row r="14" spans="1:51" x14ac:dyDescent="0.25">
      <c r="C14" s="150">
        <f>Model!$AP$13</f>
        <v>3321768</v>
      </c>
      <c r="D14" s="54">
        <f>Model!$AP$16</f>
        <v>0.38461538461538458</v>
      </c>
      <c r="E14" s="151">
        <f t="shared" si="3"/>
        <v>1277603.0769230768</v>
      </c>
      <c r="F14" s="54">
        <f>Model!$AP$29</f>
        <v>1</v>
      </c>
      <c r="G14" s="151">
        <f t="shared" si="4"/>
        <v>1277603.0769230768</v>
      </c>
      <c r="H14" s="108">
        <f>INDEX(Model!$AP$34:$AP$37,MATCH($J14,Model!$AN$34:$AN$37,0))</f>
        <v>0.13950000000000001</v>
      </c>
      <c r="I14" s="129">
        <f t="shared" si="5"/>
        <v>178225.62923076923</v>
      </c>
      <c r="J14" s="54" t="s">
        <v>27</v>
      </c>
      <c r="K14" s="108">
        <f>INDEX(Model!$AP$38:$AP$41,MATCH($J14,Model!$AN$34:$AN$37,0))</f>
        <v>88.687168672720716</v>
      </c>
      <c r="L14" s="128">
        <f>K14*I14</f>
        <v>15806326.441391015</v>
      </c>
      <c r="M14" s="129">
        <f>'Example calcs 2000'!N14*0.95</f>
        <v>2175273.1163772615</v>
      </c>
      <c r="N14" s="129">
        <f t="shared" si="6"/>
        <v>2780738.9181738812</v>
      </c>
      <c r="O14" s="129" t="str">
        <f t="shared" si="7"/>
        <v/>
      </c>
      <c r="P14" s="129">
        <f t="shared" si="8"/>
        <v>2175273.1163772615</v>
      </c>
      <c r="Q14" s="108" t="s">
        <v>30</v>
      </c>
      <c r="R14" s="52">
        <f t="shared" si="9"/>
        <v>1</v>
      </c>
      <c r="S14" s="108">
        <f>INDEX(Model!$AP$55:$AP$119,MATCH($Q14,Model!$AN$55:$AN$119,0)+MATCH(Model!$AL$117,Model!$AL$55:$AL$119,0)-1)</f>
        <v>0.997</v>
      </c>
      <c r="T14" s="128">
        <f t="shared" si="10"/>
        <v>2168747.2970281295</v>
      </c>
      <c r="U14" s="129">
        <f>'Example calcs 2000'!S14*0.8</f>
        <v>10957.881079721077</v>
      </c>
      <c r="V14" s="129">
        <f t="shared" si="11"/>
        <v>342433.78374128323</v>
      </c>
      <c r="W14" s="129">
        <f t="shared" si="12"/>
        <v>4.1883053058948572E-2</v>
      </c>
      <c r="X14" s="129">
        <f t="shared" si="0"/>
        <v>25300.053413333764</v>
      </c>
      <c r="Y14" s="54" t="s">
        <v>34</v>
      </c>
      <c r="Z14" s="52">
        <f t="shared" si="13"/>
        <v>1</v>
      </c>
      <c r="AA14" s="54"/>
      <c r="AB14" s="54">
        <f>Model!$AO$138</f>
        <v>1</v>
      </c>
      <c r="AC14" s="128"/>
      <c r="AD14" s="129">
        <f>'Example calcs 2000'!Y14*0.8</f>
        <v>0</v>
      </c>
      <c r="AE14" s="129">
        <f t="shared" si="14"/>
        <v>0</v>
      </c>
      <c r="AF14" s="129" t="str">
        <f t="shared" si="20"/>
        <v/>
      </c>
      <c r="AG14" s="129">
        <f t="shared" si="1"/>
        <v>0</v>
      </c>
      <c r="AH14" s="109"/>
      <c r="AI14" s="52">
        <f t="shared" si="15"/>
        <v>1</v>
      </c>
      <c r="AJ14" s="109"/>
      <c r="AK14" s="54"/>
      <c r="AL14" s="115">
        <f t="shared" si="16"/>
        <v>25300.053413333764</v>
      </c>
      <c r="AM14" s="109">
        <f t="shared" si="17"/>
        <v>0</v>
      </c>
    </row>
    <row r="15" spans="1:51" x14ac:dyDescent="0.25">
      <c r="C15" s="165">
        <f>Model!$AP$13</f>
        <v>3321768</v>
      </c>
      <c r="D15" s="110">
        <f>Model!$AP$16</f>
        <v>0.38461538461538458</v>
      </c>
      <c r="E15" s="166">
        <f t="shared" si="3"/>
        <v>1277603.0769230768</v>
      </c>
      <c r="F15" s="110">
        <f>Model!$AP$29</f>
        <v>1</v>
      </c>
      <c r="G15" s="166">
        <f t="shared" si="4"/>
        <v>1277603.0769230768</v>
      </c>
      <c r="H15" s="111">
        <f>INDEX(Model!$AP$34:$AP$37,MATCH($J15,Model!$AN$34:$AN$37,0))</f>
        <v>0.13950000000000001</v>
      </c>
      <c r="I15" s="130">
        <f t="shared" si="5"/>
        <v>178225.62923076923</v>
      </c>
      <c r="J15" s="110" t="s">
        <v>27</v>
      </c>
      <c r="K15" s="111">
        <f>INDEX(Model!$AP$38:$AP$41,MATCH($J15,Model!$AN$34:$AN$37,0))</f>
        <v>88.687168672720716</v>
      </c>
      <c r="L15" s="132">
        <f>K15*I15</f>
        <v>15806326.441391015</v>
      </c>
      <c r="M15" s="130">
        <f>'Example calcs 2000'!N15*0.95</f>
        <v>2175273.1163772615</v>
      </c>
      <c r="N15" s="130">
        <f t="shared" si="6"/>
        <v>2780738.9181738812</v>
      </c>
      <c r="O15" s="130" t="str">
        <f t="shared" si="7"/>
        <v/>
      </c>
      <c r="P15" s="130">
        <f t="shared" si="8"/>
        <v>2175273.1163772615</v>
      </c>
      <c r="Q15" s="111" t="s">
        <v>30</v>
      </c>
      <c r="R15" s="167">
        <f t="shared" si="9"/>
        <v>0</v>
      </c>
      <c r="S15" s="111">
        <f>INDEX(Model!$AP$55:$AP$119,MATCH($Q15,Model!$AN$55:$AN$119,0)+MATCH(Model!$AL$117,Model!$AL$55:$AL$119,0)-1)</f>
        <v>0.997</v>
      </c>
      <c r="T15" s="132">
        <f t="shared" si="10"/>
        <v>2168747.2970281295</v>
      </c>
      <c r="U15" s="130">
        <f>'Example calcs 2000'!S15*0.8</f>
        <v>1815355.6322071252</v>
      </c>
      <c r="V15" s="130">
        <f t="shared" si="11"/>
        <v>342433.78374128323</v>
      </c>
      <c r="W15" s="130">
        <f t="shared" si="12"/>
        <v>0.95811694694105154</v>
      </c>
      <c r="X15" s="130">
        <f t="shared" si="0"/>
        <v>2143447.2436147956</v>
      </c>
      <c r="Y15" s="110" t="s">
        <v>35</v>
      </c>
      <c r="Z15" s="167">
        <f t="shared" si="13"/>
        <v>1</v>
      </c>
      <c r="AA15" s="110">
        <f>Model!$AO$148</f>
        <v>1</v>
      </c>
      <c r="AB15" s="110"/>
      <c r="AC15" s="132">
        <f>X15*AA15</f>
        <v>2143447.2436147956</v>
      </c>
      <c r="AD15" s="130">
        <f>'Example calcs 2000'!Y15*0.8</f>
        <v>0</v>
      </c>
      <c r="AE15" s="130">
        <f t="shared" si="14"/>
        <v>328091.61140767043</v>
      </c>
      <c r="AF15" s="149"/>
      <c r="AG15" s="130">
        <f t="shared" si="1"/>
        <v>0</v>
      </c>
      <c r="AH15" s="110" t="s">
        <v>66</v>
      </c>
      <c r="AI15" s="167">
        <f t="shared" si="15"/>
        <v>1</v>
      </c>
      <c r="AJ15" s="110">
        <f>Model!$AO$179</f>
        <v>0.52600000000000002</v>
      </c>
      <c r="AK15" s="110"/>
      <c r="AL15" s="116">
        <f t="shared" si="16"/>
        <v>0</v>
      </c>
      <c r="AM15" s="110">
        <f t="shared" si="17"/>
        <v>0</v>
      </c>
      <c r="AP15" s="1"/>
    </row>
    <row r="16" spans="1:51" x14ac:dyDescent="0.25">
      <c r="C16" s="150">
        <f>Model!$AP$13</f>
        <v>3321768</v>
      </c>
      <c r="D16" s="54">
        <f>Model!$AP$16</f>
        <v>0.38461538461538458</v>
      </c>
      <c r="E16" s="151">
        <f t="shared" si="3"/>
        <v>1277603.0769230768</v>
      </c>
      <c r="F16" s="54">
        <f>Model!$AP$29</f>
        <v>1</v>
      </c>
      <c r="G16" s="151">
        <f t="shared" si="4"/>
        <v>1277603.0769230768</v>
      </c>
      <c r="H16" s="108">
        <f>INDEX(Model!$AP$34:$AP$37,MATCH($J16,Model!$AN$34:$AN$37,0))</f>
        <v>0.13950000000000001</v>
      </c>
      <c r="I16" s="129">
        <f t="shared" si="5"/>
        <v>178225.62923076923</v>
      </c>
      <c r="J16" s="54" t="s">
        <v>27</v>
      </c>
      <c r="K16" s="108">
        <f>INDEX(Model!$AP$38:$AP$41,MATCH($J16,Model!$AN$34:$AN$37,0))</f>
        <v>88.687168672720716</v>
      </c>
      <c r="L16" s="128">
        <f>K16*I16</f>
        <v>15806326.441391015</v>
      </c>
      <c r="M16" s="129">
        <f>'Example calcs 2000'!N16*0.95</f>
        <v>2175273.1163772615</v>
      </c>
      <c r="N16" s="129">
        <f t="shared" si="6"/>
        <v>2780738.9181738812</v>
      </c>
      <c r="O16" s="129" t="str">
        <f t="shared" si="7"/>
        <v/>
      </c>
      <c r="P16" s="129">
        <f t="shared" si="8"/>
        <v>2175273.1163772615</v>
      </c>
      <c r="Q16" s="108" t="s">
        <v>30</v>
      </c>
      <c r="R16" s="52">
        <f t="shared" si="9"/>
        <v>0</v>
      </c>
      <c r="S16" s="108">
        <f>INDEX(Model!$AP$55:$AP$119,MATCH($Q16,Model!$AN$55:$AN$119,0)+MATCH(Model!$AL$117,Model!$AL$55:$AL$119,0)-1)</f>
        <v>0.997</v>
      </c>
      <c r="T16" s="128">
        <f t="shared" si="10"/>
        <v>2168747.2970281295</v>
      </c>
      <c r="U16" s="129">
        <f>'Example calcs 2000'!S16*0.8</f>
        <v>1815355.6322071252</v>
      </c>
      <c r="V16" s="129">
        <f t="shared" si="11"/>
        <v>342433.78374128323</v>
      </c>
      <c r="W16" s="129">
        <f t="shared" si="12"/>
        <v>0.95811694694105154</v>
      </c>
      <c r="X16" s="129">
        <f t="shared" si="0"/>
        <v>2143447.2436147956</v>
      </c>
      <c r="Y16" s="54" t="s">
        <v>35</v>
      </c>
      <c r="Z16" s="52">
        <f t="shared" si="13"/>
        <v>0</v>
      </c>
      <c r="AA16" s="54">
        <f>Model!$AO$148</f>
        <v>1</v>
      </c>
      <c r="AB16" s="54"/>
      <c r="AC16" s="128">
        <f>X16*AA16</f>
        <v>2143447.2436147956</v>
      </c>
      <c r="AD16" s="129">
        <f>'Example calcs 2000'!Y16*0.8</f>
        <v>0</v>
      </c>
      <c r="AE16" s="129">
        <f t="shared" si="14"/>
        <v>328091.61140767043</v>
      </c>
      <c r="AF16" s="175" t="str">
        <f t="shared" ref="AF16:AF18" si="24">IFERROR(INDEX($AQ$12,MATCH(AH16,$AP$12,0))/SUM($AQ$12),"")</f>
        <v/>
      </c>
      <c r="AG16" s="129">
        <f t="shared" si="1"/>
        <v>0</v>
      </c>
      <c r="AH16" s="109" t="s">
        <v>139</v>
      </c>
      <c r="AI16" s="52">
        <f t="shared" si="15"/>
        <v>1</v>
      </c>
      <c r="AJ16" s="109">
        <f>Model!$AO$192</f>
        <v>0.4</v>
      </c>
      <c r="AK16" s="54"/>
      <c r="AL16" s="115">
        <f t="shared" si="16"/>
        <v>0</v>
      </c>
      <c r="AM16" s="109">
        <f t="shared" si="17"/>
        <v>0</v>
      </c>
      <c r="AP16" s="1"/>
    </row>
    <row r="17" spans="3:50" x14ac:dyDescent="0.25">
      <c r="C17" s="150">
        <f>Model!$AP$13</f>
        <v>3321768</v>
      </c>
      <c r="D17" s="54">
        <f>Model!$AP$16</f>
        <v>0.38461538461538458</v>
      </c>
      <c r="E17" s="151">
        <f t="shared" si="3"/>
        <v>1277603.0769230768</v>
      </c>
      <c r="F17" s="54">
        <f>Model!$AP$29</f>
        <v>1</v>
      </c>
      <c r="G17" s="151">
        <f t="shared" si="4"/>
        <v>1277603.0769230768</v>
      </c>
      <c r="H17" s="108">
        <f>INDEX(Model!$AP$34:$AP$37,MATCH($J17,Model!$AN$34:$AN$37,0))</f>
        <v>0.13950000000000001</v>
      </c>
      <c r="I17" s="129">
        <f t="shared" si="5"/>
        <v>178225.62923076923</v>
      </c>
      <c r="J17" s="54" t="s">
        <v>27</v>
      </c>
      <c r="K17" s="108">
        <f>INDEX(Model!$AP$38:$AP$41,MATCH($J17,Model!$AN$34:$AN$37,0))</f>
        <v>88.687168672720716</v>
      </c>
      <c r="L17" s="128">
        <f>K17*I17</f>
        <v>15806326.441391015</v>
      </c>
      <c r="M17" s="129">
        <f>'Example calcs 2000'!N17*0.95</f>
        <v>2175273.1163772615</v>
      </c>
      <c r="N17" s="129">
        <f t="shared" si="6"/>
        <v>2780738.9181738812</v>
      </c>
      <c r="O17" s="129" t="str">
        <f t="shared" si="7"/>
        <v/>
      </c>
      <c r="P17" s="129">
        <f t="shared" si="8"/>
        <v>2175273.1163772615</v>
      </c>
      <c r="Q17" s="108" t="s">
        <v>30</v>
      </c>
      <c r="R17" s="52">
        <f t="shared" si="9"/>
        <v>0</v>
      </c>
      <c r="S17" s="108">
        <f>INDEX(Model!$AP$55:$AP$119,MATCH($Q17,Model!$AN$55:$AN$119,0)+MATCH(Model!$AL$117,Model!$AL$55:$AL$119,0)-1)</f>
        <v>0.997</v>
      </c>
      <c r="T17" s="128">
        <f t="shared" si="10"/>
        <v>2168747.2970281295</v>
      </c>
      <c r="U17" s="129">
        <f>'Example calcs 2000'!S17*0.8</f>
        <v>1815355.6322071252</v>
      </c>
      <c r="V17" s="129">
        <f t="shared" si="11"/>
        <v>342433.78374128323</v>
      </c>
      <c r="W17" s="129">
        <f t="shared" si="12"/>
        <v>0.95811694694105154</v>
      </c>
      <c r="X17" s="129">
        <f t="shared" si="0"/>
        <v>2143447.2436147956</v>
      </c>
      <c r="Y17" s="54" t="s">
        <v>35</v>
      </c>
      <c r="Z17" s="52">
        <f t="shared" si="13"/>
        <v>0</v>
      </c>
      <c r="AA17" s="54">
        <f>Model!$AO$148</f>
        <v>1</v>
      </c>
      <c r="AB17" s="54"/>
      <c r="AC17" s="128">
        <f>X17*AA17</f>
        <v>2143447.2436147956</v>
      </c>
      <c r="AD17" s="129">
        <f>'Example calcs 2000'!Y17*0.8</f>
        <v>1723671.0043178764</v>
      </c>
      <c r="AE17" s="129">
        <f t="shared" si="14"/>
        <v>328091.61140767043</v>
      </c>
      <c r="AF17" s="175" t="str">
        <f>IFERROR(INDEX($AQ$12,MATCH(AH17,$AP$12,0))/SUM($AQ$12),"")</f>
        <v/>
      </c>
      <c r="AG17" s="129">
        <f t="shared" si="1"/>
        <v>1723671.0043178764</v>
      </c>
      <c r="AH17" s="109" t="s">
        <v>64</v>
      </c>
      <c r="AI17" s="52">
        <f t="shared" si="15"/>
        <v>1</v>
      </c>
      <c r="AJ17" s="109"/>
      <c r="AK17" s="109">
        <f>Model!$AO$165</f>
        <v>1.613</v>
      </c>
      <c r="AL17" s="115">
        <f t="shared" si="16"/>
        <v>0</v>
      </c>
      <c r="AM17" s="109">
        <f t="shared" si="17"/>
        <v>2780281.3299647346</v>
      </c>
      <c r="AP17" s="1"/>
    </row>
    <row r="18" spans="3:50" x14ac:dyDescent="0.25">
      <c r="C18" s="150">
        <f>Model!$AP$13</f>
        <v>3321768</v>
      </c>
      <c r="D18" s="54">
        <f>Model!$AP$16</f>
        <v>0.38461538461538458</v>
      </c>
      <c r="E18" s="151">
        <f t="shared" si="3"/>
        <v>1277603.0769230768</v>
      </c>
      <c r="F18" s="54">
        <f>Model!$AP$29</f>
        <v>1</v>
      </c>
      <c r="G18" s="151">
        <f t="shared" si="4"/>
        <v>1277603.0769230768</v>
      </c>
      <c r="H18" s="108">
        <f>INDEX(Model!$AP$34:$AP$37,MATCH($J18,Model!$AN$34:$AN$37,0))</f>
        <v>0.13950000000000001</v>
      </c>
      <c r="I18" s="129">
        <f t="shared" si="5"/>
        <v>178225.62923076923</v>
      </c>
      <c r="J18" s="54" t="s">
        <v>27</v>
      </c>
      <c r="K18" s="108">
        <f>INDEX(Model!$AP$38:$AP$41,MATCH($J18,Model!$AN$34:$AN$37,0))</f>
        <v>88.687168672720716</v>
      </c>
      <c r="L18" s="128">
        <f>K18*I18</f>
        <v>15806326.441391015</v>
      </c>
      <c r="M18" s="129">
        <f>'Example calcs 2000'!N18*0.95</f>
        <v>2175273.1163772615</v>
      </c>
      <c r="N18" s="129">
        <f t="shared" si="6"/>
        <v>2780738.9181738812</v>
      </c>
      <c r="O18" s="129" t="str">
        <f t="shared" si="7"/>
        <v/>
      </c>
      <c r="P18" s="129">
        <f t="shared" si="8"/>
        <v>2175273.1163772615</v>
      </c>
      <c r="Q18" s="108" t="s">
        <v>30</v>
      </c>
      <c r="R18" s="52">
        <f t="shared" si="9"/>
        <v>0</v>
      </c>
      <c r="S18" s="108">
        <f>INDEX(Model!$AP$55:$AP$119,MATCH($Q18,Model!$AN$55:$AN$119,0)+MATCH(Model!$AL$117,Model!$AL$55:$AL$119,0)-1)</f>
        <v>0.997</v>
      </c>
      <c r="T18" s="128">
        <f t="shared" si="10"/>
        <v>2168747.2970281295</v>
      </c>
      <c r="U18" s="129">
        <f>'Example calcs 2000'!S18*0.8</f>
        <v>1815355.6322071252</v>
      </c>
      <c r="V18" s="129">
        <f t="shared" si="11"/>
        <v>342433.78374128323</v>
      </c>
      <c r="W18" s="129">
        <f t="shared" si="12"/>
        <v>0.95811694694105154</v>
      </c>
      <c r="X18" s="129">
        <f t="shared" si="0"/>
        <v>2143447.2436147956</v>
      </c>
      <c r="Y18" s="54" t="s">
        <v>35</v>
      </c>
      <c r="Z18" s="52">
        <f t="shared" si="13"/>
        <v>0</v>
      </c>
      <c r="AA18" s="54">
        <f>Model!$AO$148</f>
        <v>1</v>
      </c>
      <c r="AB18" s="54"/>
      <c r="AC18" s="128">
        <f>X18*AA18</f>
        <v>2143447.2436147956</v>
      </c>
      <c r="AD18" s="129">
        <f>'Example calcs 2000'!Y18*0.8</f>
        <v>91684.627889248761</v>
      </c>
      <c r="AE18" s="129">
        <f t="shared" si="14"/>
        <v>328091.61140767043</v>
      </c>
      <c r="AF18" s="175">
        <f t="shared" ref="AF18" si="25">IFERROR(INDEX($AQ$12,MATCH(AH18,$AP$12,0))/SUM($AQ$12),"")</f>
        <v>1</v>
      </c>
      <c r="AG18" s="129">
        <f t="shared" si="1"/>
        <v>419776.2392969192</v>
      </c>
      <c r="AH18" s="109" t="s">
        <v>65</v>
      </c>
      <c r="AI18" s="52">
        <f t="shared" si="15"/>
        <v>1</v>
      </c>
      <c r="AJ18" s="109"/>
      <c r="AK18" s="109">
        <f>Model!$AO$205</f>
        <v>1.111</v>
      </c>
      <c r="AL18" s="115">
        <f t="shared" si="16"/>
        <v>0</v>
      </c>
      <c r="AM18" s="109">
        <f t="shared" si="17"/>
        <v>466371.40185887722</v>
      </c>
      <c r="AP18" s="1"/>
    </row>
    <row r="19" spans="3:50" x14ac:dyDescent="0.25">
      <c r="C19" s="150">
        <f>Model!$AP$13</f>
        <v>3321768</v>
      </c>
      <c r="D19" s="54">
        <f>Model!$AP$16</f>
        <v>0.38461538461538458</v>
      </c>
      <c r="E19" s="151">
        <f t="shared" si="3"/>
        <v>1277603.0769230768</v>
      </c>
      <c r="F19" s="54">
        <f>Model!$AP$29</f>
        <v>1</v>
      </c>
      <c r="G19" s="151">
        <f t="shared" si="4"/>
        <v>1277603.0769230768</v>
      </c>
      <c r="H19" s="108">
        <f>INDEX(Model!$AP$34:$AP$37,MATCH($J19,Model!$AN$34:$AN$37,0))</f>
        <v>0.13950000000000001</v>
      </c>
      <c r="I19" s="129">
        <f t="shared" si="5"/>
        <v>178225.62923076923</v>
      </c>
      <c r="J19" s="54" t="s">
        <v>27</v>
      </c>
      <c r="K19" s="108">
        <f>INDEX(Model!$AP$38:$AP$41,MATCH($J19,Model!$AN$34:$AN$37,0))</f>
        <v>88.687168672720716</v>
      </c>
      <c r="L19" s="128">
        <f>K19*I19</f>
        <v>15806326.441391015</v>
      </c>
      <c r="M19" s="129">
        <f>'Example calcs 2000'!N19*0.95</f>
        <v>0</v>
      </c>
      <c r="N19" s="129">
        <f t="shared" si="6"/>
        <v>2780738.9181738812</v>
      </c>
      <c r="O19" s="129">
        <f t="shared" si="7"/>
        <v>1.0208069021639147E-6</v>
      </c>
      <c r="P19" s="129">
        <f t="shared" si="8"/>
        <v>2.8385974807877155</v>
      </c>
      <c r="Q19" s="108" t="s">
        <v>32</v>
      </c>
      <c r="R19" s="52">
        <f t="shared" si="9"/>
        <v>1</v>
      </c>
      <c r="S19" s="108">
        <f>INDEX(Model!$AP$55:$AP$119,MATCH($Q19,Model!$AN$55:$AN$119,0)+MATCH(Model!$AL$117,Model!$AL$55:$AL$119,0)-1)</f>
        <v>0.36</v>
      </c>
      <c r="T19" s="128">
        <f t="shared" si="10"/>
        <v>1.0218950930835775</v>
      </c>
      <c r="U19" s="129">
        <f>'Example calcs 2000'!S19*0.8</f>
        <v>0</v>
      </c>
      <c r="V19" s="129">
        <f t="shared" si="11"/>
        <v>1.0218950930835775</v>
      </c>
      <c r="W19" s="129">
        <f t="shared" si="12"/>
        <v>4.1883053058948572E-2</v>
      </c>
      <c r="X19" s="129">
        <f t="shared" si="0"/>
        <v>4.2800086404298665E-2</v>
      </c>
      <c r="Y19" s="54" t="s">
        <v>34</v>
      </c>
      <c r="Z19" s="52">
        <f t="shared" si="13"/>
        <v>1</v>
      </c>
      <c r="AA19" s="54"/>
      <c r="AB19" s="54">
        <f>Model!$AO$138</f>
        <v>1</v>
      </c>
      <c r="AC19" s="128"/>
      <c r="AD19" s="129">
        <f>'Example calcs 2000'!Y19*0.8</f>
        <v>0</v>
      </c>
      <c r="AE19" s="129">
        <f t="shared" si="14"/>
        <v>0</v>
      </c>
      <c r="AF19" s="129" t="str">
        <f t="shared" si="20"/>
        <v/>
      </c>
      <c r="AG19" s="129">
        <f t="shared" si="1"/>
        <v>0</v>
      </c>
      <c r="AH19" s="109"/>
      <c r="AI19" s="52">
        <f t="shared" si="15"/>
        <v>1</v>
      </c>
      <c r="AJ19" s="109"/>
      <c r="AK19" s="109"/>
      <c r="AL19" s="115">
        <f t="shared" si="16"/>
        <v>4.2800086404298665E-2</v>
      </c>
      <c r="AM19" s="109">
        <f t="shared" si="17"/>
        <v>0</v>
      </c>
    </row>
    <row r="20" spans="3:50" x14ac:dyDescent="0.25">
      <c r="C20" s="165">
        <f>Model!$AP$13</f>
        <v>3321768</v>
      </c>
      <c r="D20" s="110">
        <f>Model!$AP$16</f>
        <v>0.38461538461538458</v>
      </c>
      <c r="E20" s="166">
        <f t="shared" si="3"/>
        <v>1277603.0769230768</v>
      </c>
      <c r="F20" s="110">
        <f>Model!$AP$29</f>
        <v>1</v>
      </c>
      <c r="G20" s="166">
        <f t="shared" si="4"/>
        <v>1277603.0769230768</v>
      </c>
      <c r="H20" s="111">
        <f>INDEX(Model!$AP$34:$AP$37,MATCH($J20,Model!$AN$34:$AN$37,0))</f>
        <v>0.13950000000000001</v>
      </c>
      <c r="I20" s="130">
        <f t="shared" si="5"/>
        <v>178225.62923076923</v>
      </c>
      <c r="J20" s="110" t="s">
        <v>27</v>
      </c>
      <c r="K20" s="111">
        <f>INDEX(Model!$AP$38:$AP$41,MATCH($J20,Model!$AN$34:$AN$37,0))</f>
        <v>88.687168672720716</v>
      </c>
      <c r="L20" s="132">
        <f>K20*I20</f>
        <v>15806326.441391015</v>
      </c>
      <c r="M20" s="130">
        <f>'Example calcs 2000'!N20*0.95</f>
        <v>0</v>
      </c>
      <c r="N20" s="130">
        <f t="shared" si="6"/>
        <v>2780738.9181738812</v>
      </c>
      <c r="O20" s="130">
        <f t="shared" si="7"/>
        <v>1.0208069021639147E-6</v>
      </c>
      <c r="P20" s="130">
        <f t="shared" si="8"/>
        <v>2.8385974807877155</v>
      </c>
      <c r="Q20" s="111" t="s">
        <v>32</v>
      </c>
      <c r="R20" s="167">
        <f t="shared" si="9"/>
        <v>0</v>
      </c>
      <c r="S20" s="111">
        <f>INDEX(Model!$AP$55:$AP$119,MATCH($Q20,Model!$AN$55:$AN$119,0)+MATCH(Model!$AL$117,Model!$AL$55:$AL$119,0)-1)</f>
        <v>0.36</v>
      </c>
      <c r="T20" s="132">
        <f t="shared" si="10"/>
        <v>1.0218950930835775</v>
      </c>
      <c r="U20" s="130">
        <f>'Example calcs 2000'!S20*0.8</f>
        <v>0</v>
      </c>
      <c r="V20" s="130">
        <f t="shared" si="11"/>
        <v>1.0218950930835775</v>
      </c>
      <c r="W20" s="130">
        <f t="shared" si="12"/>
        <v>0.95811694694105154</v>
      </c>
      <c r="X20" s="130">
        <f t="shared" si="0"/>
        <v>0.97909500667927896</v>
      </c>
      <c r="Y20" s="110" t="s">
        <v>35</v>
      </c>
      <c r="Z20" s="167">
        <f t="shared" si="13"/>
        <v>1</v>
      </c>
      <c r="AA20" s="110">
        <f>Model!$AO$148</f>
        <v>1</v>
      </c>
      <c r="AB20" s="110"/>
      <c r="AC20" s="132">
        <f>X20*AA20</f>
        <v>0.97909500667927896</v>
      </c>
      <c r="AD20" s="130">
        <f>'Example calcs 2000'!Y20*0.8</f>
        <v>0</v>
      </c>
      <c r="AE20" s="130">
        <f t="shared" si="14"/>
        <v>0.97909500667927896</v>
      </c>
      <c r="AF20" s="149"/>
      <c r="AG20" s="130">
        <f t="shared" si="1"/>
        <v>0</v>
      </c>
      <c r="AH20" s="110" t="s">
        <v>66</v>
      </c>
      <c r="AI20" s="167">
        <f t="shared" si="15"/>
        <v>1</v>
      </c>
      <c r="AJ20" s="110">
        <f>Model!$AO$179</f>
        <v>0.52600000000000002</v>
      </c>
      <c r="AK20" s="110"/>
      <c r="AL20" s="116">
        <f t="shared" si="16"/>
        <v>0</v>
      </c>
      <c r="AM20" s="110">
        <f t="shared" si="17"/>
        <v>0</v>
      </c>
    </row>
    <row r="21" spans="3:50" x14ac:dyDescent="0.25">
      <c r="C21" s="150">
        <f>Model!$AP$13</f>
        <v>3321768</v>
      </c>
      <c r="D21" s="54">
        <f>Model!$AP$16</f>
        <v>0.38461538461538458</v>
      </c>
      <c r="E21" s="151">
        <f t="shared" si="3"/>
        <v>1277603.0769230768</v>
      </c>
      <c r="F21" s="54">
        <f>Model!$AP$29</f>
        <v>1</v>
      </c>
      <c r="G21" s="151">
        <f t="shared" si="4"/>
        <v>1277603.0769230768</v>
      </c>
      <c r="H21" s="108">
        <f>INDEX(Model!$AP$34:$AP$37,MATCH($J21,Model!$AN$34:$AN$37,0))</f>
        <v>0.13950000000000001</v>
      </c>
      <c r="I21" s="129">
        <f t="shared" si="5"/>
        <v>178225.62923076923</v>
      </c>
      <c r="J21" s="54" t="s">
        <v>27</v>
      </c>
      <c r="K21" s="108">
        <f>INDEX(Model!$AP$38:$AP$41,MATCH($J21,Model!$AN$34:$AN$37,0))</f>
        <v>88.687168672720716</v>
      </c>
      <c r="L21" s="128">
        <f>K21*I21</f>
        <v>15806326.441391015</v>
      </c>
      <c r="M21" s="129">
        <f>'Example calcs 2000'!N21*0.95</f>
        <v>0</v>
      </c>
      <c r="N21" s="129">
        <f t="shared" si="6"/>
        <v>2780738.9181738812</v>
      </c>
      <c r="O21" s="129">
        <f t="shared" si="7"/>
        <v>1.0208069021639147E-6</v>
      </c>
      <c r="P21" s="129">
        <f t="shared" si="8"/>
        <v>2.8385974807877155</v>
      </c>
      <c r="Q21" s="108" t="s">
        <v>32</v>
      </c>
      <c r="R21" s="52">
        <f t="shared" si="9"/>
        <v>0</v>
      </c>
      <c r="S21" s="108">
        <f>INDEX(Model!$AP$55:$AP$119,MATCH($Q21,Model!$AN$55:$AN$119,0)+MATCH(Model!$AL$117,Model!$AL$55:$AL$119,0)-1)</f>
        <v>0.36</v>
      </c>
      <c r="T21" s="128">
        <f t="shared" si="10"/>
        <v>1.0218950930835775</v>
      </c>
      <c r="U21" s="129">
        <f>'Example calcs 2000'!S21*0.8</f>
        <v>0</v>
      </c>
      <c r="V21" s="129">
        <f t="shared" si="11"/>
        <v>1.0218950930835775</v>
      </c>
      <c r="W21" s="129">
        <f t="shared" si="12"/>
        <v>0.95811694694105154</v>
      </c>
      <c r="X21" s="129">
        <f t="shared" si="0"/>
        <v>0.97909500667927896</v>
      </c>
      <c r="Y21" s="54" t="s">
        <v>35</v>
      </c>
      <c r="Z21" s="52">
        <f t="shared" si="13"/>
        <v>0</v>
      </c>
      <c r="AA21" s="54">
        <f>Model!$AO$148</f>
        <v>1</v>
      </c>
      <c r="AB21" s="54"/>
      <c r="AC21" s="128">
        <f>X21*AA21</f>
        <v>0.97909500667927896</v>
      </c>
      <c r="AD21" s="129">
        <f>'Example calcs 2000'!Y21*0.8</f>
        <v>0</v>
      </c>
      <c r="AE21" s="129">
        <f t="shared" si="14"/>
        <v>0.97909500667927896</v>
      </c>
      <c r="AF21" s="175" t="str">
        <f t="shared" ref="AF21:AF23" si="26">IFERROR(INDEX($AQ$12,MATCH(AH21,$AP$12,0))/SUM($AQ$12),"")</f>
        <v/>
      </c>
      <c r="AG21" s="129">
        <f t="shared" si="1"/>
        <v>0</v>
      </c>
      <c r="AH21" s="109" t="s">
        <v>139</v>
      </c>
      <c r="AI21" s="52">
        <f t="shared" si="15"/>
        <v>1</v>
      </c>
      <c r="AJ21" s="109">
        <f>Model!$AO$192</f>
        <v>0.4</v>
      </c>
      <c r="AK21" s="109"/>
      <c r="AL21" s="115">
        <f t="shared" si="16"/>
        <v>0</v>
      </c>
      <c r="AM21" s="109">
        <f t="shared" si="17"/>
        <v>0</v>
      </c>
    </row>
    <row r="22" spans="3:50" x14ac:dyDescent="0.25">
      <c r="C22" s="150">
        <f>Model!$AP$13</f>
        <v>3321768</v>
      </c>
      <c r="D22" s="54">
        <f>Model!$AP$16</f>
        <v>0.38461538461538458</v>
      </c>
      <c r="E22" s="151">
        <f t="shared" si="3"/>
        <v>1277603.0769230768</v>
      </c>
      <c r="F22" s="54">
        <f>Model!$AP$29</f>
        <v>1</v>
      </c>
      <c r="G22" s="151">
        <f t="shared" si="4"/>
        <v>1277603.0769230768</v>
      </c>
      <c r="H22" s="108">
        <f>INDEX(Model!$AP$34:$AP$37,MATCH($J22,Model!$AN$34:$AN$37,0))</f>
        <v>0.13950000000000001</v>
      </c>
      <c r="I22" s="129">
        <f t="shared" si="5"/>
        <v>178225.62923076923</v>
      </c>
      <c r="J22" s="54" t="s">
        <v>27</v>
      </c>
      <c r="K22" s="108">
        <f>INDEX(Model!$AP$38:$AP$41,MATCH($J22,Model!$AN$34:$AN$37,0))</f>
        <v>88.687168672720716</v>
      </c>
      <c r="L22" s="128">
        <f>K22*I22</f>
        <v>15806326.441391015</v>
      </c>
      <c r="M22" s="129">
        <f>'Example calcs 2000'!N22*0.95</f>
        <v>0</v>
      </c>
      <c r="N22" s="129">
        <f t="shared" si="6"/>
        <v>2780738.9181738812</v>
      </c>
      <c r="O22" s="129">
        <f t="shared" si="7"/>
        <v>1.0208069021639147E-6</v>
      </c>
      <c r="P22" s="129">
        <f t="shared" si="8"/>
        <v>2.8385974807877155</v>
      </c>
      <c r="Q22" s="108" t="s">
        <v>32</v>
      </c>
      <c r="R22" s="52">
        <f t="shared" si="9"/>
        <v>0</v>
      </c>
      <c r="S22" s="108">
        <f>INDEX(Model!$AP$55:$AP$119,MATCH($Q22,Model!$AN$55:$AN$119,0)+MATCH(Model!$AL$117,Model!$AL$55:$AL$119,0)-1)</f>
        <v>0.36</v>
      </c>
      <c r="T22" s="128">
        <f t="shared" si="10"/>
        <v>1.0218950930835775</v>
      </c>
      <c r="U22" s="129">
        <f>'Example calcs 2000'!S22*0.8</f>
        <v>0</v>
      </c>
      <c r="V22" s="129">
        <f t="shared" si="11"/>
        <v>1.0218950930835775</v>
      </c>
      <c r="W22" s="129">
        <f t="shared" si="12"/>
        <v>0.95811694694105154</v>
      </c>
      <c r="X22" s="129">
        <f t="shared" si="0"/>
        <v>0.97909500667927896</v>
      </c>
      <c r="Y22" s="54" t="s">
        <v>35</v>
      </c>
      <c r="Z22" s="52">
        <f t="shared" si="13"/>
        <v>0</v>
      </c>
      <c r="AA22" s="54">
        <f>Model!$AO$148</f>
        <v>1</v>
      </c>
      <c r="AB22" s="54"/>
      <c r="AC22" s="128">
        <f>X22*AA22</f>
        <v>0.97909500667927896</v>
      </c>
      <c r="AD22" s="129">
        <f>'Example calcs 2000'!Y22*0.8</f>
        <v>0</v>
      </c>
      <c r="AE22" s="129">
        <f t="shared" si="14"/>
        <v>0.97909500667927896</v>
      </c>
      <c r="AF22" s="175" t="str">
        <f>IFERROR(INDEX($AQ$12,MATCH(AH22,$AP$12,0))/SUM($AQ$12),"")</f>
        <v/>
      </c>
      <c r="AG22" s="129">
        <f t="shared" si="1"/>
        <v>0</v>
      </c>
      <c r="AH22" s="109" t="s">
        <v>64</v>
      </c>
      <c r="AI22" s="52">
        <f t="shared" si="15"/>
        <v>1</v>
      </c>
      <c r="AJ22" s="109"/>
      <c r="AK22" s="109">
        <f>Model!$AO$165</f>
        <v>1.613</v>
      </c>
      <c r="AL22" s="115">
        <f t="shared" si="16"/>
        <v>0</v>
      </c>
      <c r="AM22" s="109">
        <f t="shared" si="17"/>
        <v>0</v>
      </c>
    </row>
    <row r="23" spans="3:50" x14ac:dyDescent="0.25">
      <c r="C23" s="150">
        <f>Model!$AP$13</f>
        <v>3321768</v>
      </c>
      <c r="D23" s="54">
        <f>Model!$AP$16</f>
        <v>0.38461538461538458</v>
      </c>
      <c r="E23" s="151">
        <f t="shared" si="3"/>
        <v>1277603.0769230768</v>
      </c>
      <c r="F23" s="54">
        <f>Model!$AP$29</f>
        <v>1</v>
      </c>
      <c r="G23" s="151">
        <f t="shared" si="4"/>
        <v>1277603.0769230768</v>
      </c>
      <c r="H23" s="108">
        <f>INDEX(Model!$AP$34:$AP$37,MATCH($J23,Model!$AN$34:$AN$37,0))</f>
        <v>0.13950000000000001</v>
      </c>
      <c r="I23" s="129">
        <f t="shared" si="5"/>
        <v>178225.62923076923</v>
      </c>
      <c r="J23" s="54" t="s">
        <v>27</v>
      </c>
      <c r="K23" s="108">
        <f>INDEX(Model!$AP$38:$AP$41,MATCH($J23,Model!$AN$34:$AN$37,0))</f>
        <v>88.687168672720716</v>
      </c>
      <c r="L23" s="128">
        <f>K23*I23</f>
        <v>15806326.441391015</v>
      </c>
      <c r="M23" s="129">
        <f>'Example calcs 2000'!N23*0.95</f>
        <v>0</v>
      </c>
      <c r="N23" s="129">
        <f t="shared" si="6"/>
        <v>2780738.9181738812</v>
      </c>
      <c r="O23" s="129">
        <f t="shared" si="7"/>
        <v>1.0208069021639147E-6</v>
      </c>
      <c r="P23" s="129">
        <f t="shared" si="8"/>
        <v>2.8385974807877155</v>
      </c>
      <c r="Q23" s="108" t="s">
        <v>32</v>
      </c>
      <c r="R23" s="52">
        <f t="shared" si="9"/>
        <v>0</v>
      </c>
      <c r="S23" s="108">
        <f>INDEX(Model!$AP$55:$AP$119,MATCH($Q23,Model!$AN$55:$AN$119,0)+MATCH(Model!$AL$117,Model!$AL$55:$AL$119,0)-1)</f>
        <v>0.36</v>
      </c>
      <c r="T23" s="128">
        <f t="shared" si="10"/>
        <v>1.0218950930835775</v>
      </c>
      <c r="U23" s="129">
        <f>'Example calcs 2000'!S23*0.8</f>
        <v>0</v>
      </c>
      <c r="V23" s="129">
        <f t="shared" si="11"/>
        <v>1.0218950930835775</v>
      </c>
      <c r="W23" s="129">
        <f t="shared" si="12"/>
        <v>0.95811694694105154</v>
      </c>
      <c r="X23" s="129">
        <f t="shared" si="0"/>
        <v>0.97909500667927896</v>
      </c>
      <c r="Y23" s="54" t="s">
        <v>35</v>
      </c>
      <c r="Z23" s="52">
        <f t="shared" si="13"/>
        <v>0</v>
      </c>
      <c r="AA23" s="54">
        <f>Model!$AO$148</f>
        <v>1</v>
      </c>
      <c r="AB23" s="54"/>
      <c r="AC23" s="128">
        <f>X23*AA23</f>
        <v>0.97909500667927896</v>
      </c>
      <c r="AD23" s="129">
        <f>'Example calcs 2000'!Y23*0.8</f>
        <v>0</v>
      </c>
      <c r="AE23" s="129">
        <f t="shared" si="14"/>
        <v>0.97909500667927896</v>
      </c>
      <c r="AF23" s="175">
        <f t="shared" ref="AF23" si="27">IFERROR(INDEX($AQ$12,MATCH(AH23,$AP$12,0))/SUM($AQ$12),"")</f>
        <v>1</v>
      </c>
      <c r="AG23" s="129">
        <f t="shared" si="1"/>
        <v>0.97909500667927896</v>
      </c>
      <c r="AH23" s="109" t="s">
        <v>65</v>
      </c>
      <c r="AI23" s="52">
        <f t="shared" si="15"/>
        <v>1</v>
      </c>
      <c r="AJ23" s="109"/>
      <c r="AK23" s="109">
        <f>Model!$AO$205</f>
        <v>1.111</v>
      </c>
      <c r="AL23" s="115">
        <f t="shared" si="16"/>
        <v>0</v>
      </c>
      <c r="AM23" s="109">
        <f t="shared" si="17"/>
        <v>1.087774552420679</v>
      </c>
    </row>
    <row r="24" spans="3:50" x14ac:dyDescent="0.25">
      <c r="C24" s="150">
        <f>Model!$AP$13</f>
        <v>3321768</v>
      </c>
      <c r="D24" s="54">
        <f>Model!$AP$16</f>
        <v>0.38461538461538458</v>
      </c>
      <c r="E24" s="151">
        <f t="shared" si="3"/>
        <v>1277603.0769230768</v>
      </c>
      <c r="F24" s="54">
        <f>Model!$AP$29</f>
        <v>1</v>
      </c>
      <c r="G24" s="151">
        <f t="shared" si="4"/>
        <v>1277603.0769230768</v>
      </c>
      <c r="H24" s="108">
        <f>INDEX(Model!$AP$34:$AP$37,MATCH($J24,Model!$AN$34:$AN$37,0))</f>
        <v>0.13950000000000001</v>
      </c>
      <c r="I24" s="129">
        <f t="shared" si="5"/>
        <v>178225.62923076923</v>
      </c>
      <c r="J24" s="54" t="s">
        <v>27</v>
      </c>
      <c r="K24" s="108">
        <f>INDEX(Model!$AP$38:$AP$41,MATCH($J24,Model!$AN$34:$AN$37,0))</f>
        <v>88.687168672720716</v>
      </c>
      <c r="L24" s="128">
        <f>K24*I24</f>
        <v>15806326.441391015</v>
      </c>
      <c r="M24" s="129">
        <f>'Example calcs 2000'!N24*0.95</f>
        <v>0</v>
      </c>
      <c r="N24" s="129">
        <f t="shared" si="6"/>
        <v>2780738.9181738812</v>
      </c>
      <c r="O24" s="129">
        <f t="shared" si="7"/>
        <v>0.9999989751173719</v>
      </c>
      <c r="P24" s="129">
        <f t="shared" si="8"/>
        <v>2780736.0682428707</v>
      </c>
      <c r="Q24" s="108" t="s">
        <v>31</v>
      </c>
      <c r="R24" s="52">
        <f t="shared" si="9"/>
        <v>1</v>
      </c>
      <c r="S24" s="108">
        <f>INDEX(Model!$AP$55:$AP$119,MATCH($Q24,Model!$AN$55:$AN$119,0)+MATCH(Model!$AL$117,Model!$AL$55:$AL$119,0)-1)</f>
        <v>0.51500000000000001</v>
      </c>
      <c r="T24" s="128">
        <f t="shared" si="10"/>
        <v>1432079.0751450784</v>
      </c>
      <c r="U24" s="129">
        <f>'Example calcs 2000'!S24*0.8</f>
        <v>0</v>
      </c>
      <c r="V24" s="129">
        <f t="shared" si="11"/>
        <v>1432079.0751450784</v>
      </c>
      <c r="W24" s="129">
        <f t="shared" si="12"/>
        <v>4.1883053058948572E-2</v>
      </c>
      <c r="X24" s="129">
        <f t="shared" si="0"/>
        <v>59979.843888911317</v>
      </c>
      <c r="Y24" s="54" t="s">
        <v>34</v>
      </c>
      <c r="Z24" s="52">
        <f t="shared" si="13"/>
        <v>1</v>
      </c>
      <c r="AA24" s="54"/>
      <c r="AB24" s="54">
        <f>Model!$AO$138</f>
        <v>1</v>
      </c>
      <c r="AC24" s="128"/>
      <c r="AD24" s="129">
        <f>'Example calcs 2000'!Y24*0.8</f>
        <v>0</v>
      </c>
      <c r="AE24" s="129">
        <f t="shared" si="14"/>
        <v>0</v>
      </c>
      <c r="AF24" s="129" t="str">
        <f t="shared" si="20"/>
        <v/>
      </c>
      <c r="AG24" s="129">
        <f t="shared" si="1"/>
        <v>0</v>
      </c>
      <c r="AH24" s="109"/>
      <c r="AI24" s="52">
        <f t="shared" si="15"/>
        <v>1</v>
      </c>
      <c r="AJ24" s="109"/>
      <c r="AK24" s="54"/>
      <c r="AL24" s="115">
        <f t="shared" si="16"/>
        <v>59979.843888911317</v>
      </c>
      <c r="AM24" s="109">
        <f t="shared" si="17"/>
        <v>0</v>
      </c>
    </row>
    <row r="25" spans="3:50" x14ac:dyDescent="0.25">
      <c r="C25" s="165">
        <f>Model!$AP$13</f>
        <v>3321768</v>
      </c>
      <c r="D25" s="110">
        <f>Model!$AP$16</f>
        <v>0.38461538461538458</v>
      </c>
      <c r="E25" s="166">
        <f t="shared" si="3"/>
        <v>1277603.0769230768</v>
      </c>
      <c r="F25" s="110">
        <f>Model!$AP$29</f>
        <v>1</v>
      </c>
      <c r="G25" s="166">
        <f t="shared" si="4"/>
        <v>1277603.0769230768</v>
      </c>
      <c r="H25" s="111">
        <f>INDEX(Model!$AP$34:$AP$37,MATCH($J25,Model!$AN$34:$AN$37,0))</f>
        <v>0.13950000000000001</v>
      </c>
      <c r="I25" s="130">
        <f t="shared" si="5"/>
        <v>178225.62923076923</v>
      </c>
      <c r="J25" s="110" t="s">
        <v>27</v>
      </c>
      <c r="K25" s="111">
        <f>INDEX(Model!$AP$38:$AP$41,MATCH($J25,Model!$AN$34:$AN$37,0))</f>
        <v>88.687168672720716</v>
      </c>
      <c r="L25" s="132">
        <f>K25*I25</f>
        <v>15806326.441391015</v>
      </c>
      <c r="M25" s="130">
        <f>'Example calcs 2000'!N25*0.95</f>
        <v>0</v>
      </c>
      <c r="N25" s="130">
        <f t="shared" si="6"/>
        <v>2780738.9181738812</v>
      </c>
      <c r="O25" s="130">
        <f t="shared" si="7"/>
        <v>0.9999989751173719</v>
      </c>
      <c r="P25" s="130">
        <f t="shared" si="8"/>
        <v>2780736.0682428707</v>
      </c>
      <c r="Q25" s="111" t="s">
        <v>31</v>
      </c>
      <c r="R25" s="167">
        <f t="shared" si="9"/>
        <v>0</v>
      </c>
      <c r="S25" s="111">
        <f>INDEX(Model!$AP$55:$AP$119,MATCH($Q25,Model!$AN$55:$AN$119,0)+MATCH(Model!$AL$117,Model!$AL$55:$AL$119,0)-1)</f>
        <v>0.51500000000000001</v>
      </c>
      <c r="T25" s="132">
        <f t="shared" si="10"/>
        <v>1432079.0751450784</v>
      </c>
      <c r="U25" s="130">
        <f>'Example calcs 2000'!S25*0.8</f>
        <v>0</v>
      </c>
      <c r="V25" s="130">
        <f t="shared" si="11"/>
        <v>1432079.0751450784</v>
      </c>
      <c r="W25" s="130">
        <f t="shared" si="12"/>
        <v>0.95811694694105154</v>
      </c>
      <c r="X25" s="130">
        <f t="shared" si="0"/>
        <v>1372099.2312561672</v>
      </c>
      <c r="Y25" s="110" t="s">
        <v>35</v>
      </c>
      <c r="Z25" s="167">
        <f t="shared" si="13"/>
        <v>1</v>
      </c>
      <c r="AA25" s="110">
        <f>Model!$AO$148</f>
        <v>1</v>
      </c>
      <c r="AB25" s="110"/>
      <c r="AC25" s="132">
        <f>X25*AA25</f>
        <v>1372099.2312561672</v>
      </c>
      <c r="AD25" s="130">
        <f>'Example calcs 2000'!Y25*0.8</f>
        <v>0</v>
      </c>
      <c r="AE25" s="130">
        <f t="shared" si="14"/>
        <v>1372099.2312561672</v>
      </c>
      <c r="AF25" s="149"/>
      <c r="AG25" s="130">
        <f t="shared" si="1"/>
        <v>0</v>
      </c>
      <c r="AH25" s="110" t="s">
        <v>66</v>
      </c>
      <c r="AI25" s="167">
        <f t="shared" si="15"/>
        <v>1</v>
      </c>
      <c r="AJ25" s="110">
        <f>Model!$AO$179</f>
        <v>0.52600000000000002</v>
      </c>
      <c r="AK25" s="110"/>
      <c r="AL25" s="116">
        <f t="shared" si="16"/>
        <v>0</v>
      </c>
      <c r="AM25" s="110">
        <f t="shared" si="17"/>
        <v>0</v>
      </c>
    </row>
    <row r="26" spans="3:50" x14ac:dyDescent="0.25">
      <c r="C26" s="150">
        <f>Model!$AP$13</f>
        <v>3321768</v>
      </c>
      <c r="D26" s="54">
        <f>Model!$AP$16</f>
        <v>0.38461538461538458</v>
      </c>
      <c r="E26" s="151">
        <f t="shared" si="3"/>
        <v>1277603.0769230768</v>
      </c>
      <c r="F26" s="54">
        <f>Model!$AP$29</f>
        <v>1</v>
      </c>
      <c r="G26" s="151">
        <f t="shared" si="4"/>
        <v>1277603.0769230768</v>
      </c>
      <c r="H26" s="108">
        <f>INDEX(Model!$AP$34:$AP$37,MATCH($J26,Model!$AN$34:$AN$37,0))</f>
        <v>0.13950000000000001</v>
      </c>
      <c r="I26" s="129">
        <f t="shared" si="5"/>
        <v>178225.62923076923</v>
      </c>
      <c r="J26" s="54" t="s">
        <v>27</v>
      </c>
      <c r="K26" s="108">
        <f>INDEX(Model!$AP$38:$AP$41,MATCH($J26,Model!$AN$34:$AN$37,0))</f>
        <v>88.687168672720716</v>
      </c>
      <c r="L26" s="128">
        <f>K26*I26</f>
        <v>15806326.441391015</v>
      </c>
      <c r="M26" s="129">
        <f>'Example calcs 2000'!N26*0.95</f>
        <v>0</v>
      </c>
      <c r="N26" s="129">
        <f t="shared" si="6"/>
        <v>2780738.9181738812</v>
      </c>
      <c r="O26" s="129">
        <f t="shared" si="7"/>
        <v>0.9999989751173719</v>
      </c>
      <c r="P26" s="129">
        <f t="shared" si="8"/>
        <v>2780736.0682428707</v>
      </c>
      <c r="Q26" s="108" t="s">
        <v>31</v>
      </c>
      <c r="R26" s="52">
        <f t="shared" si="9"/>
        <v>0</v>
      </c>
      <c r="S26" s="108">
        <f>INDEX(Model!$AP$55:$AP$119,MATCH($Q26,Model!$AN$55:$AN$119,0)+MATCH(Model!$AL$117,Model!$AL$55:$AL$119,0)-1)</f>
        <v>0.51500000000000001</v>
      </c>
      <c r="T26" s="128">
        <f t="shared" si="10"/>
        <v>1432079.0751450784</v>
      </c>
      <c r="U26" s="129">
        <f>'Example calcs 2000'!S26*0.8</f>
        <v>0</v>
      </c>
      <c r="V26" s="129">
        <f t="shared" si="11"/>
        <v>1432079.0751450784</v>
      </c>
      <c r="W26" s="129">
        <f t="shared" si="12"/>
        <v>0.95811694694105154</v>
      </c>
      <c r="X26" s="129">
        <f t="shared" si="0"/>
        <v>1372099.2312561672</v>
      </c>
      <c r="Y26" s="54" t="s">
        <v>35</v>
      </c>
      <c r="Z26" s="52">
        <f t="shared" si="13"/>
        <v>0</v>
      </c>
      <c r="AA26" s="54">
        <f>Model!$AO$148</f>
        <v>1</v>
      </c>
      <c r="AB26" s="54"/>
      <c r="AC26" s="128">
        <f>X26*AA26</f>
        <v>1372099.2312561672</v>
      </c>
      <c r="AD26" s="129">
        <f>'Example calcs 2000'!Y26*0.8</f>
        <v>0</v>
      </c>
      <c r="AE26" s="129">
        <f t="shared" si="14"/>
        <v>1372099.2312561672</v>
      </c>
      <c r="AF26" s="175" t="str">
        <f t="shared" ref="AF26:AF28" si="28">IFERROR(INDEX($AQ$12,MATCH(AH26,$AP$12,0))/SUM($AQ$12),"")</f>
        <v/>
      </c>
      <c r="AG26" s="129">
        <f t="shared" si="1"/>
        <v>0</v>
      </c>
      <c r="AH26" s="109" t="s">
        <v>139</v>
      </c>
      <c r="AI26" s="52">
        <f t="shared" si="15"/>
        <v>1</v>
      </c>
      <c r="AJ26" s="109">
        <f>Model!$AO$192</f>
        <v>0.4</v>
      </c>
      <c r="AK26" s="54"/>
      <c r="AL26" s="115">
        <f t="shared" si="16"/>
        <v>0</v>
      </c>
      <c r="AM26" s="109">
        <f t="shared" si="17"/>
        <v>0</v>
      </c>
    </row>
    <row r="27" spans="3:50" x14ac:dyDescent="0.25">
      <c r="C27" s="150">
        <f>Model!$AP$13</f>
        <v>3321768</v>
      </c>
      <c r="D27" s="54">
        <f>Model!$AP$16</f>
        <v>0.38461538461538458</v>
      </c>
      <c r="E27" s="151">
        <f t="shared" si="3"/>
        <v>1277603.0769230768</v>
      </c>
      <c r="F27" s="54">
        <f>Model!$AP$29</f>
        <v>1</v>
      </c>
      <c r="G27" s="151">
        <f t="shared" si="4"/>
        <v>1277603.0769230768</v>
      </c>
      <c r="H27" s="108">
        <f>INDEX(Model!$AP$34:$AP$37,MATCH($J27,Model!$AN$34:$AN$37,0))</f>
        <v>0.13950000000000001</v>
      </c>
      <c r="I27" s="129">
        <f t="shared" si="5"/>
        <v>178225.62923076923</v>
      </c>
      <c r="J27" s="54" t="s">
        <v>27</v>
      </c>
      <c r="K27" s="108">
        <f>INDEX(Model!$AP$38:$AP$41,MATCH($J27,Model!$AN$34:$AN$37,0))</f>
        <v>88.687168672720716</v>
      </c>
      <c r="L27" s="128">
        <f>K27*I27</f>
        <v>15806326.441391015</v>
      </c>
      <c r="M27" s="129">
        <f>'Example calcs 2000'!N27*0.95</f>
        <v>0</v>
      </c>
      <c r="N27" s="129">
        <f t="shared" si="6"/>
        <v>2780738.9181738812</v>
      </c>
      <c r="O27" s="129">
        <f t="shared" si="7"/>
        <v>0.9999989751173719</v>
      </c>
      <c r="P27" s="129">
        <f t="shared" si="8"/>
        <v>2780736.0682428707</v>
      </c>
      <c r="Q27" s="108" t="s">
        <v>31</v>
      </c>
      <c r="R27" s="52">
        <f t="shared" si="9"/>
        <v>0</v>
      </c>
      <c r="S27" s="108">
        <f>INDEX(Model!$AP$55:$AP$119,MATCH($Q27,Model!$AN$55:$AN$119,0)+MATCH(Model!$AL$117,Model!$AL$55:$AL$119,0)-1)</f>
        <v>0.51500000000000001</v>
      </c>
      <c r="T27" s="128">
        <f t="shared" si="10"/>
        <v>1432079.0751450784</v>
      </c>
      <c r="U27" s="129">
        <f>'Example calcs 2000'!S27*0.8</f>
        <v>0</v>
      </c>
      <c r="V27" s="129">
        <f t="shared" si="11"/>
        <v>1432079.0751450784</v>
      </c>
      <c r="W27" s="129">
        <f t="shared" si="12"/>
        <v>0.95811694694105154</v>
      </c>
      <c r="X27" s="129">
        <f t="shared" si="0"/>
        <v>1372099.2312561672</v>
      </c>
      <c r="Y27" s="54" t="s">
        <v>35</v>
      </c>
      <c r="Z27" s="52">
        <f t="shared" si="13"/>
        <v>0</v>
      </c>
      <c r="AA27" s="54">
        <f>Model!$AO$148</f>
        <v>1</v>
      </c>
      <c r="AB27" s="54"/>
      <c r="AC27" s="128">
        <f>X27*AA27</f>
        <v>1372099.2312561672</v>
      </c>
      <c r="AD27" s="129">
        <f>'Example calcs 2000'!Y27*0.8</f>
        <v>0</v>
      </c>
      <c r="AE27" s="129">
        <f t="shared" si="14"/>
        <v>1372099.2312561672</v>
      </c>
      <c r="AF27" s="175" t="str">
        <f>IFERROR(INDEX($AQ$12,MATCH(AH27,$AP$12,0))/SUM($AQ$12),"")</f>
        <v/>
      </c>
      <c r="AG27" s="129">
        <f t="shared" si="1"/>
        <v>0</v>
      </c>
      <c r="AH27" s="109" t="s">
        <v>64</v>
      </c>
      <c r="AI27" s="52">
        <f t="shared" si="15"/>
        <v>1</v>
      </c>
      <c r="AJ27" s="109"/>
      <c r="AK27" s="54">
        <f>Model!$AO$165</f>
        <v>1.613</v>
      </c>
      <c r="AL27" s="115">
        <f t="shared" si="16"/>
        <v>0</v>
      </c>
      <c r="AM27" s="109">
        <f t="shared" si="17"/>
        <v>0</v>
      </c>
    </row>
    <row r="28" spans="3:50" x14ac:dyDescent="0.25">
      <c r="C28" s="150">
        <f>Model!$AP$13</f>
        <v>3321768</v>
      </c>
      <c r="D28" s="54">
        <f>Model!$AP$16</f>
        <v>0.38461538461538458</v>
      </c>
      <c r="E28" s="151">
        <f t="shared" si="3"/>
        <v>1277603.0769230768</v>
      </c>
      <c r="F28" s="54">
        <f>Model!$AP$29</f>
        <v>1</v>
      </c>
      <c r="G28" s="151">
        <f t="shared" si="4"/>
        <v>1277603.0769230768</v>
      </c>
      <c r="H28" s="108">
        <f>INDEX(Model!$AP$34:$AP$37,MATCH($J28,Model!$AN$34:$AN$37,0))</f>
        <v>0.13950000000000001</v>
      </c>
      <c r="I28" s="129">
        <f t="shared" si="5"/>
        <v>178225.62923076923</v>
      </c>
      <c r="J28" s="109" t="s">
        <v>27</v>
      </c>
      <c r="K28" s="119">
        <f>INDEX(Model!$AP$38:$AP$41,MATCH($J28,Model!$AN$34:$AN$37,0))</f>
        <v>88.687168672720716</v>
      </c>
      <c r="L28" s="133">
        <f>K28*I28</f>
        <v>15806326.441391015</v>
      </c>
      <c r="M28" s="131">
        <f>'Example calcs 2000'!N28*0.95</f>
        <v>0</v>
      </c>
      <c r="N28" s="129">
        <f t="shared" si="6"/>
        <v>2780738.9181738812</v>
      </c>
      <c r="O28" s="131">
        <f t="shared" si="7"/>
        <v>0.9999989751173719</v>
      </c>
      <c r="P28" s="131">
        <f t="shared" si="8"/>
        <v>2780736.0682428707</v>
      </c>
      <c r="Q28" s="119" t="s">
        <v>31</v>
      </c>
      <c r="R28" s="52">
        <f t="shared" si="9"/>
        <v>0</v>
      </c>
      <c r="S28" s="119">
        <f>INDEX(Model!$AP$55:$AP$119,MATCH($Q28,Model!$AN$55:$AN$119,0)+MATCH(Model!$AL$117,Model!$AL$55:$AL$119,0)-1)</f>
        <v>0.51500000000000001</v>
      </c>
      <c r="T28" s="133">
        <f t="shared" si="10"/>
        <v>1432079.0751450784</v>
      </c>
      <c r="U28" s="131">
        <f>'Example calcs 2000'!S28*0.8</f>
        <v>0</v>
      </c>
      <c r="V28" s="129">
        <f t="shared" si="11"/>
        <v>1432079.0751450784</v>
      </c>
      <c r="W28" s="131">
        <f t="shared" si="12"/>
        <v>0.95811694694105154</v>
      </c>
      <c r="X28" s="131">
        <f t="shared" si="0"/>
        <v>1372099.2312561672</v>
      </c>
      <c r="Y28" s="109" t="s">
        <v>35</v>
      </c>
      <c r="Z28" s="52">
        <f t="shared" si="13"/>
        <v>0</v>
      </c>
      <c r="AA28" s="109">
        <f>Model!$AO$148</f>
        <v>1</v>
      </c>
      <c r="AB28" s="109"/>
      <c r="AC28" s="133">
        <f>X28*AA28</f>
        <v>1372099.2312561672</v>
      </c>
      <c r="AD28" s="131">
        <f>'Example calcs 2000'!Y28*0.8</f>
        <v>0</v>
      </c>
      <c r="AE28" s="129">
        <f t="shared" si="14"/>
        <v>1372099.2312561672</v>
      </c>
      <c r="AF28" s="175">
        <f t="shared" ref="AF28" si="29">IFERROR(INDEX($AQ$12,MATCH(AH28,$AP$12,0))/SUM($AQ$12),"")</f>
        <v>1</v>
      </c>
      <c r="AG28" s="131">
        <f t="shared" si="1"/>
        <v>1372099.2312561672</v>
      </c>
      <c r="AH28" s="109" t="s">
        <v>65</v>
      </c>
      <c r="AI28" s="52">
        <f t="shared" si="15"/>
        <v>1</v>
      </c>
      <c r="AJ28" s="109"/>
      <c r="AK28" s="109">
        <f>Model!$AO$205</f>
        <v>1.111</v>
      </c>
      <c r="AL28" s="120">
        <f t="shared" si="16"/>
        <v>0</v>
      </c>
      <c r="AM28" s="109">
        <f t="shared" si="17"/>
        <v>1524402.2459256018</v>
      </c>
      <c r="AP28" s="101"/>
      <c r="AQ28" s="101"/>
      <c r="AR28" s="101"/>
      <c r="AS28" s="101"/>
      <c r="AT28" s="101"/>
      <c r="AU28" s="101"/>
      <c r="AV28" s="101"/>
      <c r="AW28" s="101"/>
      <c r="AX28" s="101"/>
    </row>
    <row r="29" spans="3:50" s="101" customFormat="1" x14ac:dyDescent="0.25">
      <c r="C29" s="150">
        <f>Model!$AP$13</f>
        <v>3321768</v>
      </c>
      <c r="D29" s="54">
        <f>Model!$AP$16</f>
        <v>0.38461538461538458</v>
      </c>
      <c r="E29" s="151">
        <f t="shared" si="3"/>
        <v>1277603.0769230768</v>
      </c>
      <c r="F29" s="54">
        <f>Model!$AP$29</f>
        <v>1</v>
      </c>
      <c r="G29" s="151">
        <f t="shared" si="4"/>
        <v>1277603.0769230768</v>
      </c>
      <c r="H29" s="108">
        <f>INDEX(Model!$AP$34:$AP$37,MATCH($J29,Model!$AN$34:$AN$37,0))</f>
        <v>4.0000000000000036E-2</v>
      </c>
      <c r="I29" s="129">
        <f t="shared" si="5"/>
        <v>51104.123076923119</v>
      </c>
      <c r="J29" s="109" t="s">
        <v>28</v>
      </c>
      <c r="K29" s="119">
        <f>INDEX(Model!$AP$38:$AP$41,MATCH($J29,Model!$AN$34:$AN$37,0))</f>
        <v>92.262366258334637</v>
      </c>
      <c r="L29" s="133">
        <f>K29*I29</f>
        <v>4714987.3206340922</v>
      </c>
      <c r="M29" s="131">
        <f>'Example calcs 2000'!N29*0.95</f>
        <v>0</v>
      </c>
      <c r="N29" s="129">
        <f t="shared" si="6"/>
        <v>628250.10236811731</v>
      </c>
      <c r="O29" s="131">
        <f t="shared" si="7"/>
        <v>4.0757259630805254E-9</v>
      </c>
      <c r="P29" s="131">
        <f t="shared" si="8"/>
        <v>2.5605752535297335E-3</v>
      </c>
      <c r="Q29" s="119" t="s">
        <v>33</v>
      </c>
      <c r="R29" s="52">
        <f t="shared" si="9"/>
        <v>1</v>
      </c>
      <c r="S29" s="119">
        <f>INDEX(Model!$AP$55:$AP$119,MATCH($Q29,Model!$AN$55:$AN$119,0)+MATCH(Model!$AL$117,Model!$AL$55:$AL$119,0)-1)</f>
        <v>0.309</v>
      </c>
      <c r="T29" s="133">
        <f t="shared" si="10"/>
        <v>7.9121775334068767E-4</v>
      </c>
      <c r="U29" s="131">
        <f>'Example calcs 2000'!S29*0.8</f>
        <v>0</v>
      </c>
      <c r="V29" s="129">
        <f t="shared" si="11"/>
        <v>7.9121775334068767E-4</v>
      </c>
      <c r="W29" s="131">
        <f t="shared" si="12"/>
        <v>4.1883053058948572E-2</v>
      </c>
      <c r="X29" s="131">
        <f t="shared" si="0"/>
        <v>3.3138615144350104E-5</v>
      </c>
      <c r="Y29" s="109" t="s">
        <v>34</v>
      </c>
      <c r="Z29" s="52">
        <f t="shared" si="13"/>
        <v>1</v>
      </c>
      <c r="AA29" s="109"/>
      <c r="AB29" s="109">
        <f>Model!$AO$138</f>
        <v>1</v>
      </c>
      <c r="AC29" s="133"/>
      <c r="AD29" s="131">
        <f>'Example calcs 2000'!Y29*0.8</f>
        <v>0</v>
      </c>
      <c r="AE29" s="129">
        <f t="shared" si="14"/>
        <v>0</v>
      </c>
      <c r="AF29" s="131" t="str">
        <f t="shared" si="20"/>
        <v/>
      </c>
      <c r="AG29" s="131">
        <f t="shared" si="1"/>
        <v>0</v>
      </c>
      <c r="AH29" s="109"/>
      <c r="AI29" s="52">
        <f t="shared" si="15"/>
        <v>1</v>
      </c>
      <c r="AJ29" s="109"/>
      <c r="AK29" s="109"/>
      <c r="AL29" s="120">
        <f t="shared" si="16"/>
        <v>3.3138615144350104E-5</v>
      </c>
      <c r="AM29" s="109">
        <f t="shared" si="17"/>
        <v>0</v>
      </c>
    </row>
    <row r="30" spans="3:50" s="101" customFormat="1" x14ac:dyDescent="0.25">
      <c r="C30" s="150">
        <f>Model!$AP$13</f>
        <v>3321768</v>
      </c>
      <c r="D30" s="54">
        <f>Model!$AP$16</f>
        <v>0.38461538461538458</v>
      </c>
      <c r="E30" s="151">
        <f t="shared" si="3"/>
        <v>1277603.0769230768</v>
      </c>
      <c r="F30" s="54">
        <f>Model!$AP$29</f>
        <v>1</v>
      </c>
      <c r="G30" s="151">
        <f t="shared" si="4"/>
        <v>1277603.0769230768</v>
      </c>
      <c r="H30" s="108">
        <f>INDEX(Model!$AP$34:$AP$37,MATCH($J30,Model!$AN$34:$AN$37,0))</f>
        <v>4.0000000000000036E-2</v>
      </c>
      <c r="I30" s="129">
        <f t="shared" si="5"/>
        <v>51104.123076923119</v>
      </c>
      <c r="J30" s="109" t="s">
        <v>28</v>
      </c>
      <c r="K30" s="119">
        <f>INDEX(Model!$AP$38:$AP$41,MATCH($J30,Model!$AN$34:$AN$37,0))</f>
        <v>92.262366258334637</v>
      </c>
      <c r="L30" s="133">
        <f>K30*I30</f>
        <v>4714987.3206340922</v>
      </c>
      <c r="M30" s="131">
        <f>'Example calcs 2000'!N30*0.95</f>
        <v>0</v>
      </c>
      <c r="N30" s="129">
        <f t="shared" si="6"/>
        <v>628250.10236811731</v>
      </c>
      <c r="O30" s="131">
        <f t="shared" si="7"/>
        <v>4.0757259630805254E-9</v>
      </c>
      <c r="P30" s="131">
        <f t="shared" si="8"/>
        <v>2.5605752535297335E-3</v>
      </c>
      <c r="Q30" s="119" t="s">
        <v>33</v>
      </c>
      <c r="R30" s="52">
        <f t="shared" si="9"/>
        <v>0</v>
      </c>
      <c r="S30" s="119">
        <f>INDEX(Model!$AP$55:$AP$119,MATCH($Q30,Model!$AN$55:$AN$119,0)+MATCH(Model!$AL$117,Model!$AL$55:$AL$119,0)-1)</f>
        <v>0.309</v>
      </c>
      <c r="T30" s="133">
        <f t="shared" si="10"/>
        <v>7.9121775334068767E-4</v>
      </c>
      <c r="U30" s="131">
        <f>'Example calcs 2000'!S30*0.8</f>
        <v>0</v>
      </c>
      <c r="V30" s="129">
        <f t="shared" si="11"/>
        <v>7.9121775334068767E-4</v>
      </c>
      <c r="W30" s="131">
        <f t="shared" si="12"/>
        <v>0.95811694694105154</v>
      </c>
      <c r="X30" s="131">
        <f t="shared" si="0"/>
        <v>7.5807913819633766E-4</v>
      </c>
      <c r="Y30" s="109" t="s">
        <v>35</v>
      </c>
      <c r="Z30" s="52">
        <f t="shared" si="13"/>
        <v>1</v>
      </c>
      <c r="AA30" s="109">
        <f>Model!$AO$148</f>
        <v>1</v>
      </c>
      <c r="AB30" s="109"/>
      <c r="AC30" s="133">
        <f>X30*AA30</f>
        <v>7.5807913819633766E-4</v>
      </c>
      <c r="AD30" s="131">
        <f>'Example calcs 2000'!Y30*0.8</f>
        <v>0</v>
      </c>
      <c r="AE30" s="129">
        <f t="shared" si="14"/>
        <v>7.5807913819633766E-4</v>
      </c>
      <c r="AF30" s="131">
        <f t="shared" si="20"/>
        <v>4.2219505916481506E-2</v>
      </c>
      <c r="AG30" s="131">
        <f t="shared" si="1"/>
        <v>3.2005726660241476E-5</v>
      </c>
      <c r="AH30" s="109" t="s">
        <v>66</v>
      </c>
      <c r="AI30" s="52">
        <f t="shared" si="15"/>
        <v>1</v>
      </c>
      <c r="AJ30" s="109">
        <f>Model!$AO$179</f>
        <v>0.52600000000000002</v>
      </c>
      <c r="AK30" s="109"/>
      <c r="AL30" s="120">
        <f t="shared" si="16"/>
        <v>1.6835012223287016E-5</v>
      </c>
      <c r="AM30" s="109">
        <f t="shared" si="17"/>
        <v>0</v>
      </c>
    </row>
    <row r="31" spans="3:50" s="101" customFormat="1" x14ac:dyDescent="0.25">
      <c r="C31" s="150">
        <f>Model!$AP$13</f>
        <v>3321768</v>
      </c>
      <c r="D31" s="54">
        <f>Model!$AP$16</f>
        <v>0.38461538461538458</v>
      </c>
      <c r="E31" s="151">
        <f t="shared" si="3"/>
        <v>1277603.0769230768</v>
      </c>
      <c r="F31" s="54">
        <f>Model!$AP$29</f>
        <v>1</v>
      </c>
      <c r="G31" s="151">
        <f t="shared" si="4"/>
        <v>1277603.0769230768</v>
      </c>
      <c r="H31" s="108">
        <f>INDEX(Model!$AP$34:$AP$37,MATCH($J31,Model!$AN$34:$AN$37,0))</f>
        <v>4.0000000000000036E-2</v>
      </c>
      <c r="I31" s="129">
        <f t="shared" si="5"/>
        <v>51104.123076923119</v>
      </c>
      <c r="J31" s="109" t="s">
        <v>28</v>
      </c>
      <c r="K31" s="119">
        <f>INDEX(Model!$AP$38:$AP$41,MATCH($J31,Model!$AN$34:$AN$37,0))</f>
        <v>92.262366258334637</v>
      </c>
      <c r="L31" s="133">
        <f>K31*I31</f>
        <v>4714987.3206340922</v>
      </c>
      <c r="M31" s="131">
        <f>'Example calcs 2000'!N31*0.95</f>
        <v>0</v>
      </c>
      <c r="N31" s="129">
        <f t="shared" si="6"/>
        <v>628250.10236811731</v>
      </c>
      <c r="O31" s="131">
        <f t="shared" si="7"/>
        <v>4.0757259630805254E-9</v>
      </c>
      <c r="P31" s="131">
        <f t="shared" si="8"/>
        <v>2.5605752535297335E-3</v>
      </c>
      <c r="Q31" s="119" t="s">
        <v>33</v>
      </c>
      <c r="R31" s="52">
        <f t="shared" si="9"/>
        <v>0</v>
      </c>
      <c r="S31" s="119">
        <f>INDEX(Model!$AP$55:$AP$119,MATCH($Q31,Model!$AN$55:$AN$119,0)+MATCH(Model!$AL$117,Model!$AL$55:$AL$119,0)-1)</f>
        <v>0.309</v>
      </c>
      <c r="T31" s="133">
        <f t="shared" si="10"/>
        <v>7.9121775334068767E-4</v>
      </c>
      <c r="U31" s="131">
        <f>'Example calcs 2000'!S31*0.8</f>
        <v>0</v>
      </c>
      <c r="V31" s="129">
        <f t="shared" si="11"/>
        <v>7.9121775334068767E-4</v>
      </c>
      <c r="W31" s="131">
        <f t="shared" si="12"/>
        <v>0.95811694694105154</v>
      </c>
      <c r="X31" s="131">
        <f t="shared" si="0"/>
        <v>7.5807913819633766E-4</v>
      </c>
      <c r="Y31" s="109" t="s">
        <v>35</v>
      </c>
      <c r="Z31" s="52">
        <f t="shared" si="13"/>
        <v>0</v>
      </c>
      <c r="AA31" s="109">
        <f>Model!$AO$148</f>
        <v>1</v>
      </c>
      <c r="AB31" s="109"/>
      <c r="AC31" s="133">
        <f>X31*AA31</f>
        <v>7.5807913819633766E-4</v>
      </c>
      <c r="AD31" s="131">
        <f>'Example calcs 2000'!Y31*0.8</f>
        <v>0</v>
      </c>
      <c r="AE31" s="129">
        <f t="shared" si="14"/>
        <v>7.5807913819633766E-4</v>
      </c>
      <c r="AF31" s="131">
        <f t="shared" si="20"/>
        <v>5.2787131529516608E-7</v>
      </c>
      <c r="AG31" s="131">
        <f t="shared" si="1"/>
        <v>4.0016823177752676E-10</v>
      </c>
      <c r="AH31" s="109" t="s">
        <v>139</v>
      </c>
      <c r="AI31" s="52">
        <f t="shared" si="15"/>
        <v>1</v>
      </c>
      <c r="AJ31" s="109">
        <f>Model!$AO$192</f>
        <v>0.4</v>
      </c>
      <c r="AK31" s="109"/>
      <c r="AL31" s="120">
        <f t="shared" si="16"/>
        <v>1.6006729271101071E-10</v>
      </c>
      <c r="AM31" s="109">
        <f t="shared" si="17"/>
        <v>0</v>
      </c>
    </row>
    <row r="32" spans="3:50" s="101" customFormat="1" x14ac:dyDescent="0.25">
      <c r="C32" s="150">
        <f>Model!$AP$13</f>
        <v>3321768</v>
      </c>
      <c r="D32" s="54">
        <f>Model!$AP$16</f>
        <v>0.38461538461538458</v>
      </c>
      <c r="E32" s="151">
        <f t="shared" si="3"/>
        <v>1277603.0769230768</v>
      </c>
      <c r="F32" s="54">
        <f>Model!$AP$29</f>
        <v>1</v>
      </c>
      <c r="G32" s="151">
        <f t="shared" si="4"/>
        <v>1277603.0769230768</v>
      </c>
      <c r="H32" s="108">
        <f>INDEX(Model!$AP$34:$AP$37,MATCH($J32,Model!$AN$34:$AN$37,0))</f>
        <v>4.0000000000000036E-2</v>
      </c>
      <c r="I32" s="129">
        <f t="shared" si="5"/>
        <v>51104.123076923119</v>
      </c>
      <c r="J32" s="109" t="s">
        <v>28</v>
      </c>
      <c r="K32" s="119">
        <f>INDEX(Model!$AP$38:$AP$41,MATCH($J32,Model!$AN$34:$AN$37,0))</f>
        <v>92.262366258334637</v>
      </c>
      <c r="L32" s="133">
        <f>K32*I32</f>
        <v>4714987.3206340922</v>
      </c>
      <c r="M32" s="131">
        <f>'Example calcs 2000'!N32*0.95</f>
        <v>0</v>
      </c>
      <c r="N32" s="129">
        <f t="shared" si="6"/>
        <v>628250.10236811731</v>
      </c>
      <c r="O32" s="131">
        <f t="shared" si="7"/>
        <v>4.0757259630805254E-9</v>
      </c>
      <c r="P32" s="131">
        <f t="shared" si="8"/>
        <v>2.5605752535297335E-3</v>
      </c>
      <c r="Q32" s="119" t="s">
        <v>33</v>
      </c>
      <c r="R32" s="52">
        <f t="shared" si="9"/>
        <v>0</v>
      </c>
      <c r="S32" s="119">
        <f>INDEX(Model!$AP$55:$AP$119,MATCH($Q32,Model!$AN$55:$AN$119,0)+MATCH(Model!$AL$117,Model!$AL$55:$AL$119,0)-1)</f>
        <v>0.309</v>
      </c>
      <c r="T32" s="133">
        <f t="shared" si="10"/>
        <v>7.9121775334068767E-4</v>
      </c>
      <c r="U32" s="131">
        <f>'Example calcs 2000'!S32*0.8</f>
        <v>0</v>
      </c>
      <c r="V32" s="129">
        <f t="shared" si="11"/>
        <v>7.9121775334068767E-4</v>
      </c>
      <c r="W32" s="131">
        <f t="shared" si="12"/>
        <v>0.95811694694105154</v>
      </c>
      <c r="X32" s="131">
        <f t="shared" si="0"/>
        <v>7.5807913819633766E-4</v>
      </c>
      <c r="Y32" s="109" t="s">
        <v>35</v>
      </c>
      <c r="Z32" s="52">
        <f t="shared" si="13"/>
        <v>0</v>
      </c>
      <c r="AA32" s="109">
        <f>Model!$AO$148</f>
        <v>1</v>
      </c>
      <c r="AB32" s="109"/>
      <c r="AC32" s="133">
        <f>X32*AA32</f>
        <v>7.5807913819633766E-4</v>
      </c>
      <c r="AD32" s="131">
        <f>'Example calcs 2000'!Y32*0.8</f>
        <v>0</v>
      </c>
      <c r="AE32" s="129">
        <f t="shared" si="14"/>
        <v>7.5807913819633766E-4</v>
      </c>
      <c r="AF32" s="131" t="str">
        <f t="shared" si="20"/>
        <v/>
      </c>
      <c r="AG32" s="131">
        <f t="shared" si="1"/>
        <v>0</v>
      </c>
      <c r="AH32" s="109" t="s">
        <v>64</v>
      </c>
      <c r="AI32" s="52">
        <f t="shared" si="15"/>
        <v>1</v>
      </c>
      <c r="AJ32" s="109"/>
      <c r="AK32" s="109">
        <f>Model!$AO$165</f>
        <v>1.613</v>
      </c>
      <c r="AL32" s="120">
        <f t="shared" si="16"/>
        <v>0</v>
      </c>
      <c r="AM32" s="109">
        <f t="shared" si="17"/>
        <v>0</v>
      </c>
    </row>
    <row r="33" spans="3:39" s="101" customFormat="1" x14ac:dyDescent="0.25">
      <c r="C33" s="150">
        <f>Model!$AP$13</f>
        <v>3321768</v>
      </c>
      <c r="D33" s="54">
        <f>Model!$AP$16</f>
        <v>0.38461538461538458</v>
      </c>
      <c r="E33" s="151">
        <f t="shared" si="3"/>
        <v>1277603.0769230768</v>
      </c>
      <c r="F33" s="54">
        <f>Model!$AP$29</f>
        <v>1</v>
      </c>
      <c r="G33" s="151">
        <f t="shared" si="4"/>
        <v>1277603.0769230768</v>
      </c>
      <c r="H33" s="108">
        <f>INDEX(Model!$AP$34:$AP$37,MATCH($J33,Model!$AN$34:$AN$37,0))</f>
        <v>4.0000000000000036E-2</v>
      </c>
      <c r="I33" s="129">
        <f t="shared" si="5"/>
        <v>51104.123076923119</v>
      </c>
      <c r="J33" s="109" t="s">
        <v>28</v>
      </c>
      <c r="K33" s="119">
        <f>INDEX(Model!$AP$38:$AP$41,MATCH($J33,Model!$AN$34:$AN$37,0))</f>
        <v>92.262366258334637</v>
      </c>
      <c r="L33" s="133">
        <f>K33*I33</f>
        <v>4714987.3206340922</v>
      </c>
      <c r="M33" s="131">
        <f>'Example calcs 2000'!N33*0.95</f>
        <v>0</v>
      </c>
      <c r="N33" s="129">
        <f t="shared" si="6"/>
        <v>628250.10236811731</v>
      </c>
      <c r="O33" s="131">
        <f t="shared" si="7"/>
        <v>4.0757259630805254E-9</v>
      </c>
      <c r="P33" s="131">
        <f t="shared" si="8"/>
        <v>2.5605752535297335E-3</v>
      </c>
      <c r="Q33" s="119" t="s">
        <v>33</v>
      </c>
      <c r="R33" s="52">
        <f t="shared" si="9"/>
        <v>0</v>
      </c>
      <c r="S33" s="119">
        <f>INDEX(Model!$AP$55:$AP$119,MATCH($Q33,Model!$AN$55:$AN$119,0)+MATCH(Model!$AL$117,Model!$AL$55:$AL$119,0)-1)</f>
        <v>0.309</v>
      </c>
      <c r="T33" s="133">
        <f t="shared" si="10"/>
        <v>7.9121775334068767E-4</v>
      </c>
      <c r="U33" s="131">
        <f>'Example calcs 2000'!S33*0.8</f>
        <v>0</v>
      </c>
      <c r="V33" s="129">
        <f t="shared" si="11"/>
        <v>7.9121775334068767E-4</v>
      </c>
      <c r="W33" s="131">
        <f t="shared" si="12"/>
        <v>0.95811694694105154</v>
      </c>
      <c r="X33" s="131">
        <f t="shared" si="0"/>
        <v>7.5807913819633766E-4</v>
      </c>
      <c r="Y33" s="109" t="s">
        <v>35</v>
      </c>
      <c r="Z33" s="52">
        <f t="shared" si="13"/>
        <v>0</v>
      </c>
      <c r="AA33" s="109">
        <f>Model!$AO$148</f>
        <v>1</v>
      </c>
      <c r="AB33" s="109"/>
      <c r="AC33" s="133">
        <f>X33*AA33</f>
        <v>7.5807913819633766E-4</v>
      </c>
      <c r="AD33" s="131">
        <f>'Example calcs 2000'!Y33*0.8</f>
        <v>0</v>
      </c>
      <c r="AE33" s="129">
        <f t="shared" si="14"/>
        <v>7.5807913819633766E-4</v>
      </c>
      <c r="AF33" s="131">
        <f t="shared" si="20"/>
        <v>0.95777996621220318</v>
      </c>
      <c r="AG33" s="131">
        <f t="shared" si="1"/>
        <v>7.2607301136786437E-4</v>
      </c>
      <c r="AH33" s="109" t="s">
        <v>65</v>
      </c>
      <c r="AI33" s="52">
        <f t="shared" si="15"/>
        <v>1</v>
      </c>
      <c r="AJ33" s="109"/>
      <c r="AK33" s="109">
        <f>Model!$AO$205</f>
        <v>1.111</v>
      </c>
      <c r="AL33" s="120">
        <f t="shared" si="16"/>
        <v>0</v>
      </c>
      <c r="AM33" s="109">
        <f t="shared" si="17"/>
        <v>8.0666711562969728E-4</v>
      </c>
    </row>
    <row r="34" spans="3:39" s="101" customFormat="1" x14ac:dyDescent="0.25">
      <c r="C34" s="150">
        <f>Model!$AP$13</f>
        <v>3321768</v>
      </c>
      <c r="D34" s="54">
        <f>Model!$AP$16</f>
        <v>0.38461538461538458</v>
      </c>
      <c r="E34" s="151">
        <f t="shared" si="3"/>
        <v>1277603.0769230768</v>
      </c>
      <c r="F34" s="54">
        <f>Model!$AP$29</f>
        <v>1</v>
      </c>
      <c r="G34" s="151">
        <f t="shared" si="4"/>
        <v>1277603.0769230768</v>
      </c>
      <c r="H34" s="108">
        <f>INDEX(Model!$AP$34:$AP$37,MATCH($J34,Model!$AN$34:$AN$37,0))</f>
        <v>4.0000000000000036E-2</v>
      </c>
      <c r="I34" s="129">
        <f t="shared" si="5"/>
        <v>51104.123076923119</v>
      </c>
      <c r="J34" s="109" t="s">
        <v>28</v>
      </c>
      <c r="K34" s="119">
        <f>INDEX(Model!$AP$38:$AP$41,MATCH($J34,Model!$AN$34:$AN$37,0))</f>
        <v>92.262366258334637</v>
      </c>
      <c r="L34" s="133">
        <f>K34*I34</f>
        <v>4714987.3206340922</v>
      </c>
      <c r="M34" s="131">
        <f>'Example calcs 2000'!N34*0.95</f>
        <v>3404252.1028155573</v>
      </c>
      <c r="N34" s="129">
        <f t="shared" si="6"/>
        <v>628250.10236811731</v>
      </c>
      <c r="O34" s="131" t="str">
        <f t="shared" si="7"/>
        <v/>
      </c>
      <c r="P34" s="131">
        <f t="shared" si="8"/>
        <v>3404252.1028155573</v>
      </c>
      <c r="Q34" s="119" t="s">
        <v>29</v>
      </c>
      <c r="R34" s="52">
        <f t="shared" si="9"/>
        <v>1</v>
      </c>
      <c r="S34" s="119">
        <f>INDEX(Model!$AP$55:$AP$119,MATCH($Q34,Model!$AN$55:$AN$119,0)+MATCH(Model!$AL$117,Model!$AL$55:$AL$119,0)-1)</f>
        <v>0.63300000000000001</v>
      </c>
      <c r="T34" s="133">
        <f t="shared" si="10"/>
        <v>2154891.5810822477</v>
      </c>
      <c r="U34" s="131">
        <f>'Example calcs 2000'!S34*0.8</f>
        <v>10887.873251783989</v>
      </c>
      <c r="V34" s="129">
        <f t="shared" si="11"/>
        <v>340246.0391182492</v>
      </c>
      <c r="W34" s="131">
        <f t="shared" si="12"/>
        <v>4.1883053058948572E-2</v>
      </c>
      <c r="X34" s="131">
        <f t="shared" si="0"/>
        <v>25138.41616127071</v>
      </c>
      <c r="Y34" s="109" t="s">
        <v>34</v>
      </c>
      <c r="Z34" s="52">
        <f t="shared" si="13"/>
        <v>1</v>
      </c>
      <c r="AA34" s="109"/>
      <c r="AB34" s="109">
        <f>Model!$AO$138</f>
        <v>1</v>
      </c>
      <c r="AC34" s="133"/>
      <c r="AD34" s="131">
        <f>'Example calcs 2000'!Y34*0.8</f>
        <v>0</v>
      </c>
      <c r="AE34" s="129">
        <f t="shared" si="14"/>
        <v>0</v>
      </c>
      <c r="AF34" s="131" t="str">
        <f t="shared" si="20"/>
        <v/>
      </c>
      <c r="AG34" s="131">
        <f t="shared" si="1"/>
        <v>0</v>
      </c>
      <c r="AH34" s="109"/>
      <c r="AI34" s="52">
        <f t="shared" si="15"/>
        <v>1</v>
      </c>
      <c r="AJ34" s="109"/>
      <c r="AK34" s="109"/>
      <c r="AL34" s="120">
        <f t="shared" si="16"/>
        <v>25138.41616127071</v>
      </c>
      <c r="AM34" s="109">
        <f t="shared" si="17"/>
        <v>0</v>
      </c>
    </row>
    <row r="35" spans="3:39" s="101" customFormat="1" x14ac:dyDescent="0.25">
      <c r="C35" s="150">
        <f>Model!$AP$13</f>
        <v>3321768</v>
      </c>
      <c r="D35" s="54">
        <f>Model!$AP$16</f>
        <v>0.38461538461538458</v>
      </c>
      <c r="E35" s="151">
        <f t="shared" si="3"/>
        <v>1277603.0769230768</v>
      </c>
      <c r="F35" s="54">
        <f>Model!$AP$29</f>
        <v>1</v>
      </c>
      <c r="G35" s="151">
        <f t="shared" si="4"/>
        <v>1277603.0769230768</v>
      </c>
      <c r="H35" s="108">
        <f>INDEX(Model!$AP$34:$AP$37,MATCH($J35,Model!$AN$34:$AN$37,0))</f>
        <v>4.0000000000000036E-2</v>
      </c>
      <c r="I35" s="129">
        <f t="shared" si="5"/>
        <v>51104.123076923119</v>
      </c>
      <c r="J35" s="109" t="s">
        <v>28</v>
      </c>
      <c r="K35" s="119">
        <f>INDEX(Model!$AP$38:$AP$41,MATCH($J35,Model!$AN$34:$AN$37,0))</f>
        <v>92.262366258334637</v>
      </c>
      <c r="L35" s="133">
        <f>K35*I35</f>
        <v>4714987.3206340922</v>
      </c>
      <c r="M35" s="131">
        <f>'Example calcs 2000'!N35*0.95</f>
        <v>3404252.1028155573</v>
      </c>
      <c r="N35" s="129">
        <f t="shared" si="6"/>
        <v>628250.10236811731</v>
      </c>
      <c r="O35" s="131" t="str">
        <f t="shared" si="7"/>
        <v/>
      </c>
      <c r="P35" s="131">
        <f t="shared" si="8"/>
        <v>3404252.1028155573</v>
      </c>
      <c r="Q35" s="119" t="s">
        <v>29</v>
      </c>
      <c r="R35" s="52">
        <f t="shared" si="9"/>
        <v>0</v>
      </c>
      <c r="S35" s="119">
        <f>INDEX(Model!$AP$55:$AP$119,MATCH($Q35,Model!$AN$55:$AN$119,0)+MATCH(Model!$AL$117,Model!$AL$55:$AL$119,0)-1)</f>
        <v>0.63300000000000001</v>
      </c>
      <c r="T35" s="133">
        <f t="shared" si="10"/>
        <v>2154891.5810822477</v>
      </c>
      <c r="U35" s="131">
        <f>'Example calcs 2000'!S35*0.8</f>
        <v>1803757.6687122146</v>
      </c>
      <c r="V35" s="129">
        <f t="shared" si="11"/>
        <v>340246.0391182492</v>
      </c>
      <c r="W35" s="131">
        <f t="shared" si="12"/>
        <v>0.95811694694105154</v>
      </c>
      <c r="X35" s="131">
        <f t="shared" si="0"/>
        <v>2129753.1649209773</v>
      </c>
      <c r="Y35" s="109" t="s">
        <v>35</v>
      </c>
      <c r="Z35" s="52">
        <f t="shared" si="13"/>
        <v>1</v>
      </c>
      <c r="AA35" s="109">
        <f>Model!$AO$148</f>
        <v>1</v>
      </c>
      <c r="AB35" s="109"/>
      <c r="AC35" s="133">
        <f>X35*AA35</f>
        <v>2129753.1649209773</v>
      </c>
      <c r="AD35" s="131">
        <f>'Example calcs 2000'!Y35*0.8</f>
        <v>18037.576687122146</v>
      </c>
      <c r="AE35" s="129">
        <f t="shared" si="14"/>
        <v>325995.49620876275</v>
      </c>
      <c r="AF35" s="131">
        <f t="shared" si="20"/>
        <v>4.2219505916481506E-2</v>
      </c>
      <c r="AG35" s="131">
        <f t="shared" si="1"/>
        <v>31800.945468054328</v>
      </c>
      <c r="AH35" s="109" t="s">
        <v>66</v>
      </c>
      <c r="AI35" s="52">
        <f t="shared" si="15"/>
        <v>1</v>
      </c>
      <c r="AJ35" s="109">
        <f>Model!$AO$179</f>
        <v>0.52600000000000002</v>
      </c>
      <c r="AK35" s="109"/>
      <c r="AL35" s="120">
        <f t="shared" si="16"/>
        <v>16727.297316196578</v>
      </c>
      <c r="AM35" s="109">
        <f t="shared" si="17"/>
        <v>0</v>
      </c>
    </row>
    <row r="36" spans="3:39" s="101" customFormat="1" x14ac:dyDescent="0.25">
      <c r="C36" s="150">
        <f>Model!$AP$13</f>
        <v>3321768</v>
      </c>
      <c r="D36" s="54">
        <f>Model!$AP$16</f>
        <v>0.38461538461538458</v>
      </c>
      <c r="E36" s="151">
        <f t="shared" si="3"/>
        <v>1277603.0769230768</v>
      </c>
      <c r="F36" s="54">
        <f>Model!$AP$29</f>
        <v>1</v>
      </c>
      <c r="G36" s="151">
        <f t="shared" si="4"/>
        <v>1277603.0769230768</v>
      </c>
      <c r="H36" s="108">
        <f>INDEX(Model!$AP$34:$AP$37,MATCH($J36,Model!$AN$34:$AN$37,0))</f>
        <v>4.0000000000000036E-2</v>
      </c>
      <c r="I36" s="129">
        <f t="shared" si="5"/>
        <v>51104.123076923119</v>
      </c>
      <c r="J36" s="109" t="s">
        <v>28</v>
      </c>
      <c r="K36" s="119">
        <f>INDEX(Model!$AP$38:$AP$41,MATCH($J36,Model!$AN$34:$AN$37,0))</f>
        <v>92.262366258334637</v>
      </c>
      <c r="L36" s="133">
        <f>K36*I36</f>
        <v>4714987.3206340922</v>
      </c>
      <c r="M36" s="131">
        <f>'Example calcs 2000'!N36*0.95</f>
        <v>3404252.1028155573</v>
      </c>
      <c r="N36" s="129">
        <f t="shared" si="6"/>
        <v>628250.10236811731</v>
      </c>
      <c r="O36" s="131" t="str">
        <f t="shared" si="7"/>
        <v/>
      </c>
      <c r="P36" s="131">
        <f t="shared" si="8"/>
        <v>3404252.1028155573</v>
      </c>
      <c r="Q36" s="119" t="s">
        <v>29</v>
      </c>
      <c r="R36" s="52">
        <f t="shared" si="9"/>
        <v>0</v>
      </c>
      <c r="S36" s="119">
        <f>INDEX(Model!$AP$55:$AP$119,MATCH($Q36,Model!$AN$55:$AN$119,0)+MATCH(Model!$AL$117,Model!$AL$55:$AL$119,0)-1)</f>
        <v>0.63300000000000001</v>
      </c>
      <c r="T36" s="133">
        <f t="shared" si="10"/>
        <v>2154891.5810822477</v>
      </c>
      <c r="U36" s="131">
        <f>'Example calcs 2000'!S36*0.8</f>
        <v>1803757.6687122146</v>
      </c>
      <c r="V36" s="129">
        <f t="shared" si="11"/>
        <v>340246.0391182492</v>
      </c>
      <c r="W36" s="131">
        <f t="shared" si="12"/>
        <v>0.95811694694105154</v>
      </c>
      <c r="X36" s="131">
        <f t="shared" si="0"/>
        <v>2129753.1649209773</v>
      </c>
      <c r="Y36" s="109" t="s">
        <v>35</v>
      </c>
      <c r="Z36" s="52">
        <f t="shared" si="13"/>
        <v>0</v>
      </c>
      <c r="AA36" s="109">
        <f>Model!$AO$148</f>
        <v>1</v>
      </c>
      <c r="AB36" s="109"/>
      <c r="AC36" s="133">
        <f>X36*AA36</f>
        <v>2129753.1649209773</v>
      </c>
      <c r="AD36" s="131">
        <f>'Example calcs 2000'!Y36*0.8</f>
        <v>0</v>
      </c>
      <c r="AE36" s="129">
        <f t="shared" si="14"/>
        <v>325995.49620876275</v>
      </c>
      <c r="AF36" s="131">
        <f t="shared" si="20"/>
        <v>5.2787131529516608E-7</v>
      </c>
      <c r="AG36" s="131">
        <f t="shared" si="1"/>
        <v>0.17208367136401992</v>
      </c>
      <c r="AH36" s="109" t="s">
        <v>139</v>
      </c>
      <c r="AI36" s="52">
        <f t="shared" si="15"/>
        <v>1</v>
      </c>
      <c r="AJ36" s="109">
        <f>Model!$AO$192</f>
        <v>0.4</v>
      </c>
      <c r="AK36" s="109"/>
      <c r="AL36" s="120">
        <f t="shared" si="16"/>
        <v>6.883346854560797E-2</v>
      </c>
      <c r="AM36" s="109">
        <f t="shared" si="17"/>
        <v>0</v>
      </c>
    </row>
    <row r="37" spans="3:39" s="101" customFormat="1" x14ac:dyDescent="0.25">
      <c r="C37" s="150">
        <f>Model!$AP$13</f>
        <v>3321768</v>
      </c>
      <c r="D37" s="54">
        <f>Model!$AP$16</f>
        <v>0.38461538461538458</v>
      </c>
      <c r="E37" s="151">
        <f t="shared" si="3"/>
        <v>1277603.0769230768</v>
      </c>
      <c r="F37" s="54">
        <f>Model!$AP$29</f>
        <v>1</v>
      </c>
      <c r="G37" s="151">
        <f t="shared" si="4"/>
        <v>1277603.0769230768</v>
      </c>
      <c r="H37" s="108">
        <f>INDEX(Model!$AP$34:$AP$37,MATCH($J37,Model!$AN$34:$AN$37,0))</f>
        <v>4.0000000000000036E-2</v>
      </c>
      <c r="I37" s="129">
        <f t="shared" si="5"/>
        <v>51104.123076923119</v>
      </c>
      <c r="J37" s="109" t="s">
        <v>28</v>
      </c>
      <c r="K37" s="119">
        <f>INDEX(Model!$AP$38:$AP$41,MATCH($J37,Model!$AN$34:$AN$37,0))</f>
        <v>92.262366258334637</v>
      </c>
      <c r="L37" s="133">
        <f>K37*I37</f>
        <v>4714987.3206340922</v>
      </c>
      <c r="M37" s="131">
        <f>'Example calcs 2000'!N37*0.95</f>
        <v>3404252.1028155573</v>
      </c>
      <c r="N37" s="129">
        <f t="shared" si="6"/>
        <v>628250.10236811731</v>
      </c>
      <c r="O37" s="131" t="str">
        <f t="shared" si="7"/>
        <v/>
      </c>
      <c r="P37" s="131">
        <f t="shared" si="8"/>
        <v>3404252.1028155573</v>
      </c>
      <c r="Q37" s="119" t="s">
        <v>29</v>
      </c>
      <c r="R37" s="52">
        <f t="shared" si="9"/>
        <v>0</v>
      </c>
      <c r="S37" s="119">
        <f>INDEX(Model!$AP$55:$AP$119,MATCH($Q37,Model!$AN$55:$AN$119,0)+MATCH(Model!$AL$117,Model!$AL$55:$AL$119,0)-1)</f>
        <v>0.63300000000000001</v>
      </c>
      <c r="T37" s="133">
        <f t="shared" si="10"/>
        <v>2154891.5810822477</v>
      </c>
      <c r="U37" s="131">
        <f>'Example calcs 2000'!S37*0.8</f>
        <v>1803757.6687122146</v>
      </c>
      <c r="V37" s="129">
        <f t="shared" si="11"/>
        <v>340246.0391182492</v>
      </c>
      <c r="W37" s="131">
        <f t="shared" si="12"/>
        <v>0.95811694694105154</v>
      </c>
      <c r="X37" s="131">
        <f t="shared" si="0"/>
        <v>2129753.1649209773</v>
      </c>
      <c r="Y37" s="109" t="s">
        <v>35</v>
      </c>
      <c r="Z37" s="52">
        <f t="shared" si="13"/>
        <v>0</v>
      </c>
      <c r="AA37" s="109">
        <f>Model!$AO$148</f>
        <v>1</v>
      </c>
      <c r="AB37" s="109"/>
      <c r="AC37" s="133">
        <f>X37*AA37</f>
        <v>2129753.1649209773</v>
      </c>
      <c r="AD37" s="131">
        <f>'Example calcs 2000'!Y37*0.8</f>
        <v>1695532.2085894817</v>
      </c>
      <c r="AE37" s="129">
        <f t="shared" si="14"/>
        <v>325995.49620876275</v>
      </c>
      <c r="AF37" s="131" t="str">
        <f t="shared" si="20"/>
        <v/>
      </c>
      <c r="AG37" s="131">
        <f t="shared" si="1"/>
        <v>1695532.2085894817</v>
      </c>
      <c r="AH37" s="109" t="s">
        <v>64</v>
      </c>
      <c r="AI37" s="52">
        <f t="shared" si="15"/>
        <v>1</v>
      </c>
      <c r="AJ37" s="109"/>
      <c r="AK37" s="109">
        <f>Model!$AO$165</f>
        <v>1.613</v>
      </c>
      <c r="AL37" s="120">
        <f t="shared" si="16"/>
        <v>0</v>
      </c>
      <c r="AM37" s="109">
        <f t="shared" si="17"/>
        <v>2734893.4524548338</v>
      </c>
    </row>
    <row r="38" spans="3:39" s="101" customFormat="1" x14ac:dyDescent="0.25">
      <c r="C38" s="150">
        <f>Model!$AP$13</f>
        <v>3321768</v>
      </c>
      <c r="D38" s="54">
        <f>Model!$AP$16</f>
        <v>0.38461538461538458</v>
      </c>
      <c r="E38" s="151">
        <f t="shared" si="3"/>
        <v>1277603.0769230768</v>
      </c>
      <c r="F38" s="54">
        <f>Model!$AP$29</f>
        <v>1</v>
      </c>
      <c r="G38" s="151">
        <f t="shared" si="4"/>
        <v>1277603.0769230768</v>
      </c>
      <c r="H38" s="108">
        <f>INDEX(Model!$AP$34:$AP$37,MATCH($J38,Model!$AN$34:$AN$37,0))</f>
        <v>4.0000000000000036E-2</v>
      </c>
      <c r="I38" s="129">
        <f t="shared" si="5"/>
        <v>51104.123076923119</v>
      </c>
      <c r="J38" s="109" t="s">
        <v>28</v>
      </c>
      <c r="K38" s="119">
        <f>INDEX(Model!$AP$38:$AP$41,MATCH($J38,Model!$AN$34:$AN$37,0))</f>
        <v>92.262366258334637</v>
      </c>
      <c r="L38" s="133">
        <f>K38*I38</f>
        <v>4714987.3206340922</v>
      </c>
      <c r="M38" s="131">
        <f>'Example calcs 2000'!N38*0.95</f>
        <v>3404252.1028155573</v>
      </c>
      <c r="N38" s="129">
        <f t="shared" si="6"/>
        <v>628250.10236811731</v>
      </c>
      <c r="O38" s="131" t="str">
        <f t="shared" si="7"/>
        <v/>
      </c>
      <c r="P38" s="131">
        <f t="shared" si="8"/>
        <v>3404252.1028155573</v>
      </c>
      <c r="Q38" s="119" t="s">
        <v>29</v>
      </c>
      <c r="R38" s="52">
        <f t="shared" si="9"/>
        <v>0</v>
      </c>
      <c r="S38" s="119">
        <f>INDEX(Model!$AP$55:$AP$119,MATCH($Q38,Model!$AN$55:$AN$119,0)+MATCH(Model!$AL$117,Model!$AL$55:$AL$119,0)-1)</f>
        <v>0.63300000000000001</v>
      </c>
      <c r="T38" s="133">
        <f t="shared" si="10"/>
        <v>2154891.5810822477</v>
      </c>
      <c r="U38" s="131">
        <f>'Example calcs 2000'!S38*0.8</f>
        <v>1803757.6687122146</v>
      </c>
      <c r="V38" s="129">
        <f t="shared" si="11"/>
        <v>340246.0391182492</v>
      </c>
      <c r="W38" s="131">
        <f t="shared" si="12"/>
        <v>0.95811694694105154</v>
      </c>
      <c r="X38" s="131">
        <f t="shared" si="0"/>
        <v>2129753.1649209773</v>
      </c>
      <c r="Y38" s="109" t="s">
        <v>35</v>
      </c>
      <c r="Z38" s="52">
        <f t="shared" si="13"/>
        <v>0</v>
      </c>
      <c r="AA38" s="109">
        <f>Model!$AO$148</f>
        <v>1</v>
      </c>
      <c r="AB38" s="109"/>
      <c r="AC38" s="133">
        <f>X38*AA38</f>
        <v>2129753.1649209773</v>
      </c>
      <c r="AD38" s="131">
        <f>'Example calcs 2000'!Y38*0.8</f>
        <v>90187.88343561074</v>
      </c>
      <c r="AE38" s="129">
        <f t="shared" si="14"/>
        <v>325995.49620876275</v>
      </c>
      <c r="AF38" s="131">
        <f t="shared" si="20"/>
        <v>0.95777996621220318</v>
      </c>
      <c r="AG38" s="131">
        <f t="shared" si="1"/>
        <v>402419.83877976995</v>
      </c>
      <c r="AH38" s="109" t="s">
        <v>65</v>
      </c>
      <c r="AI38" s="52">
        <f t="shared" si="15"/>
        <v>1</v>
      </c>
      <c r="AJ38" s="109"/>
      <c r="AK38" s="109">
        <f>Model!$AO$205</f>
        <v>1.111</v>
      </c>
      <c r="AL38" s="120">
        <f t="shared" si="16"/>
        <v>0</v>
      </c>
      <c r="AM38" s="109">
        <f t="shared" si="17"/>
        <v>447088.44088432443</v>
      </c>
    </row>
    <row r="39" spans="3:39" s="101" customFormat="1" x14ac:dyDescent="0.25">
      <c r="C39" s="150">
        <f>Model!$AP$13</f>
        <v>3321768</v>
      </c>
      <c r="D39" s="54">
        <f>Model!$AP$16</f>
        <v>0.38461538461538458</v>
      </c>
      <c r="E39" s="151">
        <f t="shared" si="3"/>
        <v>1277603.0769230768</v>
      </c>
      <c r="F39" s="54">
        <f>Model!$AP$29</f>
        <v>1</v>
      </c>
      <c r="G39" s="151">
        <f t="shared" si="4"/>
        <v>1277603.0769230768</v>
      </c>
      <c r="H39" s="108">
        <f>INDEX(Model!$AP$34:$AP$37,MATCH($J39,Model!$AN$34:$AN$37,0))</f>
        <v>4.0000000000000036E-2</v>
      </c>
      <c r="I39" s="129">
        <f t="shared" si="5"/>
        <v>51104.123076923119</v>
      </c>
      <c r="J39" s="109" t="s">
        <v>28</v>
      </c>
      <c r="K39" s="119">
        <f>INDEX(Model!$AP$38:$AP$41,MATCH($J39,Model!$AN$34:$AN$37,0))</f>
        <v>92.262366258334637</v>
      </c>
      <c r="L39" s="133">
        <f>K39*I39</f>
        <v>4714987.3206340922</v>
      </c>
      <c r="M39" s="131">
        <f>'Example calcs 2000'!N39*0.95</f>
        <v>682485.11545041786</v>
      </c>
      <c r="N39" s="129">
        <f t="shared" si="6"/>
        <v>628250.10236811731</v>
      </c>
      <c r="O39" s="131" t="str">
        <f t="shared" si="7"/>
        <v/>
      </c>
      <c r="P39" s="131">
        <f t="shared" si="8"/>
        <v>682485.11545041786</v>
      </c>
      <c r="Q39" s="119" t="s">
        <v>30</v>
      </c>
      <c r="R39" s="52">
        <f t="shared" si="9"/>
        <v>1</v>
      </c>
      <c r="S39" s="119">
        <f>INDEX(Model!$AP$55:$AP$119,MATCH($Q39,Model!$AN$55:$AN$119,0)+MATCH(Model!$AL$117,Model!$AL$55:$AL$119,0)-1)</f>
        <v>0.997</v>
      </c>
      <c r="T39" s="133">
        <f t="shared" si="10"/>
        <v>680437.6601040666</v>
      </c>
      <c r="U39" s="131">
        <f>'Example calcs 2000'!S39*0.8</f>
        <v>3438.0008089468633</v>
      </c>
      <c r="V39" s="129">
        <f t="shared" si="11"/>
        <v>107437.52527958935</v>
      </c>
      <c r="W39" s="131">
        <f t="shared" si="12"/>
        <v>4.1883053058948572E-2</v>
      </c>
      <c r="X39" s="131">
        <f t="shared" si="0"/>
        <v>7937.8123807540323</v>
      </c>
      <c r="Y39" s="109" t="s">
        <v>34</v>
      </c>
      <c r="Z39" s="52">
        <f t="shared" si="13"/>
        <v>1</v>
      </c>
      <c r="AA39" s="109"/>
      <c r="AB39" s="109">
        <f>Model!$AO$138</f>
        <v>1</v>
      </c>
      <c r="AC39" s="133"/>
      <c r="AD39" s="131">
        <f>'Example calcs 2000'!Y39*0.8</f>
        <v>0</v>
      </c>
      <c r="AE39" s="129">
        <f t="shared" si="14"/>
        <v>0</v>
      </c>
      <c r="AF39" s="131" t="str">
        <f t="shared" si="20"/>
        <v/>
      </c>
      <c r="AG39" s="131">
        <f t="shared" si="1"/>
        <v>0</v>
      </c>
      <c r="AH39" s="109"/>
      <c r="AI39" s="52">
        <f t="shared" si="15"/>
        <v>1</v>
      </c>
      <c r="AJ39" s="109"/>
      <c r="AK39" s="109"/>
      <c r="AL39" s="120">
        <f t="shared" si="16"/>
        <v>7937.8123807540323</v>
      </c>
      <c r="AM39" s="109">
        <f t="shared" si="17"/>
        <v>0</v>
      </c>
    </row>
    <row r="40" spans="3:39" s="101" customFormat="1" x14ac:dyDescent="0.25">
      <c r="C40" s="150">
        <f>Model!$AP$13</f>
        <v>3321768</v>
      </c>
      <c r="D40" s="54">
        <f>Model!$AP$16</f>
        <v>0.38461538461538458</v>
      </c>
      <c r="E40" s="151">
        <f t="shared" si="3"/>
        <v>1277603.0769230768</v>
      </c>
      <c r="F40" s="54">
        <f>Model!$AP$29</f>
        <v>1</v>
      </c>
      <c r="G40" s="151">
        <f t="shared" si="4"/>
        <v>1277603.0769230768</v>
      </c>
      <c r="H40" s="108">
        <f>INDEX(Model!$AP$34:$AP$37,MATCH($J40,Model!$AN$34:$AN$37,0))</f>
        <v>4.0000000000000036E-2</v>
      </c>
      <c r="I40" s="129">
        <f t="shared" si="5"/>
        <v>51104.123076923119</v>
      </c>
      <c r="J40" s="109" t="s">
        <v>28</v>
      </c>
      <c r="K40" s="119">
        <f>INDEX(Model!$AP$38:$AP$41,MATCH($J40,Model!$AN$34:$AN$37,0))</f>
        <v>92.262366258334637</v>
      </c>
      <c r="L40" s="133">
        <f>K40*I40</f>
        <v>4714987.3206340922</v>
      </c>
      <c r="M40" s="131">
        <f>'Example calcs 2000'!N40*0.95</f>
        <v>682485.11545041786</v>
      </c>
      <c r="N40" s="129">
        <f t="shared" si="6"/>
        <v>628250.10236811731</v>
      </c>
      <c r="O40" s="131" t="str">
        <f t="shared" si="7"/>
        <v/>
      </c>
      <c r="P40" s="131">
        <f t="shared" si="8"/>
        <v>682485.11545041786</v>
      </c>
      <c r="Q40" s="119" t="s">
        <v>30</v>
      </c>
      <c r="R40" s="52">
        <f t="shared" si="9"/>
        <v>0</v>
      </c>
      <c r="S40" s="119">
        <f>INDEX(Model!$AP$55:$AP$119,MATCH($Q40,Model!$AN$55:$AN$119,0)+MATCH(Model!$AL$117,Model!$AL$55:$AL$119,0)-1)</f>
        <v>0.997</v>
      </c>
      <c r="T40" s="133">
        <f t="shared" si="10"/>
        <v>680437.6601040666</v>
      </c>
      <c r="U40" s="131">
        <f>'Example calcs 2000'!S40*0.8</f>
        <v>569562.13401553035</v>
      </c>
      <c r="V40" s="129">
        <f t="shared" si="11"/>
        <v>107437.52527958935</v>
      </c>
      <c r="W40" s="131">
        <f t="shared" si="12"/>
        <v>0.95811694694105154</v>
      </c>
      <c r="X40" s="131">
        <f t="shared" si="0"/>
        <v>672499.84772331256</v>
      </c>
      <c r="Y40" s="109" t="s">
        <v>35</v>
      </c>
      <c r="Z40" s="52">
        <f t="shared" si="13"/>
        <v>1</v>
      </c>
      <c r="AA40" s="109">
        <f>Model!$AO$148</f>
        <v>1</v>
      </c>
      <c r="AB40" s="109"/>
      <c r="AC40" s="133">
        <f>X40*AA40</f>
        <v>672499.84772331256</v>
      </c>
      <c r="AD40" s="131">
        <f>'Example calcs 2000'!Y40*0.8</f>
        <v>5695.6213401553041</v>
      </c>
      <c r="AE40" s="129">
        <f t="shared" si="14"/>
        <v>102937.71370778233</v>
      </c>
      <c r="AF40" s="131">
        <f t="shared" si="20"/>
        <v>4.2219505916481506E-2</v>
      </c>
      <c r="AG40" s="131">
        <f t="shared" si="1"/>
        <v>10041.600753070099</v>
      </c>
      <c r="AH40" s="109" t="s">
        <v>66</v>
      </c>
      <c r="AI40" s="52">
        <f t="shared" si="15"/>
        <v>1</v>
      </c>
      <c r="AJ40" s="109">
        <f>Model!$AO$179</f>
        <v>0.52600000000000002</v>
      </c>
      <c r="AK40" s="109"/>
      <c r="AL40" s="120">
        <f t="shared" si="16"/>
        <v>5281.881996114872</v>
      </c>
      <c r="AM40" s="109">
        <f t="shared" si="17"/>
        <v>0</v>
      </c>
    </row>
    <row r="41" spans="3:39" s="101" customFormat="1" x14ac:dyDescent="0.25">
      <c r="C41" s="150">
        <f>Model!$AP$13</f>
        <v>3321768</v>
      </c>
      <c r="D41" s="54">
        <f>Model!$AP$16</f>
        <v>0.38461538461538458</v>
      </c>
      <c r="E41" s="151">
        <f t="shared" si="3"/>
        <v>1277603.0769230768</v>
      </c>
      <c r="F41" s="54">
        <f>Model!$AP$29</f>
        <v>1</v>
      </c>
      <c r="G41" s="151">
        <f t="shared" si="4"/>
        <v>1277603.0769230768</v>
      </c>
      <c r="H41" s="108">
        <f>INDEX(Model!$AP$34:$AP$37,MATCH($J41,Model!$AN$34:$AN$37,0))</f>
        <v>4.0000000000000036E-2</v>
      </c>
      <c r="I41" s="129">
        <f t="shared" si="5"/>
        <v>51104.123076923119</v>
      </c>
      <c r="J41" s="109" t="s">
        <v>28</v>
      </c>
      <c r="K41" s="119">
        <f>INDEX(Model!$AP$38:$AP$41,MATCH($J41,Model!$AN$34:$AN$37,0))</f>
        <v>92.262366258334637</v>
      </c>
      <c r="L41" s="133">
        <f>K41*I41</f>
        <v>4714987.3206340922</v>
      </c>
      <c r="M41" s="131">
        <f>'Example calcs 2000'!N41*0.95</f>
        <v>682485.11545041786</v>
      </c>
      <c r="N41" s="129">
        <f t="shared" si="6"/>
        <v>628250.10236811731</v>
      </c>
      <c r="O41" s="131" t="str">
        <f t="shared" si="7"/>
        <v/>
      </c>
      <c r="P41" s="131">
        <f t="shared" si="8"/>
        <v>682485.11545041786</v>
      </c>
      <c r="Q41" s="119" t="s">
        <v>30</v>
      </c>
      <c r="R41" s="52">
        <f t="shared" si="9"/>
        <v>0</v>
      </c>
      <c r="S41" s="119">
        <f>INDEX(Model!$AP$55:$AP$119,MATCH($Q41,Model!$AN$55:$AN$119,0)+MATCH(Model!$AL$117,Model!$AL$55:$AL$119,0)-1)</f>
        <v>0.997</v>
      </c>
      <c r="T41" s="133">
        <f t="shared" si="10"/>
        <v>680437.6601040666</v>
      </c>
      <c r="U41" s="131">
        <f>'Example calcs 2000'!S41*0.8</f>
        <v>569562.13401553035</v>
      </c>
      <c r="V41" s="129">
        <f t="shared" si="11"/>
        <v>107437.52527958935</v>
      </c>
      <c r="W41" s="131">
        <f t="shared" si="12"/>
        <v>0.95811694694105154</v>
      </c>
      <c r="X41" s="131">
        <f t="shared" si="0"/>
        <v>672499.84772331256</v>
      </c>
      <c r="Y41" s="109" t="s">
        <v>35</v>
      </c>
      <c r="Z41" s="52">
        <f t="shared" si="13"/>
        <v>0</v>
      </c>
      <c r="AA41" s="109">
        <f>Model!$AO$148</f>
        <v>1</v>
      </c>
      <c r="AB41" s="109"/>
      <c r="AC41" s="133">
        <f>X41*AA41</f>
        <v>672499.84772331256</v>
      </c>
      <c r="AD41" s="131">
        <f>'Example calcs 2000'!Y41*0.8</f>
        <v>0</v>
      </c>
      <c r="AE41" s="129">
        <f t="shared" si="14"/>
        <v>102937.71370778233</v>
      </c>
      <c r="AF41" s="131">
        <f t="shared" si="20"/>
        <v>5.2787131529516608E-7</v>
      </c>
      <c r="AG41" s="131">
        <f t="shared" si="1"/>
        <v>5.4337866328404302E-2</v>
      </c>
      <c r="AH41" s="109" t="s">
        <v>139</v>
      </c>
      <c r="AI41" s="52">
        <f t="shared" si="15"/>
        <v>1</v>
      </c>
      <c r="AJ41" s="109">
        <f>Model!$AO$192</f>
        <v>0.4</v>
      </c>
      <c r="AK41" s="109"/>
      <c r="AL41" s="120">
        <f t="shared" si="16"/>
        <v>2.1735146531361722E-2</v>
      </c>
      <c r="AM41" s="109">
        <f t="shared" si="17"/>
        <v>0</v>
      </c>
    </row>
    <row r="42" spans="3:39" s="101" customFormat="1" x14ac:dyDescent="0.25">
      <c r="C42" s="150">
        <f>Model!$AP$13</f>
        <v>3321768</v>
      </c>
      <c r="D42" s="54">
        <f>Model!$AP$16</f>
        <v>0.38461538461538458</v>
      </c>
      <c r="E42" s="151">
        <f t="shared" si="3"/>
        <v>1277603.0769230768</v>
      </c>
      <c r="F42" s="54">
        <f>Model!$AP$29</f>
        <v>1</v>
      </c>
      <c r="G42" s="151">
        <f t="shared" si="4"/>
        <v>1277603.0769230768</v>
      </c>
      <c r="H42" s="108">
        <f>INDEX(Model!$AP$34:$AP$37,MATCH($J42,Model!$AN$34:$AN$37,0))</f>
        <v>4.0000000000000036E-2</v>
      </c>
      <c r="I42" s="129">
        <f t="shared" si="5"/>
        <v>51104.123076923119</v>
      </c>
      <c r="J42" s="109" t="s">
        <v>28</v>
      </c>
      <c r="K42" s="119">
        <f>INDEX(Model!$AP$38:$AP$41,MATCH($J42,Model!$AN$34:$AN$37,0))</f>
        <v>92.262366258334637</v>
      </c>
      <c r="L42" s="133">
        <f>K42*I42</f>
        <v>4714987.3206340922</v>
      </c>
      <c r="M42" s="131">
        <f>'Example calcs 2000'!N42*0.95</f>
        <v>682485.11545041786</v>
      </c>
      <c r="N42" s="129">
        <f t="shared" si="6"/>
        <v>628250.10236811731</v>
      </c>
      <c r="O42" s="131" t="str">
        <f t="shared" si="7"/>
        <v/>
      </c>
      <c r="P42" s="131">
        <f t="shared" si="8"/>
        <v>682485.11545041786</v>
      </c>
      <c r="Q42" s="119" t="s">
        <v>30</v>
      </c>
      <c r="R42" s="52">
        <f t="shared" si="9"/>
        <v>0</v>
      </c>
      <c r="S42" s="119">
        <f>INDEX(Model!$AP$55:$AP$119,MATCH($Q42,Model!$AN$55:$AN$119,0)+MATCH(Model!$AL$117,Model!$AL$55:$AL$119,0)-1)</f>
        <v>0.997</v>
      </c>
      <c r="T42" s="133">
        <f t="shared" si="10"/>
        <v>680437.6601040666</v>
      </c>
      <c r="U42" s="131">
        <f>'Example calcs 2000'!S42*0.8</f>
        <v>569562.13401553035</v>
      </c>
      <c r="V42" s="129">
        <f t="shared" si="11"/>
        <v>107437.52527958935</v>
      </c>
      <c r="W42" s="131">
        <f t="shared" si="12"/>
        <v>0.95811694694105154</v>
      </c>
      <c r="X42" s="131">
        <f t="shared" si="0"/>
        <v>672499.84772331256</v>
      </c>
      <c r="Y42" s="109" t="s">
        <v>35</v>
      </c>
      <c r="Z42" s="52">
        <f t="shared" si="13"/>
        <v>0</v>
      </c>
      <c r="AA42" s="109">
        <f>Model!$AO$148</f>
        <v>1</v>
      </c>
      <c r="AB42" s="109"/>
      <c r="AC42" s="133">
        <f>X42*AA42</f>
        <v>672499.84772331256</v>
      </c>
      <c r="AD42" s="131">
        <f>'Example calcs 2000'!Y42*0.8</f>
        <v>535388.40597459849</v>
      </c>
      <c r="AE42" s="129">
        <f t="shared" si="14"/>
        <v>102937.71370778233</v>
      </c>
      <c r="AF42" s="131" t="str">
        <f t="shared" si="20"/>
        <v/>
      </c>
      <c r="AG42" s="131">
        <f t="shared" si="1"/>
        <v>535388.40597459849</v>
      </c>
      <c r="AH42" s="109" t="s">
        <v>64</v>
      </c>
      <c r="AI42" s="52">
        <f t="shared" si="15"/>
        <v>1</v>
      </c>
      <c r="AJ42" s="109"/>
      <c r="AK42" s="109">
        <f>Model!$AO$165</f>
        <v>1.613</v>
      </c>
      <c r="AL42" s="120">
        <f t="shared" si="16"/>
        <v>0</v>
      </c>
      <c r="AM42" s="109">
        <f t="shared" si="17"/>
        <v>863581.49883702735</v>
      </c>
    </row>
    <row r="43" spans="3:39" s="101" customFormat="1" x14ac:dyDescent="0.25">
      <c r="C43" s="150">
        <f>Model!$AP$13</f>
        <v>3321768</v>
      </c>
      <c r="D43" s="54">
        <f>Model!$AP$16</f>
        <v>0.38461538461538458</v>
      </c>
      <c r="E43" s="151">
        <f t="shared" si="3"/>
        <v>1277603.0769230768</v>
      </c>
      <c r="F43" s="54">
        <f>Model!$AP$29</f>
        <v>1</v>
      </c>
      <c r="G43" s="151">
        <f t="shared" si="4"/>
        <v>1277603.0769230768</v>
      </c>
      <c r="H43" s="108">
        <f>INDEX(Model!$AP$34:$AP$37,MATCH($J43,Model!$AN$34:$AN$37,0))</f>
        <v>4.0000000000000036E-2</v>
      </c>
      <c r="I43" s="129">
        <f t="shared" si="5"/>
        <v>51104.123076923119</v>
      </c>
      <c r="J43" s="109" t="s">
        <v>28</v>
      </c>
      <c r="K43" s="119">
        <f>INDEX(Model!$AP$38:$AP$41,MATCH($J43,Model!$AN$34:$AN$37,0))</f>
        <v>92.262366258334637</v>
      </c>
      <c r="L43" s="133">
        <f>K43*I43</f>
        <v>4714987.3206340922</v>
      </c>
      <c r="M43" s="131">
        <f>'Example calcs 2000'!N43*0.95</f>
        <v>682485.11545041786</v>
      </c>
      <c r="N43" s="129">
        <f t="shared" si="6"/>
        <v>628250.10236811731</v>
      </c>
      <c r="O43" s="131" t="str">
        <f t="shared" si="7"/>
        <v/>
      </c>
      <c r="P43" s="131">
        <f t="shared" si="8"/>
        <v>682485.11545041786</v>
      </c>
      <c r="Q43" s="119" t="s">
        <v>30</v>
      </c>
      <c r="R43" s="52">
        <f t="shared" si="9"/>
        <v>0</v>
      </c>
      <c r="S43" s="119">
        <f>INDEX(Model!$AP$55:$AP$119,MATCH($Q43,Model!$AN$55:$AN$119,0)+MATCH(Model!$AL$117,Model!$AL$55:$AL$119,0)-1)</f>
        <v>0.997</v>
      </c>
      <c r="T43" s="133">
        <f t="shared" si="10"/>
        <v>680437.6601040666</v>
      </c>
      <c r="U43" s="131">
        <f>'Example calcs 2000'!S43*0.8</f>
        <v>569562.13401553035</v>
      </c>
      <c r="V43" s="129">
        <f t="shared" si="11"/>
        <v>107437.52527958935</v>
      </c>
      <c r="W43" s="131">
        <f t="shared" si="12"/>
        <v>0.95811694694105154</v>
      </c>
      <c r="X43" s="131">
        <f t="shared" si="0"/>
        <v>672499.84772331256</v>
      </c>
      <c r="Y43" s="109" t="s">
        <v>35</v>
      </c>
      <c r="Z43" s="52">
        <f t="shared" si="13"/>
        <v>0</v>
      </c>
      <c r="AA43" s="109">
        <f>Model!$AO$148</f>
        <v>1</v>
      </c>
      <c r="AB43" s="109"/>
      <c r="AC43" s="133">
        <f>X43*AA43</f>
        <v>672499.84772331256</v>
      </c>
      <c r="AD43" s="131">
        <f>'Example calcs 2000'!Y43*0.8</f>
        <v>28478.10670077652</v>
      </c>
      <c r="AE43" s="129">
        <f t="shared" si="14"/>
        <v>102937.71370778233</v>
      </c>
      <c r="AF43" s="131">
        <f t="shared" si="20"/>
        <v>0.95777996621220318</v>
      </c>
      <c r="AG43" s="131">
        <f t="shared" si="1"/>
        <v>127069.78665777773</v>
      </c>
      <c r="AH43" s="109" t="s">
        <v>65</v>
      </c>
      <c r="AI43" s="52">
        <f t="shared" si="15"/>
        <v>1</v>
      </c>
      <c r="AJ43" s="109"/>
      <c r="AK43" s="109">
        <f>Model!$AO$205</f>
        <v>1.111</v>
      </c>
      <c r="AL43" s="120">
        <f t="shared" si="16"/>
        <v>0</v>
      </c>
      <c r="AM43" s="109">
        <f t="shared" si="17"/>
        <v>141174.53297679106</v>
      </c>
    </row>
    <row r="44" spans="3:39" s="101" customFormat="1" x14ac:dyDescent="0.25">
      <c r="C44" s="150">
        <f>Model!$AP$13</f>
        <v>3321768</v>
      </c>
      <c r="D44" s="54">
        <f>Model!$AP$16</f>
        <v>0.38461538461538458</v>
      </c>
      <c r="E44" s="151">
        <f t="shared" si="3"/>
        <v>1277603.0769230768</v>
      </c>
      <c r="F44" s="54">
        <f>Model!$AP$29</f>
        <v>1</v>
      </c>
      <c r="G44" s="151">
        <f t="shared" si="4"/>
        <v>1277603.0769230768</v>
      </c>
      <c r="H44" s="108">
        <f>INDEX(Model!$AP$34:$AP$37,MATCH($J44,Model!$AN$34:$AN$37,0))</f>
        <v>4.0000000000000036E-2</v>
      </c>
      <c r="I44" s="129">
        <f t="shared" si="5"/>
        <v>51104.123076923119</v>
      </c>
      <c r="J44" s="109" t="s">
        <v>28</v>
      </c>
      <c r="K44" s="119">
        <f>INDEX(Model!$AP$38:$AP$41,MATCH($J44,Model!$AN$34:$AN$37,0))</f>
        <v>92.262366258334637</v>
      </c>
      <c r="L44" s="133">
        <f>K44*I44</f>
        <v>4714987.3206340922</v>
      </c>
      <c r="M44" s="131">
        <f>'Example calcs 2000'!N44*0.95</f>
        <v>0</v>
      </c>
      <c r="N44" s="129">
        <f t="shared" si="6"/>
        <v>628250.10236811731</v>
      </c>
      <c r="O44" s="131">
        <f t="shared" si="7"/>
        <v>1.0208069021639147E-6</v>
      </c>
      <c r="P44" s="131">
        <f t="shared" si="8"/>
        <v>0.64132204078256017</v>
      </c>
      <c r="Q44" s="119" t="s">
        <v>32</v>
      </c>
      <c r="R44" s="52">
        <f t="shared" si="9"/>
        <v>1</v>
      </c>
      <c r="S44" s="119">
        <f>INDEX(Model!$AP$55:$AP$119,MATCH($Q44,Model!$AN$55:$AN$119,0)+MATCH(Model!$AL$117,Model!$AL$55:$AL$119,0)-1)</f>
        <v>0.36</v>
      </c>
      <c r="T44" s="133">
        <f t="shared" si="10"/>
        <v>0.23087593468172166</v>
      </c>
      <c r="U44" s="131">
        <f>'Example calcs 2000'!S44*0.8</f>
        <v>0</v>
      </c>
      <c r="V44" s="129">
        <f t="shared" si="11"/>
        <v>0.23087593468172166</v>
      </c>
      <c r="W44" s="131">
        <f t="shared" si="12"/>
        <v>4.1883053058948572E-2</v>
      </c>
      <c r="X44" s="131">
        <f t="shared" si="0"/>
        <v>9.6697890223088924E-3</v>
      </c>
      <c r="Y44" s="109" t="s">
        <v>34</v>
      </c>
      <c r="Z44" s="52">
        <f t="shared" si="13"/>
        <v>1</v>
      </c>
      <c r="AA44" s="109"/>
      <c r="AB44" s="109">
        <f>Model!$AO$138</f>
        <v>1</v>
      </c>
      <c r="AC44" s="133"/>
      <c r="AD44" s="131">
        <f>'Example calcs 2000'!Y44*0.8</f>
        <v>0</v>
      </c>
      <c r="AE44" s="129">
        <f t="shared" si="14"/>
        <v>0</v>
      </c>
      <c r="AF44" s="131" t="str">
        <f t="shared" si="20"/>
        <v/>
      </c>
      <c r="AG44" s="131">
        <f t="shared" si="1"/>
        <v>0</v>
      </c>
      <c r="AH44" s="109"/>
      <c r="AI44" s="52">
        <f t="shared" si="15"/>
        <v>1</v>
      </c>
      <c r="AJ44" s="109"/>
      <c r="AK44" s="109"/>
      <c r="AL44" s="120">
        <f t="shared" si="16"/>
        <v>9.6697890223088924E-3</v>
      </c>
      <c r="AM44" s="109">
        <f t="shared" si="17"/>
        <v>0</v>
      </c>
    </row>
    <row r="45" spans="3:39" s="101" customFormat="1" x14ac:dyDescent="0.25">
      <c r="C45" s="150">
        <f>Model!$AP$13</f>
        <v>3321768</v>
      </c>
      <c r="D45" s="54">
        <f>Model!$AP$16</f>
        <v>0.38461538461538458</v>
      </c>
      <c r="E45" s="151">
        <f t="shared" si="3"/>
        <v>1277603.0769230768</v>
      </c>
      <c r="F45" s="54">
        <f>Model!$AP$29</f>
        <v>1</v>
      </c>
      <c r="G45" s="151">
        <f t="shared" si="4"/>
        <v>1277603.0769230768</v>
      </c>
      <c r="H45" s="108">
        <f>INDEX(Model!$AP$34:$AP$37,MATCH($J45,Model!$AN$34:$AN$37,0))</f>
        <v>4.0000000000000036E-2</v>
      </c>
      <c r="I45" s="129">
        <f t="shared" si="5"/>
        <v>51104.123076923119</v>
      </c>
      <c r="J45" s="109" t="s">
        <v>28</v>
      </c>
      <c r="K45" s="119">
        <f>INDEX(Model!$AP$38:$AP$41,MATCH($J45,Model!$AN$34:$AN$37,0))</f>
        <v>92.262366258334637</v>
      </c>
      <c r="L45" s="133">
        <f>K45*I45</f>
        <v>4714987.3206340922</v>
      </c>
      <c r="M45" s="131">
        <f>'Example calcs 2000'!N45*0.95</f>
        <v>0</v>
      </c>
      <c r="N45" s="129">
        <f t="shared" si="6"/>
        <v>628250.10236811731</v>
      </c>
      <c r="O45" s="131">
        <f t="shared" si="7"/>
        <v>1.0208069021639147E-6</v>
      </c>
      <c r="P45" s="131">
        <f t="shared" si="8"/>
        <v>0.64132204078256017</v>
      </c>
      <c r="Q45" s="119" t="s">
        <v>32</v>
      </c>
      <c r="R45" s="52">
        <f t="shared" si="9"/>
        <v>0</v>
      </c>
      <c r="S45" s="119">
        <f>INDEX(Model!$AP$55:$AP$119,MATCH($Q45,Model!$AN$55:$AN$119,0)+MATCH(Model!$AL$117,Model!$AL$55:$AL$119,0)-1)</f>
        <v>0.36</v>
      </c>
      <c r="T45" s="133">
        <f t="shared" si="10"/>
        <v>0.23087593468172166</v>
      </c>
      <c r="U45" s="131">
        <f>'Example calcs 2000'!S45*0.8</f>
        <v>0</v>
      </c>
      <c r="V45" s="129">
        <f t="shared" si="11"/>
        <v>0.23087593468172166</v>
      </c>
      <c r="W45" s="131">
        <f t="shared" si="12"/>
        <v>0.95811694694105154</v>
      </c>
      <c r="X45" s="131">
        <f t="shared" si="0"/>
        <v>0.2212061456594128</v>
      </c>
      <c r="Y45" s="109" t="s">
        <v>35</v>
      </c>
      <c r="Z45" s="52">
        <f t="shared" si="13"/>
        <v>1</v>
      </c>
      <c r="AA45" s="109">
        <f>Model!$AO$148</f>
        <v>1</v>
      </c>
      <c r="AB45" s="109"/>
      <c r="AC45" s="133">
        <f>X45*AA45</f>
        <v>0.2212061456594128</v>
      </c>
      <c r="AD45" s="131">
        <f>'Example calcs 2000'!Y45*0.8</f>
        <v>0</v>
      </c>
      <c r="AE45" s="129">
        <f t="shared" si="14"/>
        <v>0.2212061456594128</v>
      </c>
      <c r="AF45" s="131">
        <f t="shared" si="20"/>
        <v>4.2219505916481506E-2</v>
      </c>
      <c r="AG45" s="131">
        <f t="shared" si="1"/>
        <v>9.3392141754296484E-3</v>
      </c>
      <c r="AH45" s="109" t="s">
        <v>66</v>
      </c>
      <c r="AI45" s="52">
        <f t="shared" si="15"/>
        <v>1</v>
      </c>
      <c r="AJ45" s="109">
        <f>Model!$AO$179</f>
        <v>0.52600000000000002</v>
      </c>
      <c r="AK45" s="109"/>
      <c r="AL45" s="120">
        <f t="shared" si="16"/>
        <v>4.9124266562759955E-3</v>
      </c>
      <c r="AM45" s="109">
        <f t="shared" si="17"/>
        <v>0</v>
      </c>
    </row>
    <row r="46" spans="3:39" s="101" customFormat="1" x14ac:dyDescent="0.25">
      <c r="C46" s="150">
        <f>Model!$AP$13</f>
        <v>3321768</v>
      </c>
      <c r="D46" s="54">
        <f>Model!$AP$16</f>
        <v>0.38461538461538458</v>
      </c>
      <c r="E46" s="151">
        <f t="shared" si="3"/>
        <v>1277603.0769230768</v>
      </c>
      <c r="F46" s="54">
        <f>Model!$AP$29</f>
        <v>1</v>
      </c>
      <c r="G46" s="151">
        <f t="shared" si="4"/>
        <v>1277603.0769230768</v>
      </c>
      <c r="H46" s="108">
        <f>INDEX(Model!$AP$34:$AP$37,MATCH($J46,Model!$AN$34:$AN$37,0))</f>
        <v>4.0000000000000036E-2</v>
      </c>
      <c r="I46" s="129">
        <f t="shared" si="5"/>
        <v>51104.123076923119</v>
      </c>
      <c r="J46" s="109" t="s">
        <v>28</v>
      </c>
      <c r="K46" s="119">
        <f>INDEX(Model!$AP$38:$AP$41,MATCH($J46,Model!$AN$34:$AN$37,0))</f>
        <v>92.262366258334637</v>
      </c>
      <c r="L46" s="133">
        <f>K46*I46</f>
        <v>4714987.3206340922</v>
      </c>
      <c r="M46" s="131">
        <f>'Example calcs 2000'!N46*0.95</f>
        <v>0</v>
      </c>
      <c r="N46" s="129">
        <f t="shared" si="6"/>
        <v>628250.10236811731</v>
      </c>
      <c r="O46" s="131">
        <f t="shared" si="7"/>
        <v>1.0208069021639147E-6</v>
      </c>
      <c r="P46" s="131">
        <f t="shared" si="8"/>
        <v>0.64132204078256017</v>
      </c>
      <c r="Q46" s="119" t="s">
        <v>32</v>
      </c>
      <c r="R46" s="52">
        <f t="shared" si="9"/>
        <v>0</v>
      </c>
      <c r="S46" s="119">
        <f>INDEX(Model!$AP$55:$AP$119,MATCH($Q46,Model!$AN$55:$AN$119,0)+MATCH(Model!$AL$117,Model!$AL$55:$AL$119,0)-1)</f>
        <v>0.36</v>
      </c>
      <c r="T46" s="133">
        <f t="shared" si="10"/>
        <v>0.23087593468172166</v>
      </c>
      <c r="U46" s="131">
        <f>'Example calcs 2000'!S46*0.8</f>
        <v>0</v>
      </c>
      <c r="V46" s="129">
        <f t="shared" si="11"/>
        <v>0.23087593468172166</v>
      </c>
      <c r="W46" s="131">
        <f t="shared" si="12"/>
        <v>0.95811694694105154</v>
      </c>
      <c r="X46" s="131">
        <f t="shared" si="0"/>
        <v>0.2212061456594128</v>
      </c>
      <c r="Y46" s="109" t="s">
        <v>35</v>
      </c>
      <c r="Z46" s="52">
        <f t="shared" si="13"/>
        <v>0</v>
      </c>
      <c r="AA46" s="109">
        <f>Model!$AO$148</f>
        <v>1</v>
      </c>
      <c r="AB46" s="109"/>
      <c r="AC46" s="133">
        <f>X46*AA46</f>
        <v>0.2212061456594128</v>
      </c>
      <c r="AD46" s="131">
        <f>'Example calcs 2000'!Y46*0.8</f>
        <v>0</v>
      </c>
      <c r="AE46" s="129">
        <f t="shared" si="14"/>
        <v>0.2212061456594128</v>
      </c>
      <c r="AF46" s="131">
        <f t="shared" si="20"/>
        <v>5.2787131529516608E-7</v>
      </c>
      <c r="AG46" s="131">
        <f t="shared" si="1"/>
        <v>1.1676837906060832E-7</v>
      </c>
      <c r="AH46" s="109" t="s">
        <v>139</v>
      </c>
      <c r="AI46" s="52">
        <f t="shared" si="15"/>
        <v>1</v>
      </c>
      <c r="AJ46" s="109">
        <f>Model!$AO$192</f>
        <v>0.4</v>
      </c>
      <c r="AK46" s="109"/>
      <c r="AL46" s="120">
        <f t="shared" si="16"/>
        <v>4.6707351624243329E-8</v>
      </c>
      <c r="AM46" s="109">
        <f t="shared" si="17"/>
        <v>0</v>
      </c>
    </row>
    <row r="47" spans="3:39" s="101" customFormat="1" x14ac:dyDescent="0.25">
      <c r="C47" s="150">
        <f>Model!$AP$13</f>
        <v>3321768</v>
      </c>
      <c r="D47" s="54">
        <f>Model!$AP$16</f>
        <v>0.38461538461538458</v>
      </c>
      <c r="E47" s="151">
        <f t="shared" si="3"/>
        <v>1277603.0769230768</v>
      </c>
      <c r="F47" s="54">
        <f>Model!$AP$29</f>
        <v>1</v>
      </c>
      <c r="G47" s="151">
        <f t="shared" si="4"/>
        <v>1277603.0769230768</v>
      </c>
      <c r="H47" s="108">
        <f>INDEX(Model!$AP$34:$AP$37,MATCH($J47,Model!$AN$34:$AN$37,0))</f>
        <v>4.0000000000000036E-2</v>
      </c>
      <c r="I47" s="129">
        <f t="shared" si="5"/>
        <v>51104.123076923119</v>
      </c>
      <c r="J47" s="109" t="s">
        <v>28</v>
      </c>
      <c r="K47" s="119">
        <f>INDEX(Model!$AP$38:$AP$41,MATCH($J47,Model!$AN$34:$AN$37,0))</f>
        <v>92.262366258334637</v>
      </c>
      <c r="L47" s="133">
        <f>K47*I47</f>
        <v>4714987.3206340922</v>
      </c>
      <c r="M47" s="131">
        <f>'Example calcs 2000'!N47*0.95</f>
        <v>0</v>
      </c>
      <c r="N47" s="129">
        <f t="shared" si="6"/>
        <v>628250.10236811731</v>
      </c>
      <c r="O47" s="131">
        <f t="shared" si="7"/>
        <v>1.0208069021639147E-6</v>
      </c>
      <c r="P47" s="131">
        <f t="shared" si="8"/>
        <v>0.64132204078256017</v>
      </c>
      <c r="Q47" s="119" t="s">
        <v>32</v>
      </c>
      <c r="R47" s="52">
        <f t="shared" si="9"/>
        <v>0</v>
      </c>
      <c r="S47" s="119">
        <f>INDEX(Model!$AP$55:$AP$119,MATCH($Q47,Model!$AN$55:$AN$119,0)+MATCH(Model!$AL$117,Model!$AL$55:$AL$119,0)-1)</f>
        <v>0.36</v>
      </c>
      <c r="T47" s="133">
        <f t="shared" si="10"/>
        <v>0.23087593468172166</v>
      </c>
      <c r="U47" s="131">
        <f>'Example calcs 2000'!S47*0.8</f>
        <v>0</v>
      </c>
      <c r="V47" s="129">
        <f t="shared" si="11"/>
        <v>0.23087593468172166</v>
      </c>
      <c r="W47" s="131">
        <f t="shared" si="12"/>
        <v>0.95811694694105154</v>
      </c>
      <c r="X47" s="131">
        <f t="shared" si="0"/>
        <v>0.2212061456594128</v>
      </c>
      <c r="Y47" s="109" t="s">
        <v>35</v>
      </c>
      <c r="Z47" s="52">
        <f t="shared" si="13"/>
        <v>0</v>
      </c>
      <c r="AA47" s="109">
        <f>Model!$AO$148</f>
        <v>1</v>
      </c>
      <c r="AB47" s="109"/>
      <c r="AC47" s="133">
        <f>X47*AA47</f>
        <v>0.2212061456594128</v>
      </c>
      <c r="AD47" s="131">
        <f>'Example calcs 2000'!Y47*0.8</f>
        <v>0</v>
      </c>
      <c r="AE47" s="129">
        <f t="shared" si="14"/>
        <v>0.2212061456594128</v>
      </c>
      <c r="AF47" s="131" t="str">
        <f t="shared" si="20"/>
        <v/>
      </c>
      <c r="AG47" s="131">
        <f t="shared" si="1"/>
        <v>0</v>
      </c>
      <c r="AH47" s="109" t="s">
        <v>64</v>
      </c>
      <c r="AI47" s="52">
        <f t="shared" si="15"/>
        <v>1</v>
      </c>
      <c r="AJ47" s="109"/>
      <c r="AK47" s="109">
        <f>Model!$AO$165</f>
        <v>1.613</v>
      </c>
      <c r="AL47" s="120">
        <f t="shared" si="16"/>
        <v>0</v>
      </c>
      <c r="AM47" s="109">
        <f t="shared" si="17"/>
        <v>0</v>
      </c>
    </row>
    <row r="48" spans="3:39" s="101" customFormat="1" x14ac:dyDescent="0.25">
      <c r="C48" s="150">
        <f>Model!$AP$13</f>
        <v>3321768</v>
      </c>
      <c r="D48" s="54">
        <f>Model!$AP$16</f>
        <v>0.38461538461538458</v>
      </c>
      <c r="E48" s="151">
        <f t="shared" si="3"/>
        <v>1277603.0769230768</v>
      </c>
      <c r="F48" s="54">
        <f>Model!$AP$29</f>
        <v>1</v>
      </c>
      <c r="G48" s="151">
        <f t="shared" si="4"/>
        <v>1277603.0769230768</v>
      </c>
      <c r="H48" s="108">
        <f>INDEX(Model!$AP$34:$AP$37,MATCH($J48,Model!$AN$34:$AN$37,0))</f>
        <v>4.0000000000000036E-2</v>
      </c>
      <c r="I48" s="129">
        <f t="shared" si="5"/>
        <v>51104.123076923119</v>
      </c>
      <c r="J48" s="109" t="s">
        <v>28</v>
      </c>
      <c r="K48" s="119">
        <f>INDEX(Model!$AP$38:$AP$41,MATCH($J48,Model!$AN$34:$AN$37,0))</f>
        <v>92.262366258334637</v>
      </c>
      <c r="L48" s="133">
        <f>K48*I48</f>
        <v>4714987.3206340922</v>
      </c>
      <c r="M48" s="131">
        <f>'Example calcs 2000'!N48*0.95</f>
        <v>0</v>
      </c>
      <c r="N48" s="129">
        <f t="shared" si="6"/>
        <v>628250.10236811731</v>
      </c>
      <c r="O48" s="131">
        <f t="shared" si="7"/>
        <v>1.0208069021639147E-6</v>
      </c>
      <c r="P48" s="131">
        <f t="shared" si="8"/>
        <v>0.64132204078256017</v>
      </c>
      <c r="Q48" s="119" t="s">
        <v>32</v>
      </c>
      <c r="R48" s="52">
        <f t="shared" si="9"/>
        <v>0</v>
      </c>
      <c r="S48" s="119">
        <f>INDEX(Model!$AP$55:$AP$119,MATCH($Q48,Model!$AN$55:$AN$119,0)+MATCH(Model!$AL$117,Model!$AL$55:$AL$119,0)-1)</f>
        <v>0.36</v>
      </c>
      <c r="T48" s="133">
        <f t="shared" si="10"/>
        <v>0.23087593468172166</v>
      </c>
      <c r="U48" s="131">
        <f>'Example calcs 2000'!S48*0.8</f>
        <v>0</v>
      </c>
      <c r="V48" s="129">
        <f t="shared" si="11"/>
        <v>0.23087593468172166</v>
      </c>
      <c r="W48" s="131">
        <f t="shared" si="12"/>
        <v>0.95811694694105154</v>
      </c>
      <c r="X48" s="131">
        <f t="shared" si="0"/>
        <v>0.2212061456594128</v>
      </c>
      <c r="Y48" s="109" t="s">
        <v>35</v>
      </c>
      <c r="Z48" s="52">
        <f t="shared" si="13"/>
        <v>0</v>
      </c>
      <c r="AA48" s="109">
        <f>Model!$AO$148</f>
        <v>1</v>
      </c>
      <c r="AB48" s="109"/>
      <c r="AC48" s="133">
        <f>X48*AA48</f>
        <v>0.2212061456594128</v>
      </c>
      <c r="AD48" s="131">
        <f>'Example calcs 2000'!Y48*0.8</f>
        <v>0</v>
      </c>
      <c r="AE48" s="129">
        <f t="shared" si="14"/>
        <v>0.2212061456594128</v>
      </c>
      <c r="AF48" s="131">
        <f t="shared" si="20"/>
        <v>0.95777996621220318</v>
      </c>
      <c r="AG48" s="131">
        <f t="shared" si="1"/>
        <v>0.21186681471560409</v>
      </c>
      <c r="AH48" s="109" t="s">
        <v>65</v>
      </c>
      <c r="AI48" s="52">
        <f t="shared" si="15"/>
        <v>1</v>
      </c>
      <c r="AJ48" s="109"/>
      <c r="AK48" s="109">
        <f>Model!$AO$205</f>
        <v>1.111</v>
      </c>
      <c r="AL48" s="120">
        <f t="shared" si="16"/>
        <v>0</v>
      </c>
      <c r="AM48" s="109">
        <f t="shared" si="17"/>
        <v>0.23538403114903614</v>
      </c>
    </row>
    <row r="49" spans="3:50" s="101" customFormat="1" x14ac:dyDescent="0.25">
      <c r="C49" s="150">
        <f>Model!$AP$13</f>
        <v>3321768</v>
      </c>
      <c r="D49" s="54">
        <f>Model!$AP$16</f>
        <v>0.38461538461538458</v>
      </c>
      <c r="E49" s="151">
        <f t="shared" si="3"/>
        <v>1277603.0769230768</v>
      </c>
      <c r="F49" s="54">
        <f>Model!$AP$29</f>
        <v>1</v>
      </c>
      <c r="G49" s="151">
        <f t="shared" si="4"/>
        <v>1277603.0769230768</v>
      </c>
      <c r="H49" s="108">
        <f>INDEX(Model!$AP$34:$AP$37,MATCH($J49,Model!$AN$34:$AN$37,0))</f>
        <v>4.0000000000000036E-2</v>
      </c>
      <c r="I49" s="129">
        <f t="shared" si="5"/>
        <v>51104.123076923119</v>
      </c>
      <c r="J49" s="109" t="s">
        <v>28</v>
      </c>
      <c r="K49" s="119">
        <f>INDEX(Model!$AP$38:$AP$41,MATCH($J49,Model!$AN$34:$AN$37,0))</f>
        <v>92.262366258334637</v>
      </c>
      <c r="L49" s="133">
        <f>K49*I49</f>
        <v>4714987.3206340922</v>
      </c>
      <c r="M49" s="131">
        <f>'Example calcs 2000'!N49*0.95</f>
        <v>0</v>
      </c>
      <c r="N49" s="129">
        <f t="shared" si="6"/>
        <v>628250.10236811731</v>
      </c>
      <c r="O49" s="131">
        <f t="shared" si="7"/>
        <v>0.9999989751173719</v>
      </c>
      <c r="P49" s="131">
        <f t="shared" si="8"/>
        <v>628249.45848550124</v>
      </c>
      <c r="Q49" s="119" t="s">
        <v>31</v>
      </c>
      <c r="R49" s="52">
        <f t="shared" si="9"/>
        <v>1</v>
      </c>
      <c r="S49" s="119">
        <f>INDEX(Model!$AP$55:$AP$119,MATCH($Q49,Model!$AN$55:$AN$119,0)+MATCH(Model!$AL$117,Model!$AL$55:$AL$119,0)-1)</f>
        <v>0.51500000000000001</v>
      </c>
      <c r="T49" s="133">
        <f t="shared" si="10"/>
        <v>323548.47112003312</v>
      </c>
      <c r="U49" s="131">
        <f>'Example calcs 2000'!S49*0.8</f>
        <v>0</v>
      </c>
      <c r="V49" s="129">
        <f t="shared" si="11"/>
        <v>323548.47112003312</v>
      </c>
      <c r="W49" s="131">
        <f t="shared" si="12"/>
        <v>4.1883053058948572E-2</v>
      </c>
      <c r="X49" s="131">
        <f t="shared" si="0"/>
        <v>13551.197783062036</v>
      </c>
      <c r="Y49" s="109" t="s">
        <v>34</v>
      </c>
      <c r="Z49" s="52">
        <f t="shared" si="13"/>
        <v>1</v>
      </c>
      <c r="AA49" s="109"/>
      <c r="AB49" s="109">
        <f>Model!$AO$138</f>
        <v>1</v>
      </c>
      <c r="AC49" s="133"/>
      <c r="AD49" s="131">
        <f>'Example calcs 2000'!Y49*0.8</f>
        <v>0</v>
      </c>
      <c r="AE49" s="129">
        <f t="shared" si="14"/>
        <v>0</v>
      </c>
      <c r="AF49" s="131" t="str">
        <f t="shared" si="20"/>
        <v/>
      </c>
      <c r="AG49" s="131">
        <f t="shared" si="1"/>
        <v>0</v>
      </c>
      <c r="AH49" s="109"/>
      <c r="AI49" s="52">
        <f t="shared" si="15"/>
        <v>1</v>
      </c>
      <c r="AJ49" s="109"/>
      <c r="AK49" s="109"/>
      <c r="AL49" s="120">
        <f t="shared" si="16"/>
        <v>13551.197783062036</v>
      </c>
      <c r="AM49" s="109">
        <f t="shared" si="17"/>
        <v>0</v>
      </c>
      <c r="AX49" s="155"/>
    </row>
    <row r="50" spans="3:50" s="101" customFormat="1" x14ac:dyDescent="0.25">
      <c r="C50" s="150">
        <f>Model!$AP$13</f>
        <v>3321768</v>
      </c>
      <c r="D50" s="54">
        <f>Model!$AP$16</f>
        <v>0.38461538461538458</v>
      </c>
      <c r="E50" s="151">
        <f t="shared" si="3"/>
        <v>1277603.0769230768</v>
      </c>
      <c r="F50" s="54">
        <f>Model!$AP$29</f>
        <v>1</v>
      </c>
      <c r="G50" s="151">
        <f t="shared" si="4"/>
        <v>1277603.0769230768</v>
      </c>
      <c r="H50" s="108">
        <f>INDEX(Model!$AP$34:$AP$37,MATCH($J50,Model!$AN$34:$AN$37,0))</f>
        <v>4.0000000000000036E-2</v>
      </c>
      <c r="I50" s="129">
        <f t="shared" si="5"/>
        <v>51104.123076923119</v>
      </c>
      <c r="J50" s="109" t="s">
        <v>28</v>
      </c>
      <c r="K50" s="119">
        <f>INDEX(Model!$AP$38:$AP$41,MATCH($J50,Model!$AN$34:$AN$37,0))</f>
        <v>92.262366258334637</v>
      </c>
      <c r="L50" s="133">
        <f>K50*I50</f>
        <v>4714987.3206340922</v>
      </c>
      <c r="M50" s="131">
        <f>'Example calcs 2000'!N50*0.95</f>
        <v>0</v>
      </c>
      <c r="N50" s="129">
        <f t="shared" si="6"/>
        <v>628250.10236811731</v>
      </c>
      <c r="O50" s="131">
        <f t="shared" si="7"/>
        <v>0.9999989751173719</v>
      </c>
      <c r="P50" s="131">
        <f t="shared" si="8"/>
        <v>628249.45848550124</v>
      </c>
      <c r="Q50" s="119" t="s">
        <v>31</v>
      </c>
      <c r="R50" s="52">
        <f t="shared" si="9"/>
        <v>0</v>
      </c>
      <c r="S50" s="119">
        <f>INDEX(Model!$AP$55:$AP$119,MATCH($Q50,Model!$AN$55:$AN$119,0)+MATCH(Model!$AL$117,Model!$AL$55:$AL$119,0)-1)</f>
        <v>0.51500000000000001</v>
      </c>
      <c r="T50" s="133">
        <f t="shared" si="10"/>
        <v>323548.47112003312</v>
      </c>
      <c r="U50" s="131">
        <f>'Example calcs 2000'!S50*0.8</f>
        <v>0</v>
      </c>
      <c r="V50" s="129">
        <f t="shared" si="11"/>
        <v>323548.47112003312</v>
      </c>
      <c r="W50" s="131">
        <f t="shared" si="12"/>
        <v>0.95811694694105154</v>
      </c>
      <c r="X50" s="131">
        <f t="shared" si="0"/>
        <v>309997.27333697112</v>
      </c>
      <c r="Y50" s="109" t="s">
        <v>35</v>
      </c>
      <c r="Z50" s="52">
        <f t="shared" si="13"/>
        <v>1</v>
      </c>
      <c r="AA50" s="109">
        <f>Model!$AO$148</f>
        <v>1</v>
      </c>
      <c r="AB50" s="109"/>
      <c r="AC50" s="133">
        <f>X50*AA50</f>
        <v>309997.27333697112</v>
      </c>
      <c r="AD50" s="131">
        <f>'Example calcs 2000'!Y50*0.8</f>
        <v>0</v>
      </c>
      <c r="AE50" s="129">
        <f t="shared" si="14"/>
        <v>309997.27333697112</v>
      </c>
      <c r="AF50" s="131">
        <f t="shared" si="20"/>
        <v>4.2219505916481506E-2</v>
      </c>
      <c r="AG50" s="131">
        <f t="shared" si="1"/>
        <v>13087.931715743387</v>
      </c>
      <c r="AH50" s="109" t="s">
        <v>66</v>
      </c>
      <c r="AI50" s="52">
        <f t="shared" si="15"/>
        <v>1</v>
      </c>
      <c r="AJ50" s="109">
        <f>Model!$AO$179</f>
        <v>0.52600000000000002</v>
      </c>
      <c r="AK50" s="109"/>
      <c r="AL50" s="120">
        <f t="shared" si="16"/>
        <v>6884.2520824810217</v>
      </c>
      <c r="AM50" s="109">
        <f t="shared" si="17"/>
        <v>0</v>
      </c>
      <c r="AX50" s="155"/>
    </row>
    <row r="51" spans="3:50" s="101" customFormat="1" x14ac:dyDescent="0.25">
      <c r="C51" s="150">
        <f>Model!$AP$13</f>
        <v>3321768</v>
      </c>
      <c r="D51" s="54">
        <f>Model!$AP$16</f>
        <v>0.38461538461538458</v>
      </c>
      <c r="E51" s="151">
        <f t="shared" si="3"/>
        <v>1277603.0769230768</v>
      </c>
      <c r="F51" s="54">
        <f>Model!$AP$29</f>
        <v>1</v>
      </c>
      <c r="G51" s="151">
        <f t="shared" si="4"/>
        <v>1277603.0769230768</v>
      </c>
      <c r="H51" s="108">
        <f>INDEX(Model!$AP$34:$AP$37,MATCH($J51,Model!$AN$34:$AN$37,0))</f>
        <v>4.0000000000000036E-2</v>
      </c>
      <c r="I51" s="129">
        <f t="shared" si="5"/>
        <v>51104.123076923119</v>
      </c>
      <c r="J51" s="109" t="s">
        <v>28</v>
      </c>
      <c r="K51" s="119">
        <f>INDEX(Model!$AP$38:$AP$41,MATCH($J51,Model!$AN$34:$AN$37,0))</f>
        <v>92.262366258334637</v>
      </c>
      <c r="L51" s="133">
        <f>K51*I51</f>
        <v>4714987.3206340922</v>
      </c>
      <c r="M51" s="131">
        <f>'Example calcs 2000'!N51*0.95</f>
        <v>0</v>
      </c>
      <c r="N51" s="129">
        <f t="shared" si="6"/>
        <v>628250.10236811731</v>
      </c>
      <c r="O51" s="131">
        <f t="shared" si="7"/>
        <v>0.9999989751173719</v>
      </c>
      <c r="P51" s="131">
        <f t="shared" si="8"/>
        <v>628249.45848550124</v>
      </c>
      <c r="Q51" s="119" t="s">
        <v>31</v>
      </c>
      <c r="R51" s="52">
        <f t="shared" si="9"/>
        <v>0</v>
      </c>
      <c r="S51" s="119">
        <f>INDEX(Model!$AP$55:$AP$119,MATCH($Q51,Model!$AN$55:$AN$119,0)+MATCH(Model!$AL$117,Model!$AL$55:$AL$119,0)-1)</f>
        <v>0.51500000000000001</v>
      </c>
      <c r="T51" s="133">
        <f t="shared" si="10"/>
        <v>323548.47112003312</v>
      </c>
      <c r="U51" s="131">
        <f>'Example calcs 2000'!S51*0.8</f>
        <v>0</v>
      </c>
      <c r="V51" s="129">
        <f t="shared" si="11"/>
        <v>323548.47112003312</v>
      </c>
      <c r="W51" s="131">
        <f t="shared" si="12"/>
        <v>0.95811694694105154</v>
      </c>
      <c r="X51" s="131">
        <f t="shared" si="0"/>
        <v>309997.27333697112</v>
      </c>
      <c r="Y51" s="109" t="s">
        <v>35</v>
      </c>
      <c r="Z51" s="52">
        <f t="shared" si="13"/>
        <v>0</v>
      </c>
      <c r="AA51" s="109">
        <f>Model!$AO$148</f>
        <v>1</v>
      </c>
      <c r="AB51" s="109"/>
      <c r="AC51" s="133">
        <f>X51*AA51</f>
        <v>309997.27333697112</v>
      </c>
      <c r="AD51" s="131">
        <f>'Example calcs 2000'!Y51*0.8</f>
        <v>0</v>
      </c>
      <c r="AE51" s="129">
        <f t="shared" si="14"/>
        <v>309997.27333697112</v>
      </c>
      <c r="AF51" s="131">
        <f t="shared" si="20"/>
        <v>5.2787131529516608E-7</v>
      </c>
      <c r="AG51" s="131">
        <f t="shared" si="1"/>
        <v>0.16363866841430205</v>
      </c>
      <c r="AH51" s="109" t="s">
        <v>139</v>
      </c>
      <c r="AI51" s="52">
        <f t="shared" si="15"/>
        <v>1</v>
      </c>
      <c r="AJ51" s="109">
        <f>Model!$AO$192</f>
        <v>0.4</v>
      </c>
      <c r="AK51" s="109"/>
      <c r="AL51" s="120">
        <f t="shared" si="16"/>
        <v>6.5455467365720818E-2</v>
      </c>
      <c r="AM51" s="109">
        <f t="shared" si="17"/>
        <v>0</v>
      </c>
      <c r="AX51" s="155"/>
    </row>
    <row r="52" spans="3:50" s="101" customFormat="1" x14ac:dyDescent="0.25">
      <c r="C52" s="150">
        <f>Model!$AP$13</f>
        <v>3321768</v>
      </c>
      <c r="D52" s="54">
        <f>Model!$AP$16</f>
        <v>0.38461538461538458</v>
      </c>
      <c r="E52" s="151">
        <f t="shared" si="3"/>
        <v>1277603.0769230768</v>
      </c>
      <c r="F52" s="54">
        <f>Model!$AP$29</f>
        <v>1</v>
      </c>
      <c r="G52" s="151">
        <f t="shared" si="4"/>
        <v>1277603.0769230768</v>
      </c>
      <c r="H52" s="108">
        <f>INDEX(Model!$AP$34:$AP$37,MATCH($J52,Model!$AN$34:$AN$37,0))</f>
        <v>4.0000000000000036E-2</v>
      </c>
      <c r="I52" s="129">
        <f t="shared" si="5"/>
        <v>51104.123076923119</v>
      </c>
      <c r="J52" s="109" t="s">
        <v>28</v>
      </c>
      <c r="K52" s="119">
        <f>INDEX(Model!$AP$38:$AP$41,MATCH($J52,Model!$AN$34:$AN$37,0))</f>
        <v>92.262366258334637</v>
      </c>
      <c r="L52" s="133">
        <f>K52*I52</f>
        <v>4714987.3206340922</v>
      </c>
      <c r="M52" s="131">
        <f>'Example calcs 2000'!N52*0.95</f>
        <v>0</v>
      </c>
      <c r="N52" s="129">
        <f t="shared" si="6"/>
        <v>628250.10236811731</v>
      </c>
      <c r="O52" s="131">
        <f t="shared" si="7"/>
        <v>0.9999989751173719</v>
      </c>
      <c r="P52" s="131">
        <f t="shared" si="8"/>
        <v>628249.45848550124</v>
      </c>
      <c r="Q52" s="119" t="s">
        <v>31</v>
      </c>
      <c r="R52" s="52">
        <f t="shared" si="9"/>
        <v>0</v>
      </c>
      <c r="S52" s="119">
        <f>INDEX(Model!$AP$55:$AP$119,MATCH($Q52,Model!$AN$55:$AN$119,0)+MATCH(Model!$AL$117,Model!$AL$55:$AL$119,0)-1)</f>
        <v>0.51500000000000001</v>
      </c>
      <c r="T52" s="133">
        <f t="shared" si="10"/>
        <v>323548.47112003312</v>
      </c>
      <c r="U52" s="131">
        <f>'Example calcs 2000'!S52*0.8</f>
        <v>0</v>
      </c>
      <c r="V52" s="129">
        <f t="shared" si="11"/>
        <v>323548.47112003312</v>
      </c>
      <c r="W52" s="131">
        <f t="shared" si="12"/>
        <v>0.95811694694105154</v>
      </c>
      <c r="X52" s="131">
        <f t="shared" si="0"/>
        <v>309997.27333697112</v>
      </c>
      <c r="Y52" s="109" t="s">
        <v>35</v>
      </c>
      <c r="Z52" s="52">
        <f t="shared" si="13"/>
        <v>0</v>
      </c>
      <c r="AA52" s="109">
        <f>Model!$AO$148</f>
        <v>1</v>
      </c>
      <c r="AB52" s="109"/>
      <c r="AC52" s="133">
        <f>X52*AA52</f>
        <v>309997.27333697112</v>
      </c>
      <c r="AD52" s="131">
        <f>'Example calcs 2000'!Y52*0.8</f>
        <v>0</v>
      </c>
      <c r="AE52" s="129">
        <f t="shared" si="14"/>
        <v>309997.27333697112</v>
      </c>
      <c r="AF52" s="131" t="str">
        <f t="shared" si="20"/>
        <v/>
      </c>
      <c r="AG52" s="131">
        <f t="shared" si="1"/>
        <v>0</v>
      </c>
      <c r="AH52" s="109" t="s">
        <v>64</v>
      </c>
      <c r="AI52" s="52">
        <f t="shared" si="15"/>
        <v>1</v>
      </c>
      <c r="AJ52" s="109"/>
      <c r="AK52" s="109">
        <f>Model!$AO$165</f>
        <v>1.613</v>
      </c>
      <c r="AL52" s="120">
        <f t="shared" si="16"/>
        <v>0</v>
      </c>
      <c r="AM52" s="109">
        <f t="shared" si="17"/>
        <v>0</v>
      </c>
      <c r="AX52" s="155"/>
    </row>
    <row r="53" spans="3:50" s="101" customFormat="1" x14ac:dyDescent="0.25">
      <c r="C53" s="150">
        <f>Model!$AP$13</f>
        <v>3321768</v>
      </c>
      <c r="D53" s="54">
        <f>Model!$AP$16</f>
        <v>0.38461538461538458</v>
      </c>
      <c r="E53" s="151">
        <f t="shared" si="3"/>
        <v>1277603.0769230768</v>
      </c>
      <c r="F53" s="54">
        <f>Model!$AP$29</f>
        <v>1</v>
      </c>
      <c r="G53" s="151">
        <f t="shared" si="4"/>
        <v>1277603.0769230768</v>
      </c>
      <c r="H53" s="108">
        <f>INDEX(Model!$AP$34:$AP$37,MATCH($J53,Model!$AN$34:$AN$37,0))</f>
        <v>4.0000000000000036E-2</v>
      </c>
      <c r="I53" s="129">
        <f t="shared" si="5"/>
        <v>51104.123076923119</v>
      </c>
      <c r="J53" s="109" t="s">
        <v>28</v>
      </c>
      <c r="K53" s="119">
        <f>INDEX(Model!$AP$38:$AP$41,MATCH($J53,Model!$AN$34:$AN$37,0))</f>
        <v>92.262366258334637</v>
      </c>
      <c r="L53" s="133">
        <f>K53*I53</f>
        <v>4714987.3206340922</v>
      </c>
      <c r="M53" s="131">
        <f>'Example calcs 2000'!N53*0.95</f>
        <v>0</v>
      </c>
      <c r="N53" s="129">
        <f t="shared" si="6"/>
        <v>628250.10236811731</v>
      </c>
      <c r="O53" s="131">
        <f t="shared" si="7"/>
        <v>0.9999989751173719</v>
      </c>
      <c r="P53" s="131">
        <f t="shared" si="8"/>
        <v>628249.45848550124</v>
      </c>
      <c r="Q53" s="119" t="s">
        <v>31</v>
      </c>
      <c r="R53" s="52">
        <f t="shared" si="9"/>
        <v>0</v>
      </c>
      <c r="S53" s="119">
        <f>INDEX(Model!$AP$55:$AP$119,MATCH($Q53,Model!$AN$55:$AN$119,0)+MATCH(Model!$AL$117,Model!$AL$55:$AL$119,0)-1)</f>
        <v>0.51500000000000001</v>
      </c>
      <c r="T53" s="133">
        <f t="shared" si="10"/>
        <v>323548.47112003312</v>
      </c>
      <c r="U53" s="131">
        <f>'Example calcs 2000'!S53*0.8</f>
        <v>0</v>
      </c>
      <c r="V53" s="129">
        <f t="shared" si="11"/>
        <v>323548.47112003312</v>
      </c>
      <c r="W53" s="131">
        <f t="shared" si="12"/>
        <v>0.95811694694105154</v>
      </c>
      <c r="X53" s="131">
        <f t="shared" si="0"/>
        <v>309997.27333697112</v>
      </c>
      <c r="Y53" s="109" t="s">
        <v>35</v>
      </c>
      <c r="Z53" s="52">
        <f t="shared" si="13"/>
        <v>0</v>
      </c>
      <c r="AA53" s="109">
        <f>Model!$AO$148</f>
        <v>1</v>
      </c>
      <c r="AB53" s="109"/>
      <c r="AC53" s="133">
        <f>X53*AA53</f>
        <v>309997.27333697112</v>
      </c>
      <c r="AD53" s="131">
        <f>'Example calcs 2000'!Y53*0.8</f>
        <v>0</v>
      </c>
      <c r="AE53" s="129">
        <f t="shared" si="14"/>
        <v>309997.27333697112</v>
      </c>
      <c r="AF53" s="131">
        <f t="shared" si="20"/>
        <v>0.95777996621220318</v>
      </c>
      <c r="AG53" s="131">
        <f t="shared" si="1"/>
        <v>296909.17798255931</v>
      </c>
      <c r="AH53" s="109" t="s">
        <v>65</v>
      </c>
      <c r="AI53" s="52">
        <f t="shared" si="15"/>
        <v>1</v>
      </c>
      <c r="AJ53" s="109"/>
      <c r="AK53" s="109">
        <f>Model!$AO$205</f>
        <v>1.111</v>
      </c>
      <c r="AL53" s="120">
        <f t="shared" si="16"/>
        <v>0</v>
      </c>
      <c r="AM53" s="109">
        <f t="shared" si="17"/>
        <v>329866.0967386234</v>
      </c>
      <c r="AX53" s="155"/>
    </row>
    <row r="54" spans="3:50" s="101" customFormat="1" x14ac:dyDescent="0.25">
      <c r="C54" s="150">
        <f>Model!$AP$13</f>
        <v>3321768</v>
      </c>
      <c r="D54" s="54">
        <f>Model!$AP$16</f>
        <v>0.38461538461538458</v>
      </c>
      <c r="E54" s="151">
        <f t="shared" si="3"/>
        <v>1277603.0769230768</v>
      </c>
      <c r="F54" s="54">
        <f>Model!$AP$29</f>
        <v>1</v>
      </c>
      <c r="G54" s="151">
        <f t="shared" si="4"/>
        <v>1277603.0769230768</v>
      </c>
      <c r="H54" s="108">
        <f>INDEX(Model!$AP$34:$AP$37,MATCH($J54,Model!$AN$34:$AN$37,0))</f>
        <v>0.10100000000000001</v>
      </c>
      <c r="I54" s="129">
        <f t="shared" si="5"/>
        <v>129037.91076923076</v>
      </c>
      <c r="J54" s="109" t="s">
        <v>26</v>
      </c>
      <c r="K54" s="119">
        <f>INDEX(Model!$AP$38:$AP$41,MATCH($J54,Model!$AN$34:$AN$37,0))</f>
        <v>111.23110151187905</v>
      </c>
      <c r="L54" s="133">
        <f>K54*I54</f>
        <v>14353028.951653097</v>
      </c>
      <c r="M54" s="131">
        <f>'Example calcs 2000'!N54*0.95</f>
        <v>0</v>
      </c>
      <c r="N54" s="129">
        <f t="shared" si="6"/>
        <v>2567599.8843356762</v>
      </c>
      <c r="O54" s="131">
        <f t="shared" si="7"/>
        <v>4.0757259630805254E-9</v>
      </c>
      <c r="P54" s="131">
        <f t="shared" si="8"/>
        <v>1.0464833511389469E-2</v>
      </c>
      <c r="Q54" s="119" t="s">
        <v>33</v>
      </c>
      <c r="R54" s="52">
        <f t="shared" si="9"/>
        <v>1</v>
      </c>
      <c r="S54" s="119">
        <f>INDEX(Model!$AP$55:$AP$119,MATCH($Q54,Model!$AN$55:$AN$119,0)+MATCH(Model!$AL$117,Model!$AL$55:$AL$119,0)-1)</f>
        <v>0.309</v>
      </c>
      <c r="T54" s="133">
        <f t="shared" si="10"/>
        <v>3.2336335550193457E-3</v>
      </c>
      <c r="U54" s="131">
        <f>'Example calcs 2000'!S54*0.8</f>
        <v>0</v>
      </c>
      <c r="V54" s="129">
        <f t="shared" si="11"/>
        <v>3.2336335550193457E-3</v>
      </c>
      <c r="W54" s="131">
        <f t="shared" si="12"/>
        <v>4.1883053058948572E-2</v>
      </c>
      <c r="X54" s="131">
        <f t="shared" si="0"/>
        <v>1.3543444575807176E-4</v>
      </c>
      <c r="Y54" s="109" t="s">
        <v>34</v>
      </c>
      <c r="Z54" s="52">
        <f t="shared" si="13"/>
        <v>1</v>
      </c>
      <c r="AA54" s="109"/>
      <c r="AB54" s="109">
        <f>Model!$AO$138</f>
        <v>1</v>
      </c>
      <c r="AC54" s="133"/>
      <c r="AD54" s="131">
        <f>'Example calcs 2000'!Y54*0.8</f>
        <v>0</v>
      </c>
      <c r="AE54" s="129">
        <f t="shared" si="14"/>
        <v>0</v>
      </c>
      <c r="AF54" s="131" t="str">
        <f t="shared" si="20"/>
        <v/>
      </c>
      <c r="AG54" s="131">
        <f t="shared" si="1"/>
        <v>0</v>
      </c>
      <c r="AH54" s="109"/>
      <c r="AI54" s="52">
        <f t="shared" si="15"/>
        <v>1</v>
      </c>
      <c r="AJ54" s="109"/>
      <c r="AK54" s="109"/>
      <c r="AL54" s="120">
        <f t="shared" si="16"/>
        <v>1.3543444575807176E-4</v>
      </c>
      <c r="AM54" s="109">
        <f t="shared" si="17"/>
        <v>0</v>
      </c>
      <c r="AX54" s="155"/>
    </row>
    <row r="55" spans="3:50" s="101" customFormat="1" x14ac:dyDescent="0.25">
      <c r="C55" s="150">
        <f>Model!$AP$13</f>
        <v>3321768</v>
      </c>
      <c r="D55" s="54">
        <f>Model!$AP$16</f>
        <v>0.38461538461538458</v>
      </c>
      <c r="E55" s="151">
        <f t="shared" si="3"/>
        <v>1277603.0769230768</v>
      </c>
      <c r="F55" s="54">
        <f>Model!$AP$29</f>
        <v>1</v>
      </c>
      <c r="G55" s="151">
        <f t="shared" si="4"/>
        <v>1277603.0769230768</v>
      </c>
      <c r="H55" s="108">
        <f>INDEX(Model!$AP$34:$AP$37,MATCH($J55,Model!$AN$34:$AN$37,0))</f>
        <v>0.10100000000000001</v>
      </c>
      <c r="I55" s="129">
        <f t="shared" si="5"/>
        <v>129037.91076923076</v>
      </c>
      <c r="J55" s="109" t="s">
        <v>26</v>
      </c>
      <c r="K55" s="119">
        <f>INDEX(Model!$AP$38:$AP$41,MATCH($J55,Model!$AN$34:$AN$37,0))</f>
        <v>111.23110151187905</v>
      </c>
      <c r="L55" s="133">
        <f>K55*I55</f>
        <v>14353028.951653097</v>
      </c>
      <c r="M55" s="131">
        <f>'Example calcs 2000'!N55*0.95</f>
        <v>0</v>
      </c>
      <c r="N55" s="129">
        <f t="shared" si="6"/>
        <v>2567599.8843356762</v>
      </c>
      <c r="O55" s="131">
        <f t="shared" si="7"/>
        <v>4.0757259630805254E-9</v>
      </c>
      <c r="P55" s="131">
        <f t="shared" si="8"/>
        <v>1.0464833511389469E-2</v>
      </c>
      <c r="Q55" s="119" t="s">
        <v>33</v>
      </c>
      <c r="R55" s="52">
        <f t="shared" si="9"/>
        <v>0</v>
      </c>
      <c r="S55" s="119">
        <f>INDEX(Model!$AP$55:$AP$119,MATCH($Q55,Model!$AN$55:$AN$119,0)+MATCH(Model!$AL$117,Model!$AL$55:$AL$119,0)-1)</f>
        <v>0.309</v>
      </c>
      <c r="T55" s="133">
        <f t="shared" si="10"/>
        <v>3.2336335550193457E-3</v>
      </c>
      <c r="U55" s="131">
        <f>'Example calcs 2000'!S55*0.8</f>
        <v>0</v>
      </c>
      <c r="V55" s="129">
        <f t="shared" si="11"/>
        <v>3.2336335550193457E-3</v>
      </c>
      <c r="W55" s="131">
        <f t="shared" si="12"/>
        <v>0.95811694694105154</v>
      </c>
      <c r="X55" s="131">
        <f t="shared" si="0"/>
        <v>3.0981991092612743E-3</v>
      </c>
      <c r="Y55" s="109" t="s">
        <v>35</v>
      </c>
      <c r="Z55" s="52">
        <f t="shared" si="13"/>
        <v>1</v>
      </c>
      <c r="AA55" s="109">
        <f>Model!$AO$148</f>
        <v>1</v>
      </c>
      <c r="AB55" s="109"/>
      <c r="AC55" s="133">
        <f>X55*AA55</f>
        <v>3.0981991092612743E-3</v>
      </c>
      <c r="AD55" s="131">
        <f>'Example calcs 2000'!Y55*0.8</f>
        <v>0</v>
      </c>
      <c r="AE55" s="129">
        <f t="shared" si="14"/>
        <v>3.0981991092612743E-3</v>
      </c>
      <c r="AF55" s="131">
        <f t="shared" si="20"/>
        <v>4.2219505916481506E-2</v>
      </c>
      <c r="AG55" s="131">
        <f t="shared" si="1"/>
        <v>1.308044356238941E-4</v>
      </c>
      <c r="AH55" s="109" t="s">
        <v>66</v>
      </c>
      <c r="AI55" s="52">
        <f t="shared" si="15"/>
        <v>1</v>
      </c>
      <c r="AJ55" s="109">
        <f>Model!$AO$179</f>
        <v>0.52600000000000002</v>
      </c>
      <c r="AK55" s="109"/>
      <c r="AL55" s="120">
        <f t="shared" si="16"/>
        <v>6.8803133138168294E-5</v>
      </c>
      <c r="AM55" s="109">
        <f t="shared" si="17"/>
        <v>0</v>
      </c>
      <c r="AX55" s="155"/>
    </row>
    <row r="56" spans="3:50" s="101" customFormat="1" x14ac:dyDescent="0.25">
      <c r="C56" s="150">
        <f>Model!$AP$13</f>
        <v>3321768</v>
      </c>
      <c r="D56" s="54">
        <f>Model!$AP$16</f>
        <v>0.38461538461538458</v>
      </c>
      <c r="E56" s="151">
        <f t="shared" si="3"/>
        <v>1277603.0769230768</v>
      </c>
      <c r="F56" s="54">
        <f>Model!$AP$29</f>
        <v>1</v>
      </c>
      <c r="G56" s="151">
        <f t="shared" si="4"/>
        <v>1277603.0769230768</v>
      </c>
      <c r="H56" s="108">
        <f>INDEX(Model!$AP$34:$AP$37,MATCH($J56,Model!$AN$34:$AN$37,0))</f>
        <v>0.10100000000000001</v>
      </c>
      <c r="I56" s="129">
        <f t="shared" si="5"/>
        <v>129037.91076923076</v>
      </c>
      <c r="J56" s="109" t="s">
        <v>26</v>
      </c>
      <c r="K56" s="119">
        <f>INDEX(Model!$AP$38:$AP$41,MATCH($J56,Model!$AN$34:$AN$37,0))</f>
        <v>111.23110151187905</v>
      </c>
      <c r="L56" s="133">
        <f>K56*I56</f>
        <v>14353028.951653097</v>
      </c>
      <c r="M56" s="131">
        <f>'Example calcs 2000'!N56*0.95</f>
        <v>0</v>
      </c>
      <c r="N56" s="129">
        <f t="shared" si="6"/>
        <v>2567599.8843356762</v>
      </c>
      <c r="O56" s="131">
        <f t="shared" si="7"/>
        <v>4.0757259630805254E-9</v>
      </c>
      <c r="P56" s="131">
        <f t="shared" si="8"/>
        <v>1.0464833511389469E-2</v>
      </c>
      <c r="Q56" s="119" t="s">
        <v>33</v>
      </c>
      <c r="R56" s="52">
        <f t="shared" si="9"/>
        <v>0</v>
      </c>
      <c r="S56" s="119">
        <f>INDEX(Model!$AP$55:$AP$119,MATCH($Q56,Model!$AN$55:$AN$119,0)+MATCH(Model!$AL$117,Model!$AL$55:$AL$119,0)-1)</f>
        <v>0.309</v>
      </c>
      <c r="T56" s="133">
        <f t="shared" si="10"/>
        <v>3.2336335550193457E-3</v>
      </c>
      <c r="U56" s="131">
        <f>'Example calcs 2000'!S56*0.8</f>
        <v>0</v>
      </c>
      <c r="V56" s="129">
        <f t="shared" si="11"/>
        <v>3.2336335550193457E-3</v>
      </c>
      <c r="W56" s="131">
        <f t="shared" si="12"/>
        <v>0.95811694694105154</v>
      </c>
      <c r="X56" s="131">
        <f t="shared" si="0"/>
        <v>3.0981991092612743E-3</v>
      </c>
      <c r="Y56" s="109" t="s">
        <v>35</v>
      </c>
      <c r="Z56" s="52">
        <f t="shared" si="13"/>
        <v>0</v>
      </c>
      <c r="AA56" s="109">
        <f>Model!$AO$148</f>
        <v>1</v>
      </c>
      <c r="AB56" s="109"/>
      <c r="AC56" s="133">
        <f>X56*AA56</f>
        <v>3.0981991092612743E-3</v>
      </c>
      <c r="AD56" s="131">
        <f>'Example calcs 2000'!Y56*0.8</f>
        <v>0</v>
      </c>
      <c r="AE56" s="129">
        <f t="shared" si="14"/>
        <v>3.0981991092612743E-3</v>
      </c>
      <c r="AF56" s="131">
        <f t="shared" si="20"/>
        <v>5.2787131529516608E-7</v>
      </c>
      <c r="AG56" s="131">
        <f t="shared" si="1"/>
        <v>1.6354504388520609E-9</v>
      </c>
      <c r="AH56" s="109" t="s">
        <v>139</v>
      </c>
      <c r="AI56" s="52">
        <f t="shared" si="15"/>
        <v>1</v>
      </c>
      <c r="AJ56" s="109">
        <f>Model!$AO$192</f>
        <v>0.4</v>
      </c>
      <c r="AK56" s="109"/>
      <c r="AL56" s="120">
        <f t="shared" si="16"/>
        <v>6.541801755408244E-10</v>
      </c>
      <c r="AM56" s="109">
        <f t="shared" si="17"/>
        <v>0</v>
      </c>
      <c r="AX56" s="155"/>
    </row>
    <row r="57" spans="3:50" s="101" customFormat="1" x14ac:dyDescent="0.25">
      <c r="C57" s="150">
        <f>Model!$AP$13</f>
        <v>3321768</v>
      </c>
      <c r="D57" s="54">
        <f>Model!$AP$16</f>
        <v>0.38461538461538458</v>
      </c>
      <c r="E57" s="151">
        <f t="shared" si="3"/>
        <v>1277603.0769230768</v>
      </c>
      <c r="F57" s="54">
        <f>Model!$AP$29</f>
        <v>1</v>
      </c>
      <c r="G57" s="151">
        <f t="shared" si="4"/>
        <v>1277603.0769230768</v>
      </c>
      <c r="H57" s="108">
        <f>INDEX(Model!$AP$34:$AP$37,MATCH($J57,Model!$AN$34:$AN$37,0))</f>
        <v>0.10100000000000001</v>
      </c>
      <c r="I57" s="129">
        <f t="shared" si="5"/>
        <v>129037.91076923076</v>
      </c>
      <c r="J57" s="109" t="s">
        <v>26</v>
      </c>
      <c r="K57" s="119">
        <f>INDEX(Model!$AP$38:$AP$41,MATCH($J57,Model!$AN$34:$AN$37,0))</f>
        <v>111.23110151187905</v>
      </c>
      <c r="L57" s="133">
        <f>K57*I57</f>
        <v>14353028.951653097</v>
      </c>
      <c r="M57" s="131">
        <f>'Example calcs 2000'!N57*0.95</f>
        <v>0</v>
      </c>
      <c r="N57" s="129">
        <f t="shared" si="6"/>
        <v>2567599.8843356762</v>
      </c>
      <c r="O57" s="131">
        <f t="shared" si="7"/>
        <v>4.0757259630805254E-9</v>
      </c>
      <c r="P57" s="131">
        <f t="shared" si="8"/>
        <v>1.0464833511389469E-2</v>
      </c>
      <c r="Q57" s="119" t="s">
        <v>33</v>
      </c>
      <c r="R57" s="52">
        <f t="shared" si="9"/>
        <v>0</v>
      </c>
      <c r="S57" s="119">
        <f>INDEX(Model!$AP$55:$AP$119,MATCH($Q57,Model!$AN$55:$AN$119,0)+MATCH(Model!$AL$117,Model!$AL$55:$AL$119,0)-1)</f>
        <v>0.309</v>
      </c>
      <c r="T57" s="133">
        <f t="shared" si="10"/>
        <v>3.2336335550193457E-3</v>
      </c>
      <c r="U57" s="131">
        <f>'Example calcs 2000'!S57*0.8</f>
        <v>0</v>
      </c>
      <c r="V57" s="129">
        <f t="shared" si="11"/>
        <v>3.2336335550193457E-3</v>
      </c>
      <c r="W57" s="131">
        <f t="shared" si="12"/>
        <v>0.95811694694105154</v>
      </c>
      <c r="X57" s="131">
        <f t="shared" si="0"/>
        <v>3.0981991092612743E-3</v>
      </c>
      <c r="Y57" s="109" t="s">
        <v>35</v>
      </c>
      <c r="Z57" s="52">
        <f t="shared" si="13"/>
        <v>0</v>
      </c>
      <c r="AA57" s="109">
        <f>Model!$AO$148</f>
        <v>1</v>
      </c>
      <c r="AB57" s="109"/>
      <c r="AC57" s="133">
        <f>X57*AA57</f>
        <v>3.0981991092612743E-3</v>
      </c>
      <c r="AD57" s="131">
        <f>'Example calcs 2000'!Y57*0.8</f>
        <v>0</v>
      </c>
      <c r="AE57" s="129">
        <f t="shared" si="14"/>
        <v>3.0981991092612743E-3</v>
      </c>
      <c r="AF57" s="131" t="str">
        <f t="shared" si="20"/>
        <v/>
      </c>
      <c r="AG57" s="131">
        <f t="shared" si="1"/>
        <v>0</v>
      </c>
      <c r="AH57" s="109" t="s">
        <v>64</v>
      </c>
      <c r="AI57" s="52">
        <f t="shared" si="15"/>
        <v>1</v>
      </c>
      <c r="AJ57" s="109"/>
      <c r="AK57" s="109">
        <f>Model!$AO$165</f>
        <v>1.613</v>
      </c>
      <c r="AL57" s="120">
        <f t="shared" si="16"/>
        <v>0</v>
      </c>
      <c r="AM57" s="109">
        <f t="shared" si="17"/>
        <v>0</v>
      </c>
      <c r="AX57" s="155"/>
    </row>
    <row r="58" spans="3:50" s="101" customFormat="1" x14ac:dyDescent="0.25">
      <c r="C58" s="150">
        <f>Model!$AP$13</f>
        <v>3321768</v>
      </c>
      <c r="D58" s="54">
        <f>Model!$AP$16</f>
        <v>0.38461538461538458</v>
      </c>
      <c r="E58" s="151">
        <f t="shared" si="3"/>
        <v>1277603.0769230768</v>
      </c>
      <c r="F58" s="54">
        <f>Model!$AP$29</f>
        <v>1</v>
      </c>
      <c r="G58" s="151">
        <f t="shared" si="4"/>
        <v>1277603.0769230768</v>
      </c>
      <c r="H58" s="108">
        <f>INDEX(Model!$AP$34:$AP$37,MATCH($J58,Model!$AN$34:$AN$37,0))</f>
        <v>0.10100000000000001</v>
      </c>
      <c r="I58" s="129">
        <f t="shared" si="5"/>
        <v>129037.91076923076</v>
      </c>
      <c r="J58" s="109" t="s">
        <v>26</v>
      </c>
      <c r="K58" s="119">
        <f>INDEX(Model!$AP$38:$AP$41,MATCH($J58,Model!$AN$34:$AN$37,0))</f>
        <v>111.23110151187905</v>
      </c>
      <c r="L58" s="133">
        <f>K58*I58</f>
        <v>14353028.951653097</v>
      </c>
      <c r="M58" s="131">
        <f>'Example calcs 2000'!N58*0.95</f>
        <v>0</v>
      </c>
      <c r="N58" s="129">
        <f t="shared" si="6"/>
        <v>2567599.8843356762</v>
      </c>
      <c r="O58" s="131">
        <f t="shared" si="7"/>
        <v>4.0757259630805254E-9</v>
      </c>
      <c r="P58" s="131">
        <f t="shared" si="8"/>
        <v>1.0464833511389469E-2</v>
      </c>
      <c r="Q58" s="119" t="s">
        <v>33</v>
      </c>
      <c r="R58" s="52">
        <f t="shared" si="9"/>
        <v>0</v>
      </c>
      <c r="S58" s="119">
        <f>INDEX(Model!$AP$55:$AP$119,MATCH($Q58,Model!$AN$55:$AN$119,0)+MATCH(Model!$AL$117,Model!$AL$55:$AL$119,0)-1)</f>
        <v>0.309</v>
      </c>
      <c r="T58" s="133">
        <f t="shared" si="10"/>
        <v>3.2336335550193457E-3</v>
      </c>
      <c r="U58" s="131">
        <f>'Example calcs 2000'!S58*0.8</f>
        <v>0</v>
      </c>
      <c r="V58" s="129">
        <f t="shared" si="11"/>
        <v>3.2336335550193457E-3</v>
      </c>
      <c r="W58" s="131">
        <f t="shared" si="12"/>
        <v>0.95811694694105154</v>
      </c>
      <c r="X58" s="131">
        <f t="shared" si="0"/>
        <v>3.0981991092612743E-3</v>
      </c>
      <c r="Y58" s="109" t="s">
        <v>35</v>
      </c>
      <c r="Z58" s="52">
        <f t="shared" si="13"/>
        <v>0</v>
      </c>
      <c r="AA58" s="109">
        <f>Model!$AO$148</f>
        <v>1</v>
      </c>
      <c r="AB58" s="109"/>
      <c r="AC58" s="133">
        <f>X58*AA58</f>
        <v>3.0981991092612743E-3</v>
      </c>
      <c r="AD58" s="131">
        <f>'Example calcs 2000'!Y58*0.8</f>
        <v>0</v>
      </c>
      <c r="AE58" s="129">
        <f t="shared" si="14"/>
        <v>3.0981991092612743E-3</v>
      </c>
      <c r="AF58" s="131">
        <f t="shared" si="20"/>
        <v>0.95777996621220318</v>
      </c>
      <c r="AG58" s="131">
        <f t="shared" si="1"/>
        <v>2.9673930381869415E-3</v>
      </c>
      <c r="AH58" s="109" t="s">
        <v>65</v>
      </c>
      <c r="AI58" s="52">
        <f t="shared" si="15"/>
        <v>1</v>
      </c>
      <c r="AJ58" s="109"/>
      <c r="AK58" s="109">
        <f>Model!$AO$205</f>
        <v>1.111</v>
      </c>
      <c r="AL58" s="120">
        <f t="shared" si="16"/>
        <v>0</v>
      </c>
      <c r="AM58" s="109">
        <f t="shared" si="17"/>
        <v>3.2967736654256918E-3</v>
      </c>
    </row>
    <row r="59" spans="3:50" s="101" customFormat="1" x14ac:dyDescent="0.25">
      <c r="C59" s="150">
        <f>Model!$AP$13</f>
        <v>3321768</v>
      </c>
      <c r="D59" s="54">
        <f>Model!$AP$16</f>
        <v>0.38461538461538458</v>
      </c>
      <c r="E59" s="151">
        <f t="shared" si="3"/>
        <v>1277603.0769230768</v>
      </c>
      <c r="F59" s="54">
        <f>Model!$AP$29</f>
        <v>1</v>
      </c>
      <c r="G59" s="151">
        <f t="shared" si="4"/>
        <v>1277603.0769230768</v>
      </c>
      <c r="H59" s="108">
        <f>INDEX(Model!$AP$34:$AP$37,MATCH($J59,Model!$AN$34:$AN$37,0))</f>
        <v>0.10100000000000001</v>
      </c>
      <c r="I59" s="129">
        <f t="shared" si="5"/>
        <v>129037.91076923076</v>
      </c>
      <c r="J59" s="109" t="s">
        <v>26</v>
      </c>
      <c r="K59" s="119">
        <f>INDEX(Model!$AP$38:$AP$41,MATCH($J59,Model!$AN$34:$AN$37,0))</f>
        <v>111.23110151187905</v>
      </c>
      <c r="L59" s="133">
        <f>K59*I59</f>
        <v>14353028.951653097</v>
      </c>
      <c r="M59" s="131">
        <f>'Example calcs 2000'!N59*0.95</f>
        <v>9817262.4130754117</v>
      </c>
      <c r="N59" s="129">
        <f t="shared" si="6"/>
        <v>2567599.8843356762</v>
      </c>
      <c r="O59" s="131" t="str">
        <f t="shared" si="7"/>
        <v/>
      </c>
      <c r="P59" s="131">
        <f t="shared" si="8"/>
        <v>9817262.4130754117</v>
      </c>
      <c r="Q59" s="119" t="s">
        <v>29</v>
      </c>
      <c r="R59" s="52">
        <f t="shared" si="9"/>
        <v>1</v>
      </c>
      <c r="S59" s="119">
        <f>INDEX(Model!$AP$55:$AP$119,MATCH($Q59,Model!$AN$55:$AN$119,0)+MATCH(Model!$AL$117,Model!$AL$55:$AL$119,0)-1)</f>
        <v>0.63300000000000001</v>
      </c>
      <c r="T59" s="133">
        <f t="shared" si="10"/>
        <v>6214327.1074767355</v>
      </c>
      <c r="U59" s="131">
        <f>'Example calcs 2000'!S59*0.8</f>
        <v>31398.705385145615</v>
      </c>
      <c r="V59" s="129">
        <f t="shared" si="11"/>
        <v>981209.54328579921</v>
      </c>
      <c r="W59" s="131">
        <f t="shared" si="12"/>
        <v>4.1883053058948572E-2</v>
      </c>
      <c r="X59" s="131">
        <f t="shared" si="0"/>
        <v>72494.756748531436</v>
      </c>
      <c r="Y59" s="109" t="s">
        <v>34</v>
      </c>
      <c r="Z59" s="52">
        <f t="shared" si="13"/>
        <v>1</v>
      </c>
      <c r="AA59" s="109"/>
      <c r="AB59" s="109">
        <f>Model!$AO$138</f>
        <v>1</v>
      </c>
      <c r="AC59" s="133"/>
      <c r="AD59" s="131">
        <f>'Example calcs 2000'!Y59*0.8</f>
        <v>0</v>
      </c>
      <c r="AE59" s="129">
        <f t="shared" si="14"/>
        <v>0</v>
      </c>
      <c r="AF59" s="131" t="str">
        <f t="shared" si="20"/>
        <v/>
      </c>
      <c r="AG59" s="131">
        <f t="shared" si="1"/>
        <v>0</v>
      </c>
      <c r="AH59" s="109"/>
      <c r="AI59" s="52">
        <f t="shared" si="15"/>
        <v>1</v>
      </c>
      <c r="AJ59" s="109"/>
      <c r="AK59" s="109"/>
      <c r="AL59" s="120">
        <f t="shared" si="16"/>
        <v>72494.756748531436</v>
      </c>
      <c r="AM59" s="109">
        <f t="shared" si="17"/>
        <v>0</v>
      </c>
    </row>
    <row r="60" spans="3:50" s="101" customFormat="1" x14ac:dyDescent="0.25">
      <c r="C60" s="150">
        <f>Model!$AP$13</f>
        <v>3321768</v>
      </c>
      <c r="D60" s="54">
        <f>Model!$AP$16</f>
        <v>0.38461538461538458</v>
      </c>
      <c r="E60" s="151">
        <f t="shared" si="3"/>
        <v>1277603.0769230768</v>
      </c>
      <c r="F60" s="54">
        <f>Model!$AP$29</f>
        <v>1</v>
      </c>
      <c r="G60" s="151">
        <f t="shared" si="4"/>
        <v>1277603.0769230768</v>
      </c>
      <c r="H60" s="108">
        <f>INDEX(Model!$AP$34:$AP$37,MATCH($J60,Model!$AN$34:$AN$37,0))</f>
        <v>0.10100000000000001</v>
      </c>
      <c r="I60" s="129">
        <f t="shared" si="5"/>
        <v>129037.91076923076</v>
      </c>
      <c r="J60" s="109" t="s">
        <v>26</v>
      </c>
      <c r="K60" s="119">
        <f>INDEX(Model!$AP$38:$AP$41,MATCH($J60,Model!$AN$34:$AN$37,0))</f>
        <v>111.23110151187905</v>
      </c>
      <c r="L60" s="133">
        <f>K60*I60</f>
        <v>14353028.951653097</v>
      </c>
      <c r="M60" s="131">
        <f>'Example calcs 2000'!N60*0.95</f>
        <v>9817262.4130754117</v>
      </c>
      <c r="N60" s="129">
        <f t="shared" si="6"/>
        <v>2567599.8843356762</v>
      </c>
      <c r="O60" s="131" t="str">
        <f t="shared" si="7"/>
        <v/>
      </c>
      <c r="P60" s="131">
        <f t="shared" si="8"/>
        <v>9817262.4130754117</v>
      </c>
      <c r="Q60" s="119" t="s">
        <v>29</v>
      </c>
      <c r="R60" s="52">
        <f t="shared" si="9"/>
        <v>0</v>
      </c>
      <c r="S60" s="119">
        <f>INDEX(Model!$AP$55:$AP$119,MATCH($Q60,Model!$AN$55:$AN$119,0)+MATCH(Model!$AL$117,Model!$AL$55:$AL$119,0)-1)</f>
        <v>0.63300000000000001</v>
      </c>
      <c r="T60" s="133">
        <f t="shared" si="10"/>
        <v>6214327.1074767355</v>
      </c>
      <c r="U60" s="131">
        <f>'Example calcs 2000'!S60*0.8</f>
        <v>5201718.8588057905</v>
      </c>
      <c r="V60" s="129">
        <f t="shared" si="11"/>
        <v>981209.54328579921</v>
      </c>
      <c r="W60" s="131">
        <f t="shared" si="12"/>
        <v>0.95811694694105154</v>
      </c>
      <c r="X60" s="131">
        <f t="shared" si="0"/>
        <v>6141832.3507282045</v>
      </c>
      <c r="Y60" s="109" t="s">
        <v>35</v>
      </c>
      <c r="Z60" s="52">
        <f t="shared" si="13"/>
        <v>1</v>
      </c>
      <c r="AA60" s="109">
        <f>Model!$AO$148</f>
        <v>1</v>
      </c>
      <c r="AB60" s="109"/>
      <c r="AC60" s="133">
        <f>X60*AA60</f>
        <v>6141832.3507282045</v>
      </c>
      <c r="AD60" s="131">
        <f>'Example calcs 2000'!Y60*0.8</f>
        <v>52017.188588057907</v>
      </c>
      <c r="AE60" s="129">
        <f t="shared" si="14"/>
        <v>940113.49192241579</v>
      </c>
      <c r="AF60" s="131">
        <f t="shared" si="20"/>
        <v>4.2219505916481506E-2</v>
      </c>
      <c r="AG60" s="131">
        <f t="shared" si="1"/>
        <v>91708.315722440428</v>
      </c>
      <c r="AH60" s="109" t="s">
        <v>66</v>
      </c>
      <c r="AI60" s="52">
        <f t="shared" si="15"/>
        <v>1</v>
      </c>
      <c r="AJ60" s="109">
        <f>Model!$AO$179</f>
        <v>0.52600000000000002</v>
      </c>
      <c r="AK60" s="109"/>
      <c r="AL60" s="120">
        <f t="shared" si="16"/>
        <v>48238.574070003669</v>
      </c>
      <c r="AM60" s="109">
        <f t="shared" si="17"/>
        <v>0</v>
      </c>
    </row>
    <row r="61" spans="3:50" s="101" customFormat="1" x14ac:dyDescent="0.25">
      <c r="C61" s="150">
        <f>Model!$AP$13</f>
        <v>3321768</v>
      </c>
      <c r="D61" s="54">
        <f>Model!$AP$16</f>
        <v>0.38461538461538458</v>
      </c>
      <c r="E61" s="151">
        <f t="shared" si="3"/>
        <v>1277603.0769230768</v>
      </c>
      <c r="F61" s="54">
        <f>Model!$AP$29</f>
        <v>1</v>
      </c>
      <c r="G61" s="151">
        <f t="shared" si="4"/>
        <v>1277603.0769230768</v>
      </c>
      <c r="H61" s="108">
        <f>INDEX(Model!$AP$34:$AP$37,MATCH($J61,Model!$AN$34:$AN$37,0))</f>
        <v>0.10100000000000001</v>
      </c>
      <c r="I61" s="129">
        <f t="shared" si="5"/>
        <v>129037.91076923076</v>
      </c>
      <c r="J61" s="109" t="s">
        <v>26</v>
      </c>
      <c r="K61" s="119">
        <f>INDEX(Model!$AP$38:$AP$41,MATCH($J61,Model!$AN$34:$AN$37,0))</f>
        <v>111.23110151187905</v>
      </c>
      <c r="L61" s="133">
        <f>K61*I61</f>
        <v>14353028.951653097</v>
      </c>
      <c r="M61" s="131">
        <f>'Example calcs 2000'!N61*0.95</f>
        <v>9817262.4130754117</v>
      </c>
      <c r="N61" s="129">
        <f t="shared" si="6"/>
        <v>2567599.8843356762</v>
      </c>
      <c r="O61" s="131" t="str">
        <f t="shared" si="7"/>
        <v/>
      </c>
      <c r="P61" s="131">
        <f t="shared" si="8"/>
        <v>9817262.4130754117</v>
      </c>
      <c r="Q61" s="119" t="s">
        <v>29</v>
      </c>
      <c r="R61" s="52">
        <f t="shared" si="9"/>
        <v>0</v>
      </c>
      <c r="S61" s="119">
        <f>INDEX(Model!$AP$55:$AP$119,MATCH($Q61,Model!$AN$55:$AN$119,0)+MATCH(Model!$AL$117,Model!$AL$55:$AL$119,0)-1)</f>
        <v>0.63300000000000001</v>
      </c>
      <c r="T61" s="133">
        <f t="shared" si="10"/>
        <v>6214327.1074767355</v>
      </c>
      <c r="U61" s="131">
        <f>'Example calcs 2000'!S61*0.8</f>
        <v>5201718.8588057905</v>
      </c>
      <c r="V61" s="129">
        <f t="shared" si="11"/>
        <v>981209.54328579921</v>
      </c>
      <c r="W61" s="131">
        <f t="shared" si="12"/>
        <v>0.95811694694105154</v>
      </c>
      <c r="X61" s="131">
        <f t="shared" si="0"/>
        <v>6141832.3507282045</v>
      </c>
      <c r="Y61" s="109" t="s">
        <v>35</v>
      </c>
      <c r="Z61" s="52">
        <f t="shared" si="13"/>
        <v>0</v>
      </c>
      <c r="AA61" s="109">
        <f>Model!$AO$148</f>
        <v>1</v>
      </c>
      <c r="AB61" s="109"/>
      <c r="AC61" s="133">
        <f>X61*AA61</f>
        <v>6141832.3507282045</v>
      </c>
      <c r="AD61" s="131">
        <f>'Example calcs 2000'!Y61*0.8</f>
        <v>0</v>
      </c>
      <c r="AE61" s="129">
        <f t="shared" si="14"/>
        <v>940113.49192241579</v>
      </c>
      <c r="AF61" s="131">
        <f t="shared" si="20"/>
        <v>5.2787131529516608E-7</v>
      </c>
      <c r="AG61" s="131">
        <f t="shared" si="1"/>
        <v>0.49625894550781713</v>
      </c>
      <c r="AH61" s="109" t="s">
        <v>139</v>
      </c>
      <c r="AI61" s="52">
        <f t="shared" si="15"/>
        <v>1</v>
      </c>
      <c r="AJ61" s="109">
        <f>Model!$AO$192</f>
        <v>0.4</v>
      </c>
      <c r="AK61" s="109"/>
      <c r="AL61" s="120">
        <f t="shared" si="16"/>
        <v>0.19850357820312686</v>
      </c>
      <c r="AM61" s="109">
        <f t="shared" si="17"/>
        <v>0</v>
      </c>
    </row>
    <row r="62" spans="3:50" s="101" customFormat="1" x14ac:dyDescent="0.25">
      <c r="C62" s="150">
        <f>Model!$AP$13</f>
        <v>3321768</v>
      </c>
      <c r="D62" s="54">
        <f>Model!$AP$16</f>
        <v>0.38461538461538458</v>
      </c>
      <c r="E62" s="151">
        <f t="shared" si="3"/>
        <v>1277603.0769230768</v>
      </c>
      <c r="F62" s="54">
        <f>Model!$AP$29</f>
        <v>1</v>
      </c>
      <c r="G62" s="151">
        <f t="shared" si="4"/>
        <v>1277603.0769230768</v>
      </c>
      <c r="H62" s="108">
        <f>INDEX(Model!$AP$34:$AP$37,MATCH($J62,Model!$AN$34:$AN$37,0))</f>
        <v>0.10100000000000001</v>
      </c>
      <c r="I62" s="129">
        <f t="shared" si="5"/>
        <v>129037.91076923076</v>
      </c>
      <c r="J62" s="109" t="s">
        <v>26</v>
      </c>
      <c r="K62" s="119">
        <f>INDEX(Model!$AP$38:$AP$41,MATCH($J62,Model!$AN$34:$AN$37,0))</f>
        <v>111.23110151187905</v>
      </c>
      <c r="L62" s="133">
        <f>K62*I62</f>
        <v>14353028.951653097</v>
      </c>
      <c r="M62" s="131">
        <f>'Example calcs 2000'!N62*0.95</f>
        <v>9817262.4130754117</v>
      </c>
      <c r="N62" s="129">
        <f t="shared" si="6"/>
        <v>2567599.8843356762</v>
      </c>
      <c r="O62" s="131" t="str">
        <f t="shared" si="7"/>
        <v/>
      </c>
      <c r="P62" s="131">
        <f t="shared" si="8"/>
        <v>9817262.4130754117</v>
      </c>
      <c r="Q62" s="119" t="s">
        <v>29</v>
      </c>
      <c r="R62" s="52">
        <f t="shared" si="9"/>
        <v>0</v>
      </c>
      <c r="S62" s="119">
        <f>INDEX(Model!$AP$55:$AP$119,MATCH($Q62,Model!$AN$55:$AN$119,0)+MATCH(Model!$AL$117,Model!$AL$55:$AL$119,0)-1)</f>
        <v>0.63300000000000001</v>
      </c>
      <c r="T62" s="133">
        <f t="shared" si="10"/>
        <v>6214327.1074767355</v>
      </c>
      <c r="U62" s="131">
        <f>'Example calcs 2000'!S62*0.8</f>
        <v>5201718.8588057905</v>
      </c>
      <c r="V62" s="129">
        <f t="shared" si="11"/>
        <v>981209.54328579921</v>
      </c>
      <c r="W62" s="131">
        <f t="shared" si="12"/>
        <v>0.95811694694105154</v>
      </c>
      <c r="X62" s="131">
        <f t="shared" si="0"/>
        <v>6141832.3507282045</v>
      </c>
      <c r="Y62" s="109" t="s">
        <v>35</v>
      </c>
      <c r="Z62" s="52">
        <f t="shared" si="13"/>
        <v>0</v>
      </c>
      <c r="AA62" s="109">
        <f>Model!$AO$148</f>
        <v>1</v>
      </c>
      <c r="AB62" s="109"/>
      <c r="AC62" s="133">
        <f>X62*AA62</f>
        <v>6141832.3507282045</v>
      </c>
      <c r="AD62" s="131">
        <f>'Example calcs 2000'!Y62*0.8</f>
        <v>4889615.7272774419</v>
      </c>
      <c r="AE62" s="129">
        <f t="shared" si="14"/>
        <v>940113.49192241579</v>
      </c>
      <c r="AF62" s="131" t="str">
        <f t="shared" si="20"/>
        <v/>
      </c>
      <c r="AG62" s="131">
        <f t="shared" si="1"/>
        <v>4889615.7272774419</v>
      </c>
      <c r="AH62" s="109" t="s">
        <v>64</v>
      </c>
      <c r="AI62" s="52">
        <f t="shared" si="15"/>
        <v>1</v>
      </c>
      <c r="AJ62" s="109"/>
      <c r="AK62" s="109">
        <f>Model!$AO$165</f>
        <v>1.613</v>
      </c>
      <c r="AL62" s="120">
        <f t="shared" si="16"/>
        <v>0</v>
      </c>
      <c r="AM62" s="109">
        <f t="shared" si="17"/>
        <v>7886950.168098514</v>
      </c>
    </row>
    <row r="63" spans="3:50" s="101" customFormat="1" x14ac:dyDescent="0.25">
      <c r="C63" s="150">
        <f>Model!$AP$13</f>
        <v>3321768</v>
      </c>
      <c r="D63" s="54">
        <f>Model!$AP$16</f>
        <v>0.38461538461538458</v>
      </c>
      <c r="E63" s="151">
        <f t="shared" si="3"/>
        <v>1277603.0769230768</v>
      </c>
      <c r="F63" s="54">
        <f>Model!$AP$29</f>
        <v>1</v>
      </c>
      <c r="G63" s="151">
        <f t="shared" si="4"/>
        <v>1277603.0769230768</v>
      </c>
      <c r="H63" s="108">
        <f>INDEX(Model!$AP$34:$AP$37,MATCH($J63,Model!$AN$34:$AN$37,0))</f>
        <v>0.10100000000000001</v>
      </c>
      <c r="I63" s="129">
        <f t="shared" si="5"/>
        <v>129037.91076923076</v>
      </c>
      <c r="J63" s="109" t="s">
        <v>26</v>
      </c>
      <c r="K63" s="119">
        <f>INDEX(Model!$AP$38:$AP$41,MATCH($J63,Model!$AN$34:$AN$37,0))</f>
        <v>111.23110151187905</v>
      </c>
      <c r="L63" s="133">
        <f>K63*I63</f>
        <v>14353028.951653097</v>
      </c>
      <c r="M63" s="131">
        <f>'Example calcs 2000'!N63*0.95</f>
        <v>9817262.4130754117</v>
      </c>
      <c r="N63" s="129">
        <f t="shared" si="6"/>
        <v>2567599.8843356762</v>
      </c>
      <c r="O63" s="131" t="str">
        <f t="shared" si="7"/>
        <v/>
      </c>
      <c r="P63" s="131">
        <f t="shared" si="8"/>
        <v>9817262.4130754117</v>
      </c>
      <c r="Q63" s="119" t="s">
        <v>29</v>
      </c>
      <c r="R63" s="52">
        <f t="shared" si="9"/>
        <v>0</v>
      </c>
      <c r="S63" s="119">
        <f>INDEX(Model!$AP$55:$AP$119,MATCH($Q63,Model!$AN$55:$AN$119,0)+MATCH(Model!$AL$117,Model!$AL$55:$AL$119,0)-1)</f>
        <v>0.63300000000000001</v>
      </c>
      <c r="T63" s="133">
        <f t="shared" si="10"/>
        <v>6214327.1074767355</v>
      </c>
      <c r="U63" s="131">
        <f>'Example calcs 2000'!S63*0.8</f>
        <v>5201718.8588057905</v>
      </c>
      <c r="V63" s="129">
        <f t="shared" si="11"/>
        <v>981209.54328579921</v>
      </c>
      <c r="W63" s="131">
        <f t="shared" si="12"/>
        <v>0.95811694694105154</v>
      </c>
      <c r="X63" s="131">
        <f t="shared" si="0"/>
        <v>6141832.3507282045</v>
      </c>
      <c r="Y63" s="109" t="s">
        <v>35</v>
      </c>
      <c r="Z63" s="52">
        <f t="shared" si="13"/>
        <v>0</v>
      </c>
      <c r="AA63" s="109">
        <f>Model!$AO$148</f>
        <v>1</v>
      </c>
      <c r="AB63" s="109"/>
      <c r="AC63" s="133">
        <f>X63*AA63</f>
        <v>6141832.3507282045</v>
      </c>
      <c r="AD63" s="131">
        <f>'Example calcs 2000'!Y63*0.8</f>
        <v>260085.94294028953</v>
      </c>
      <c r="AE63" s="129">
        <f t="shared" si="14"/>
        <v>940113.49192241579</v>
      </c>
      <c r="AF63" s="131">
        <f t="shared" si="20"/>
        <v>0.95777996621220318</v>
      </c>
      <c r="AG63" s="131">
        <f t="shared" si="1"/>
        <v>1160507.8114693773</v>
      </c>
      <c r="AH63" s="109" t="s">
        <v>65</v>
      </c>
      <c r="AI63" s="52">
        <f t="shared" si="15"/>
        <v>1</v>
      </c>
      <c r="AJ63" s="109"/>
      <c r="AK63" s="109">
        <f>Model!$AO$205</f>
        <v>1.111</v>
      </c>
      <c r="AL63" s="120">
        <f t="shared" si="16"/>
        <v>0</v>
      </c>
      <c r="AM63" s="109">
        <f t="shared" si="17"/>
        <v>1289324.178542478</v>
      </c>
    </row>
    <row r="64" spans="3:50" s="101" customFormat="1" x14ac:dyDescent="0.25">
      <c r="C64" s="150">
        <f>Model!$AP$13</f>
        <v>3321768</v>
      </c>
      <c r="D64" s="54">
        <f>Model!$AP$16</f>
        <v>0.38461538461538458</v>
      </c>
      <c r="E64" s="151">
        <f t="shared" si="3"/>
        <v>1277603.0769230768</v>
      </c>
      <c r="F64" s="54">
        <f>Model!$AP$29</f>
        <v>1</v>
      </c>
      <c r="G64" s="151">
        <f t="shared" si="4"/>
        <v>1277603.0769230768</v>
      </c>
      <c r="H64" s="108">
        <f>INDEX(Model!$AP$34:$AP$37,MATCH($J64,Model!$AN$34:$AN$37,0))</f>
        <v>0.10100000000000001</v>
      </c>
      <c r="I64" s="129">
        <f t="shared" si="5"/>
        <v>129037.91076923076</v>
      </c>
      <c r="J64" s="109" t="s">
        <v>26</v>
      </c>
      <c r="K64" s="119">
        <f>INDEX(Model!$AP$38:$AP$41,MATCH($J64,Model!$AN$34:$AN$37,0))</f>
        <v>111.23110151187905</v>
      </c>
      <c r="L64" s="133">
        <f>K64*I64</f>
        <v>14353028.951653097</v>
      </c>
      <c r="M64" s="131">
        <f>'Example calcs 2000'!N64*0.95</f>
        <v>1968166.6542420094</v>
      </c>
      <c r="N64" s="129">
        <f t="shared" si="6"/>
        <v>2567599.8843356762</v>
      </c>
      <c r="O64" s="131" t="str">
        <f t="shared" si="7"/>
        <v/>
      </c>
      <c r="P64" s="131">
        <f t="shared" si="8"/>
        <v>1968166.6542420094</v>
      </c>
      <c r="Q64" s="119" t="s">
        <v>30</v>
      </c>
      <c r="R64" s="52">
        <f t="shared" si="9"/>
        <v>1</v>
      </c>
      <c r="S64" s="119">
        <f>INDEX(Model!$AP$55:$AP$119,MATCH($Q64,Model!$AN$55:$AN$119,0)+MATCH(Model!$AL$117,Model!$AL$55:$AL$119,0)-1)</f>
        <v>0.997</v>
      </c>
      <c r="T64" s="133">
        <f t="shared" si="10"/>
        <v>1962262.1542792832</v>
      </c>
      <c r="U64" s="131">
        <f>'Example calcs 2000'!S64*0.8</f>
        <v>9914.5877268848017</v>
      </c>
      <c r="V64" s="129">
        <f t="shared" si="11"/>
        <v>309830.86646514991</v>
      </c>
      <c r="W64" s="131">
        <f t="shared" si="12"/>
        <v>4.1883053058948572E-2</v>
      </c>
      <c r="X64" s="131">
        <f t="shared" si="0"/>
        <v>22891.250346344685</v>
      </c>
      <c r="Y64" s="109" t="s">
        <v>34</v>
      </c>
      <c r="Z64" s="52">
        <f t="shared" si="13"/>
        <v>1</v>
      </c>
      <c r="AA64" s="109"/>
      <c r="AB64" s="109">
        <f>Model!$AO$138</f>
        <v>1</v>
      </c>
      <c r="AC64" s="133"/>
      <c r="AD64" s="131">
        <f>'Example calcs 2000'!Y64*0.8</f>
        <v>0</v>
      </c>
      <c r="AE64" s="129">
        <f t="shared" si="14"/>
        <v>0</v>
      </c>
      <c r="AF64" s="131" t="str">
        <f t="shared" si="20"/>
        <v/>
      </c>
      <c r="AG64" s="131">
        <f t="shared" si="1"/>
        <v>0</v>
      </c>
      <c r="AH64" s="109"/>
      <c r="AI64" s="52">
        <f t="shared" si="15"/>
        <v>1</v>
      </c>
      <c r="AJ64" s="109"/>
      <c r="AK64" s="109"/>
      <c r="AL64" s="120">
        <f t="shared" si="16"/>
        <v>22891.250346344685</v>
      </c>
      <c r="AM64" s="109">
        <f t="shared" si="17"/>
        <v>0</v>
      </c>
    </row>
    <row r="65" spans="3:39" s="101" customFormat="1" x14ac:dyDescent="0.25">
      <c r="C65" s="150">
        <f>Model!$AP$13</f>
        <v>3321768</v>
      </c>
      <c r="D65" s="54">
        <f>Model!$AP$16</f>
        <v>0.38461538461538458</v>
      </c>
      <c r="E65" s="151">
        <f t="shared" si="3"/>
        <v>1277603.0769230768</v>
      </c>
      <c r="F65" s="54">
        <f>Model!$AP$29</f>
        <v>1</v>
      </c>
      <c r="G65" s="151">
        <f t="shared" si="4"/>
        <v>1277603.0769230768</v>
      </c>
      <c r="H65" s="108">
        <f>INDEX(Model!$AP$34:$AP$37,MATCH($J65,Model!$AN$34:$AN$37,0))</f>
        <v>0.10100000000000001</v>
      </c>
      <c r="I65" s="129">
        <f t="shared" si="5"/>
        <v>129037.91076923076</v>
      </c>
      <c r="J65" s="109" t="s">
        <v>26</v>
      </c>
      <c r="K65" s="119">
        <f>INDEX(Model!$AP$38:$AP$41,MATCH($J65,Model!$AN$34:$AN$37,0))</f>
        <v>111.23110151187905</v>
      </c>
      <c r="L65" s="133">
        <f>K65*I65</f>
        <v>14353028.951653097</v>
      </c>
      <c r="M65" s="131">
        <f>'Example calcs 2000'!N65*0.95</f>
        <v>1968166.6542420094</v>
      </c>
      <c r="N65" s="129">
        <f t="shared" si="6"/>
        <v>2567599.8843356762</v>
      </c>
      <c r="O65" s="131" t="str">
        <f t="shared" si="7"/>
        <v/>
      </c>
      <c r="P65" s="131">
        <f t="shared" si="8"/>
        <v>1968166.6542420094</v>
      </c>
      <c r="Q65" s="119" t="s">
        <v>30</v>
      </c>
      <c r="R65" s="52">
        <f t="shared" si="9"/>
        <v>0</v>
      </c>
      <c r="S65" s="119">
        <f>INDEX(Model!$AP$55:$AP$119,MATCH($Q65,Model!$AN$55:$AN$119,0)+MATCH(Model!$AL$117,Model!$AL$55:$AL$119,0)-1)</f>
        <v>0.997</v>
      </c>
      <c r="T65" s="133">
        <f t="shared" si="10"/>
        <v>1962262.1542792832</v>
      </c>
      <c r="U65" s="131">
        <f>'Example calcs 2000'!S65*0.8</f>
        <v>1642516.7000872486</v>
      </c>
      <c r="V65" s="129">
        <f t="shared" si="11"/>
        <v>309830.86646514991</v>
      </c>
      <c r="W65" s="131">
        <f t="shared" si="12"/>
        <v>0.95811694694105154</v>
      </c>
      <c r="X65" s="131">
        <f t="shared" si="0"/>
        <v>1939370.9039329386</v>
      </c>
      <c r="Y65" s="109" t="s">
        <v>35</v>
      </c>
      <c r="Z65" s="52">
        <f t="shared" si="13"/>
        <v>1</v>
      </c>
      <c r="AA65" s="109">
        <f>Model!$AO$148</f>
        <v>1</v>
      </c>
      <c r="AB65" s="109"/>
      <c r="AC65" s="133">
        <f>X65*AA65</f>
        <v>1939370.9039329386</v>
      </c>
      <c r="AD65" s="131">
        <f>'Example calcs 2000'!Y65*0.8</f>
        <v>16425.167000872487</v>
      </c>
      <c r="AE65" s="129">
        <f t="shared" si="14"/>
        <v>296854.20384568977</v>
      </c>
      <c r="AF65" s="131">
        <f t="shared" si="20"/>
        <v>4.2219505916481506E-2</v>
      </c>
      <c r="AG65" s="131">
        <f t="shared" si="1"/>
        <v>28958.204816467995</v>
      </c>
      <c r="AH65" s="109" t="s">
        <v>66</v>
      </c>
      <c r="AI65" s="52">
        <f t="shared" si="15"/>
        <v>1</v>
      </c>
      <c r="AJ65" s="109">
        <f>Model!$AO$179</f>
        <v>0.52600000000000002</v>
      </c>
      <c r="AK65" s="109"/>
      <c r="AL65" s="120">
        <f t="shared" si="16"/>
        <v>15232.015733462165</v>
      </c>
      <c r="AM65" s="109">
        <f t="shared" si="17"/>
        <v>0</v>
      </c>
    </row>
    <row r="66" spans="3:39" s="101" customFormat="1" x14ac:dyDescent="0.25">
      <c r="C66" s="150">
        <f>Model!$AP$13</f>
        <v>3321768</v>
      </c>
      <c r="D66" s="54">
        <f>Model!$AP$16</f>
        <v>0.38461538461538458</v>
      </c>
      <c r="E66" s="151">
        <f t="shared" si="3"/>
        <v>1277603.0769230768</v>
      </c>
      <c r="F66" s="54">
        <f>Model!$AP$29</f>
        <v>1</v>
      </c>
      <c r="G66" s="151">
        <f t="shared" si="4"/>
        <v>1277603.0769230768</v>
      </c>
      <c r="H66" s="108">
        <f>INDEX(Model!$AP$34:$AP$37,MATCH($J66,Model!$AN$34:$AN$37,0))</f>
        <v>0.10100000000000001</v>
      </c>
      <c r="I66" s="129">
        <f t="shared" si="5"/>
        <v>129037.91076923076</v>
      </c>
      <c r="J66" s="109" t="s">
        <v>26</v>
      </c>
      <c r="K66" s="119">
        <f>INDEX(Model!$AP$38:$AP$41,MATCH($J66,Model!$AN$34:$AN$37,0))</f>
        <v>111.23110151187905</v>
      </c>
      <c r="L66" s="133">
        <f>K66*I66</f>
        <v>14353028.951653097</v>
      </c>
      <c r="M66" s="131">
        <f>'Example calcs 2000'!N66*0.95</f>
        <v>1968166.6542420094</v>
      </c>
      <c r="N66" s="129">
        <f t="shared" si="6"/>
        <v>2567599.8843356762</v>
      </c>
      <c r="O66" s="131" t="str">
        <f t="shared" si="7"/>
        <v/>
      </c>
      <c r="P66" s="131">
        <f t="shared" si="8"/>
        <v>1968166.6542420094</v>
      </c>
      <c r="Q66" s="119" t="s">
        <v>30</v>
      </c>
      <c r="R66" s="52">
        <f t="shared" si="9"/>
        <v>0</v>
      </c>
      <c r="S66" s="119">
        <f>INDEX(Model!$AP$55:$AP$119,MATCH($Q66,Model!$AN$55:$AN$119,0)+MATCH(Model!$AL$117,Model!$AL$55:$AL$119,0)-1)</f>
        <v>0.997</v>
      </c>
      <c r="T66" s="133">
        <f t="shared" si="10"/>
        <v>1962262.1542792832</v>
      </c>
      <c r="U66" s="131">
        <f>'Example calcs 2000'!S66*0.8</f>
        <v>1642516.7000872486</v>
      </c>
      <c r="V66" s="129">
        <f t="shared" si="11"/>
        <v>309830.86646514991</v>
      </c>
      <c r="W66" s="131">
        <f t="shared" si="12"/>
        <v>0.95811694694105154</v>
      </c>
      <c r="X66" s="131">
        <f t="shared" si="0"/>
        <v>1939370.9039329386</v>
      </c>
      <c r="Y66" s="109" t="s">
        <v>35</v>
      </c>
      <c r="Z66" s="52">
        <f t="shared" si="13"/>
        <v>0</v>
      </c>
      <c r="AA66" s="109">
        <f>Model!$AO$148</f>
        <v>1</v>
      </c>
      <c r="AB66" s="109"/>
      <c r="AC66" s="133">
        <f>X66*AA66</f>
        <v>1939370.9039329386</v>
      </c>
      <c r="AD66" s="131">
        <f>'Example calcs 2000'!Y66*0.8</f>
        <v>0</v>
      </c>
      <c r="AE66" s="129">
        <f t="shared" si="14"/>
        <v>296854.20384568977</v>
      </c>
      <c r="AF66" s="131">
        <f t="shared" si="20"/>
        <v>5.2787131529516608E-7</v>
      </c>
      <c r="AG66" s="131">
        <f t="shared" si="1"/>
        <v>0.15670081903492361</v>
      </c>
      <c r="AH66" s="109" t="s">
        <v>139</v>
      </c>
      <c r="AI66" s="52">
        <f t="shared" si="15"/>
        <v>1</v>
      </c>
      <c r="AJ66" s="109">
        <f>Model!$AO$192</f>
        <v>0.4</v>
      </c>
      <c r="AK66" s="109"/>
      <c r="AL66" s="120">
        <f t="shared" si="16"/>
        <v>6.2680327613969453E-2</v>
      </c>
      <c r="AM66" s="109">
        <f t="shared" si="17"/>
        <v>0</v>
      </c>
    </row>
    <row r="67" spans="3:39" s="101" customFormat="1" x14ac:dyDescent="0.25">
      <c r="C67" s="150">
        <f>Model!$AP$13</f>
        <v>3321768</v>
      </c>
      <c r="D67" s="54">
        <f>Model!$AP$16</f>
        <v>0.38461538461538458</v>
      </c>
      <c r="E67" s="151">
        <f t="shared" si="3"/>
        <v>1277603.0769230768</v>
      </c>
      <c r="F67" s="54">
        <f>Model!$AP$29</f>
        <v>1</v>
      </c>
      <c r="G67" s="151">
        <f t="shared" si="4"/>
        <v>1277603.0769230768</v>
      </c>
      <c r="H67" s="108">
        <f>INDEX(Model!$AP$34:$AP$37,MATCH($J67,Model!$AN$34:$AN$37,0))</f>
        <v>0.10100000000000001</v>
      </c>
      <c r="I67" s="129">
        <f t="shared" si="5"/>
        <v>129037.91076923076</v>
      </c>
      <c r="J67" s="109" t="s">
        <v>26</v>
      </c>
      <c r="K67" s="119">
        <f>INDEX(Model!$AP$38:$AP$41,MATCH($J67,Model!$AN$34:$AN$37,0))</f>
        <v>111.23110151187905</v>
      </c>
      <c r="L67" s="133">
        <f>K67*I67</f>
        <v>14353028.951653097</v>
      </c>
      <c r="M67" s="131">
        <f>'Example calcs 2000'!N67*0.95</f>
        <v>1968166.6542420094</v>
      </c>
      <c r="N67" s="129">
        <f t="shared" si="6"/>
        <v>2567599.8843356762</v>
      </c>
      <c r="O67" s="131" t="str">
        <f t="shared" si="7"/>
        <v/>
      </c>
      <c r="P67" s="131">
        <f t="shared" si="8"/>
        <v>1968166.6542420094</v>
      </c>
      <c r="Q67" s="119" t="s">
        <v>30</v>
      </c>
      <c r="R67" s="52">
        <f t="shared" si="9"/>
        <v>0</v>
      </c>
      <c r="S67" s="119">
        <f>INDEX(Model!$AP$55:$AP$119,MATCH($Q67,Model!$AN$55:$AN$119,0)+MATCH(Model!$AL$117,Model!$AL$55:$AL$119,0)-1)</f>
        <v>0.997</v>
      </c>
      <c r="T67" s="133">
        <f t="shared" si="10"/>
        <v>1962262.1542792832</v>
      </c>
      <c r="U67" s="131">
        <f>'Example calcs 2000'!S67*0.8</f>
        <v>1642516.7000872486</v>
      </c>
      <c r="V67" s="129">
        <f t="shared" si="11"/>
        <v>309830.86646514991</v>
      </c>
      <c r="W67" s="131">
        <f t="shared" si="12"/>
        <v>0.95811694694105154</v>
      </c>
      <c r="X67" s="131">
        <f t="shared" si="0"/>
        <v>1939370.9039329386</v>
      </c>
      <c r="Y67" s="109" t="s">
        <v>35</v>
      </c>
      <c r="Z67" s="52">
        <f t="shared" si="13"/>
        <v>0</v>
      </c>
      <c r="AA67" s="109">
        <f>Model!$AO$148</f>
        <v>1</v>
      </c>
      <c r="AB67" s="109"/>
      <c r="AC67" s="133">
        <f>X67*AA67</f>
        <v>1939370.9039329386</v>
      </c>
      <c r="AD67" s="131">
        <f>'Example calcs 2000'!Y67*0.8</f>
        <v>1543965.6980820138</v>
      </c>
      <c r="AE67" s="129">
        <f t="shared" si="14"/>
        <v>296854.20384568977</v>
      </c>
      <c r="AF67" s="131" t="str">
        <f t="shared" si="20"/>
        <v/>
      </c>
      <c r="AG67" s="131">
        <f t="shared" si="1"/>
        <v>1543965.6980820138</v>
      </c>
      <c r="AH67" s="109" t="s">
        <v>64</v>
      </c>
      <c r="AI67" s="52">
        <f t="shared" si="15"/>
        <v>1</v>
      </c>
      <c r="AJ67" s="109"/>
      <c r="AK67" s="109">
        <f>Model!$AO$165</f>
        <v>1.613</v>
      </c>
      <c r="AL67" s="120">
        <f t="shared" si="16"/>
        <v>0</v>
      </c>
      <c r="AM67" s="109">
        <f t="shared" si="17"/>
        <v>2490416.6710062884</v>
      </c>
    </row>
    <row r="68" spans="3:39" s="101" customFormat="1" x14ac:dyDescent="0.25">
      <c r="C68" s="150">
        <f>Model!$AP$13</f>
        <v>3321768</v>
      </c>
      <c r="D68" s="54">
        <f>Model!$AP$16</f>
        <v>0.38461538461538458</v>
      </c>
      <c r="E68" s="151">
        <f t="shared" si="3"/>
        <v>1277603.0769230768</v>
      </c>
      <c r="F68" s="54">
        <f>Model!$AP$29</f>
        <v>1</v>
      </c>
      <c r="G68" s="151">
        <f t="shared" si="4"/>
        <v>1277603.0769230768</v>
      </c>
      <c r="H68" s="108">
        <f>INDEX(Model!$AP$34:$AP$37,MATCH($J68,Model!$AN$34:$AN$37,0))</f>
        <v>0.10100000000000001</v>
      </c>
      <c r="I68" s="129">
        <f t="shared" si="5"/>
        <v>129037.91076923076</v>
      </c>
      <c r="J68" s="109" t="s">
        <v>26</v>
      </c>
      <c r="K68" s="119">
        <f>INDEX(Model!$AP$38:$AP$41,MATCH($J68,Model!$AN$34:$AN$37,0))</f>
        <v>111.23110151187905</v>
      </c>
      <c r="L68" s="133">
        <f>K68*I68</f>
        <v>14353028.951653097</v>
      </c>
      <c r="M68" s="131">
        <f>'Example calcs 2000'!N68*0.95</f>
        <v>1968166.6542420094</v>
      </c>
      <c r="N68" s="129">
        <f t="shared" si="6"/>
        <v>2567599.8843356762</v>
      </c>
      <c r="O68" s="131" t="str">
        <f t="shared" si="7"/>
        <v/>
      </c>
      <c r="P68" s="131">
        <f t="shared" si="8"/>
        <v>1968166.6542420094</v>
      </c>
      <c r="Q68" s="119" t="s">
        <v>30</v>
      </c>
      <c r="R68" s="52">
        <f t="shared" si="9"/>
        <v>0</v>
      </c>
      <c r="S68" s="119">
        <f>INDEX(Model!$AP$55:$AP$119,MATCH($Q68,Model!$AN$55:$AN$119,0)+MATCH(Model!$AL$117,Model!$AL$55:$AL$119,0)-1)</f>
        <v>0.997</v>
      </c>
      <c r="T68" s="133">
        <f t="shared" si="10"/>
        <v>1962262.1542792832</v>
      </c>
      <c r="U68" s="131">
        <f>'Example calcs 2000'!S68*0.8</f>
        <v>1642516.7000872486</v>
      </c>
      <c r="V68" s="129">
        <f t="shared" si="11"/>
        <v>309830.86646514991</v>
      </c>
      <c r="W68" s="131">
        <f t="shared" si="12"/>
        <v>0.95811694694105154</v>
      </c>
      <c r="X68" s="131">
        <f t="shared" ref="X68:X103" si="30">IFERROR(V68*W68,0)+U68</f>
        <v>1939370.9039329386</v>
      </c>
      <c r="Y68" s="109" t="s">
        <v>35</v>
      </c>
      <c r="Z68" s="52">
        <f t="shared" si="13"/>
        <v>0</v>
      </c>
      <c r="AA68" s="109">
        <f>Model!$AO$148</f>
        <v>1</v>
      </c>
      <c r="AB68" s="109"/>
      <c r="AC68" s="133">
        <f>X68*AA68</f>
        <v>1939370.9039329386</v>
      </c>
      <c r="AD68" s="131">
        <f>'Example calcs 2000'!Y68*0.8</f>
        <v>82125.835004362438</v>
      </c>
      <c r="AE68" s="129">
        <f t="shared" si="14"/>
        <v>296854.20384568977</v>
      </c>
      <c r="AF68" s="131">
        <f t="shared" si="20"/>
        <v>0.95777996621220318</v>
      </c>
      <c r="AG68" s="131">
        <f t="shared" ref="AG68:AG103" si="31">IFERROR(AE68*AF68,0)+AD68</f>
        <v>366446.84433363768</v>
      </c>
      <c r="AH68" s="109" t="s">
        <v>65</v>
      </c>
      <c r="AI68" s="52">
        <f t="shared" si="15"/>
        <v>1</v>
      </c>
      <c r="AJ68" s="109"/>
      <c r="AK68" s="109">
        <f>Model!$AO$205</f>
        <v>1.111</v>
      </c>
      <c r="AL68" s="120">
        <f t="shared" si="16"/>
        <v>0</v>
      </c>
      <c r="AM68" s="109">
        <f t="shared" si="17"/>
        <v>407122.44405467145</v>
      </c>
    </row>
    <row r="69" spans="3:39" s="101" customFormat="1" x14ac:dyDescent="0.25">
      <c r="C69" s="150">
        <f>Model!$AP$13</f>
        <v>3321768</v>
      </c>
      <c r="D69" s="54">
        <f>Model!$AP$16</f>
        <v>0.38461538461538458</v>
      </c>
      <c r="E69" s="151">
        <f t="shared" ref="E69:E103" si="32">D69*C69</f>
        <v>1277603.0769230768</v>
      </c>
      <c r="F69" s="54">
        <f>Model!$AP$29</f>
        <v>1</v>
      </c>
      <c r="G69" s="151">
        <f t="shared" ref="G69:G103" si="33">F69*E69</f>
        <v>1277603.0769230768</v>
      </c>
      <c r="H69" s="108">
        <f>INDEX(Model!$AP$34:$AP$37,MATCH($J69,Model!$AN$34:$AN$37,0))</f>
        <v>0.10100000000000001</v>
      </c>
      <c r="I69" s="129">
        <f t="shared" ref="I69:I103" si="34">G69*H69</f>
        <v>129037.91076923076</v>
      </c>
      <c r="J69" s="109" t="s">
        <v>26</v>
      </c>
      <c r="K69" s="119">
        <f>INDEX(Model!$AP$38:$AP$41,MATCH($J69,Model!$AN$34:$AN$37,0))</f>
        <v>111.23110151187905</v>
      </c>
      <c r="L69" s="133">
        <f>K69*I69</f>
        <v>14353028.951653097</v>
      </c>
      <c r="M69" s="131">
        <f>'Example calcs 2000'!N69*0.95</f>
        <v>0</v>
      </c>
      <c r="N69" s="129">
        <f t="shared" ref="N69:N103" si="35">L69-SUMPRODUCT(M$4:M$103*($J$4:$J$103=$J69)*R$4:R$103)</f>
        <v>2567599.8843356762</v>
      </c>
      <c r="O69" s="131">
        <f t="shared" ref="O69:O103" si="36">IFERROR(INDEX($AQ$4:$AQ$6,MATCH(Q69,$AP$4:$AP$6,0))/SUM($AQ$4:$AQ$6),"")</f>
        <v>1.0208069021639147E-6</v>
      </c>
      <c r="P69" s="131">
        <f t="shared" ref="P69:P103" si="37">IFERROR(N69*O69,0)+M69</f>
        <v>2.6210236839251273</v>
      </c>
      <c r="Q69" s="119" t="s">
        <v>32</v>
      </c>
      <c r="R69" s="52">
        <f t="shared" ref="R69:R103" si="38">IF(Q69&lt;&gt;Q68,1,0)</f>
        <v>1</v>
      </c>
      <c r="S69" s="119">
        <f>INDEX(Model!$AP$55:$AP$119,MATCH($Q69,Model!$AN$55:$AN$119,0)+MATCH(Model!$AL$117,Model!$AL$55:$AL$119,0)-1)</f>
        <v>0.36</v>
      </c>
      <c r="T69" s="133">
        <f t="shared" ref="T69:T103" si="39">P69*S69</f>
        <v>0.94356852621304577</v>
      </c>
      <c r="U69" s="131">
        <f>'Example calcs 2000'!S69*0.8</f>
        <v>0</v>
      </c>
      <c r="V69" s="129">
        <f t="shared" ref="V69:V103" si="40">T69-SUMPRODUCT(U$4:U$103*($J$4:$J$103=$J69)*($Q$4:$Q$103=$Q69)*Z$4:Z$103)</f>
        <v>0.94356852621304577</v>
      </c>
      <c r="W69" s="131">
        <f t="shared" ref="W69:W103" si="41">IFERROR(INDEX($AQ$8:$AQ$9,MATCH(Y69,$AP$8:$AP$9,0))/SUM($AQ$8:$AQ$9),"")</f>
        <v>4.1883053058948572E-2</v>
      </c>
      <c r="X69" s="131">
        <f t="shared" si="30"/>
        <v>3.9519530648134904E-2</v>
      </c>
      <c r="Y69" s="109" t="s">
        <v>34</v>
      </c>
      <c r="Z69" s="52">
        <f t="shared" ref="Z69:Z103" si="42">IF(Y69&lt;&gt;Y68,1,0)</f>
        <v>1</v>
      </c>
      <c r="AA69" s="109"/>
      <c r="AB69" s="109">
        <f>Model!$AO$138</f>
        <v>1</v>
      </c>
      <c r="AC69" s="133"/>
      <c r="AD69" s="131">
        <f>'Example calcs 2000'!Y69*0.8</f>
        <v>0</v>
      </c>
      <c r="AE69" s="129">
        <f t="shared" ref="AE69:AE103" si="43">AC69-SUMPRODUCT(AD$4:AD$103*($J$4:$J$103=$J69)*($Q$4:$Q$103=$Q69)*($Y$4:$Y$103=$Y69)*AI$4:AI$103)</f>
        <v>0</v>
      </c>
      <c r="AF69" s="131" t="str">
        <f t="shared" ref="AF69:AF103" si="44">IFERROR(INDEX($AQ$11:$AQ$13,MATCH(AH69,$AP$11:$AP$13,0))/SUM($AQ$11:$AQ$13),"")</f>
        <v/>
      </c>
      <c r="AG69" s="131">
        <f t="shared" si="31"/>
        <v>0</v>
      </c>
      <c r="AH69" s="109"/>
      <c r="AI69" s="52">
        <f t="shared" ref="AI69:AI103" si="45">IF(AH69&lt;&gt;AH68,1,0)</f>
        <v>1</v>
      </c>
      <c r="AJ69" s="109"/>
      <c r="AK69" s="109"/>
      <c r="AL69" s="120">
        <f t="shared" ref="AL69:AL103" si="46">AB69*X69+AJ69*AG69</f>
        <v>3.9519530648134904E-2</v>
      </c>
      <c r="AM69" s="109">
        <f t="shared" ref="AM69:AM103" si="47">AK69*AG69</f>
        <v>0</v>
      </c>
    </row>
    <row r="70" spans="3:39" s="101" customFormat="1" x14ac:dyDescent="0.25">
      <c r="C70" s="150">
        <f>Model!$AP$13</f>
        <v>3321768</v>
      </c>
      <c r="D70" s="54">
        <f>Model!$AP$16</f>
        <v>0.38461538461538458</v>
      </c>
      <c r="E70" s="151">
        <f t="shared" si="32"/>
        <v>1277603.0769230768</v>
      </c>
      <c r="F70" s="54">
        <f>Model!$AP$29</f>
        <v>1</v>
      </c>
      <c r="G70" s="151">
        <f t="shared" si="33"/>
        <v>1277603.0769230768</v>
      </c>
      <c r="H70" s="108">
        <f>INDEX(Model!$AP$34:$AP$37,MATCH($J70,Model!$AN$34:$AN$37,0))</f>
        <v>0.10100000000000001</v>
      </c>
      <c r="I70" s="129">
        <f t="shared" si="34"/>
        <v>129037.91076923076</v>
      </c>
      <c r="J70" s="109" t="s">
        <v>26</v>
      </c>
      <c r="K70" s="119">
        <f>INDEX(Model!$AP$38:$AP$41,MATCH($J70,Model!$AN$34:$AN$37,0))</f>
        <v>111.23110151187905</v>
      </c>
      <c r="L70" s="133">
        <f>K70*I70</f>
        <v>14353028.951653097</v>
      </c>
      <c r="M70" s="131">
        <f>'Example calcs 2000'!N70*0.95</f>
        <v>0</v>
      </c>
      <c r="N70" s="129">
        <f t="shared" si="35"/>
        <v>2567599.8843356762</v>
      </c>
      <c r="O70" s="131">
        <f t="shared" si="36"/>
        <v>1.0208069021639147E-6</v>
      </c>
      <c r="P70" s="131">
        <f t="shared" si="37"/>
        <v>2.6210236839251273</v>
      </c>
      <c r="Q70" s="119" t="s">
        <v>32</v>
      </c>
      <c r="R70" s="52">
        <f t="shared" si="38"/>
        <v>0</v>
      </c>
      <c r="S70" s="119">
        <f>INDEX(Model!$AP$55:$AP$119,MATCH($Q70,Model!$AN$55:$AN$119,0)+MATCH(Model!$AL$117,Model!$AL$55:$AL$119,0)-1)</f>
        <v>0.36</v>
      </c>
      <c r="T70" s="133">
        <f t="shared" si="39"/>
        <v>0.94356852621304577</v>
      </c>
      <c r="U70" s="131">
        <f>'Example calcs 2000'!S70*0.8</f>
        <v>0</v>
      </c>
      <c r="V70" s="129">
        <f t="shared" si="40"/>
        <v>0.94356852621304577</v>
      </c>
      <c r="W70" s="131">
        <f t="shared" si="41"/>
        <v>0.95811694694105154</v>
      </c>
      <c r="X70" s="131">
        <f t="shared" si="30"/>
        <v>0.90404899556491092</v>
      </c>
      <c r="Y70" s="109" t="s">
        <v>35</v>
      </c>
      <c r="Z70" s="52">
        <f t="shared" si="42"/>
        <v>1</v>
      </c>
      <c r="AA70" s="109">
        <f>Model!$AO$148</f>
        <v>1</v>
      </c>
      <c r="AB70" s="109"/>
      <c r="AC70" s="133">
        <f>X70*AA70</f>
        <v>0.90404899556491092</v>
      </c>
      <c r="AD70" s="131">
        <f>'Example calcs 2000'!Y70*0.8</f>
        <v>0</v>
      </c>
      <c r="AE70" s="129">
        <f t="shared" si="43"/>
        <v>0.90404899556491092</v>
      </c>
      <c r="AF70" s="131">
        <f t="shared" si="44"/>
        <v>4.2219505916481506E-2</v>
      </c>
      <c r="AG70" s="131">
        <f t="shared" si="31"/>
        <v>3.8168501917041922E-2</v>
      </c>
      <c r="AH70" s="109" t="s">
        <v>66</v>
      </c>
      <c r="AI70" s="52">
        <f t="shared" si="45"/>
        <v>1</v>
      </c>
      <c r="AJ70" s="109">
        <f>Model!$AO$179</f>
        <v>0.52600000000000002</v>
      </c>
      <c r="AK70" s="109"/>
      <c r="AL70" s="120">
        <f t="shared" si="46"/>
        <v>2.0076632008364053E-2</v>
      </c>
      <c r="AM70" s="109">
        <f t="shared" si="47"/>
        <v>0</v>
      </c>
    </row>
    <row r="71" spans="3:39" s="101" customFormat="1" x14ac:dyDescent="0.25">
      <c r="C71" s="150">
        <f>Model!$AP$13</f>
        <v>3321768</v>
      </c>
      <c r="D71" s="54">
        <f>Model!$AP$16</f>
        <v>0.38461538461538458</v>
      </c>
      <c r="E71" s="151">
        <f t="shared" si="32"/>
        <v>1277603.0769230768</v>
      </c>
      <c r="F71" s="54">
        <f>Model!$AP$29</f>
        <v>1</v>
      </c>
      <c r="G71" s="151">
        <f t="shared" si="33"/>
        <v>1277603.0769230768</v>
      </c>
      <c r="H71" s="108">
        <f>INDEX(Model!$AP$34:$AP$37,MATCH($J71,Model!$AN$34:$AN$37,0))</f>
        <v>0.10100000000000001</v>
      </c>
      <c r="I71" s="129">
        <f t="shared" si="34"/>
        <v>129037.91076923076</v>
      </c>
      <c r="J71" s="109" t="s">
        <v>26</v>
      </c>
      <c r="K71" s="119">
        <f>INDEX(Model!$AP$38:$AP$41,MATCH($J71,Model!$AN$34:$AN$37,0))</f>
        <v>111.23110151187905</v>
      </c>
      <c r="L71" s="133">
        <f>K71*I71</f>
        <v>14353028.951653097</v>
      </c>
      <c r="M71" s="131">
        <f>'Example calcs 2000'!N71*0.95</f>
        <v>0</v>
      </c>
      <c r="N71" s="129">
        <f t="shared" si="35"/>
        <v>2567599.8843356762</v>
      </c>
      <c r="O71" s="131">
        <f t="shared" si="36"/>
        <v>1.0208069021639147E-6</v>
      </c>
      <c r="P71" s="131">
        <f t="shared" si="37"/>
        <v>2.6210236839251273</v>
      </c>
      <c r="Q71" s="119" t="s">
        <v>32</v>
      </c>
      <c r="R71" s="52">
        <f t="shared" si="38"/>
        <v>0</v>
      </c>
      <c r="S71" s="119">
        <f>INDEX(Model!$AP$55:$AP$119,MATCH($Q71,Model!$AN$55:$AN$119,0)+MATCH(Model!$AL$117,Model!$AL$55:$AL$119,0)-1)</f>
        <v>0.36</v>
      </c>
      <c r="T71" s="133">
        <f t="shared" si="39"/>
        <v>0.94356852621304577</v>
      </c>
      <c r="U71" s="131">
        <f>'Example calcs 2000'!S71*0.8</f>
        <v>0</v>
      </c>
      <c r="V71" s="129">
        <f t="shared" si="40"/>
        <v>0.94356852621304577</v>
      </c>
      <c r="W71" s="131">
        <f t="shared" si="41"/>
        <v>0.95811694694105154</v>
      </c>
      <c r="X71" s="131">
        <f t="shared" si="30"/>
        <v>0.90404899556491092</v>
      </c>
      <c r="Y71" s="109" t="s">
        <v>35</v>
      </c>
      <c r="Z71" s="52">
        <f t="shared" si="42"/>
        <v>0</v>
      </c>
      <c r="AA71" s="109">
        <f>Model!$AO$148</f>
        <v>1</v>
      </c>
      <c r="AB71" s="109"/>
      <c r="AC71" s="133">
        <f>X71*AA71</f>
        <v>0.90404899556491092</v>
      </c>
      <c r="AD71" s="131">
        <f>'Example calcs 2000'!Y71*0.8</f>
        <v>0</v>
      </c>
      <c r="AE71" s="129">
        <f t="shared" si="43"/>
        <v>0.90404899556491092</v>
      </c>
      <c r="AF71" s="131">
        <f t="shared" si="44"/>
        <v>5.2787131529516608E-7</v>
      </c>
      <c r="AG71" s="131">
        <f t="shared" si="31"/>
        <v>4.7722153238012333E-7</v>
      </c>
      <c r="AH71" s="109" t="s">
        <v>139</v>
      </c>
      <c r="AI71" s="52">
        <f t="shared" si="45"/>
        <v>1</v>
      </c>
      <c r="AJ71" s="109">
        <f>Model!$AO$192</f>
        <v>0.4</v>
      </c>
      <c r="AK71" s="109"/>
      <c r="AL71" s="120">
        <f t="shared" si="46"/>
        <v>1.9088861295204934E-7</v>
      </c>
      <c r="AM71" s="109">
        <f t="shared" si="47"/>
        <v>0</v>
      </c>
    </row>
    <row r="72" spans="3:39" s="101" customFormat="1" x14ac:dyDescent="0.25">
      <c r="C72" s="150">
        <f>Model!$AP$13</f>
        <v>3321768</v>
      </c>
      <c r="D72" s="54">
        <f>Model!$AP$16</f>
        <v>0.38461538461538458</v>
      </c>
      <c r="E72" s="151">
        <f t="shared" si="32"/>
        <v>1277603.0769230768</v>
      </c>
      <c r="F72" s="54">
        <f>Model!$AP$29</f>
        <v>1</v>
      </c>
      <c r="G72" s="151">
        <f t="shared" si="33"/>
        <v>1277603.0769230768</v>
      </c>
      <c r="H72" s="108">
        <f>INDEX(Model!$AP$34:$AP$37,MATCH($J72,Model!$AN$34:$AN$37,0))</f>
        <v>0.10100000000000001</v>
      </c>
      <c r="I72" s="129">
        <f t="shared" si="34"/>
        <v>129037.91076923076</v>
      </c>
      <c r="J72" s="109" t="s">
        <v>26</v>
      </c>
      <c r="K72" s="119">
        <f>INDEX(Model!$AP$38:$AP$41,MATCH($J72,Model!$AN$34:$AN$37,0))</f>
        <v>111.23110151187905</v>
      </c>
      <c r="L72" s="133">
        <f>K72*I72</f>
        <v>14353028.951653097</v>
      </c>
      <c r="M72" s="131">
        <f>'Example calcs 2000'!N72*0.95</f>
        <v>0</v>
      </c>
      <c r="N72" s="129">
        <f t="shared" si="35"/>
        <v>2567599.8843356762</v>
      </c>
      <c r="O72" s="131">
        <f t="shared" si="36"/>
        <v>1.0208069021639147E-6</v>
      </c>
      <c r="P72" s="131">
        <f t="shared" si="37"/>
        <v>2.6210236839251273</v>
      </c>
      <c r="Q72" s="119" t="s">
        <v>32</v>
      </c>
      <c r="R72" s="52">
        <f t="shared" si="38"/>
        <v>0</v>
      </c>
      <c r="S72" s="119">
        <f>INDEX(Model!$AP$55:$AP$119,MATCH($Q72,Model!$AN$55:$AN$119,0)+MATCH(Model!$AL$117,Model!$AL$55:$AL$119,0)-1)</f>
        <v>0.36</v>
      </c>
      <c r="T72" s="133">
        <f t="shared" si="39"/>
        <v>0.94356852621304577</v>
      </c>
      <c r="U72" s="131">
        <f>'Example calcs 2000'!S72*0.8</f>
        <v>0</v>
      </c>
      <c r="V72" s="129">
        <f t="shared" si="40"/>
        <v>0.94356852621304577</v>
      </c>
      <c r="W72" s="131">
        <f t="shared" si="41"/>
        <v>0.95811694694105154</v>
      </c>
      <c r="X72" s="131">
        <f t="shared" si="30"/>
        <v>0.90404899556491092</v>
      </c>
      <c r="Y72" s="109" t="s">
        <v>35</v>
      </c>
      <c r="Z72" s="52">
        <f t="shared" si="42"/>
        <v>0</v>
      </c>
      <c r="AA72" s="109">
        <f>Model!$AO$148</f>
        <v>1</v>
      </c>
      <c r="AB72" s="109"/>
      <c r="AC72" s="133">
        <f>X72*AA72</f>
        <v>0.90404899556491092</v>
      </c>
      <c r="AD72" s="131">
        <f>'Example calcs 2000'!Y72*0.8</f>
        <v>0</v>
      </c>
      <c r="AE72" s="129">
        <f t="shared" si="43"/>
        <v>0.90404899556491092</v>
      </c>
      <c r="AF72" s="131" t="str">
        <f t="shared" si="44"/>
        <v/>
      </c>
      <c r="AG72" s="131">
        <f t="shared" si="31"/>
        <v>0</v>
      </c>
      <c r="AH72" s="109" t="s">
        <v>64</v>
      </c>
      <c r="AI72" s="52">
        <f t="shared" si="45"/>
        <v>1</v>
      </c>
      <c r="AJ72" s="109"/>
      <c r="AK72" s="109">
        <f>Model!$AO$165</f>
        <v>1.613</v>
      </c>
      <c r="AL72" s="120">
        <f t="shared" si="46"/>
        <v>0</v>
      </c>
      <c r="AM72" s="109">
        <f t="shared" si="47"/>
        <v>0</v>
      </c>
    </row>
    <row r="73" spans="3:39" s="101" customFormat="1" x14ac:dyDescent="0.25">
      <c r="C73" s="150">
        <f>Model!$AP$13</f>
        <v>3321768</v>
      </c>
      <c r="D73" s="54">
        <f>Model!$AP$16</f>
        <v>0.38461538461538458</v>
      </c>
      <c r="E73" s="151">
        <f t="shared" si="32"/>
        <v>1277603.0769230768</v>
      </c>
      <c r="F73" s="54">
        <f>Model!$AP$29</f>
        <v>1</v>
      </c>
      <c r="G73" s="151">
        <f t="shared" si="33"/>
        <v>1277603.0769230768</v>
      </c>
      <c r="H73" s="108">
        <f>INDEX(Model!$AP$34:$AP$37,MATCH($J73,Model!$AN$34:$AN$37,0))</f>
        <v>0.10100000000000001</v>
      </c>
      <c r="I73" s="129">
        <f t="shared" si="34"/>
        <v>129037.91076923076</v>
      </c>
      <c r="J73" s="109" t="s">
        <v>26</v>
      </c>
      <c r="K73" s="119">
        <f>INDEX(Model!$AP$38:$AP$41,MATCH($J73,Model!$AN$34:$AN$37,0))</f>
        <v>111.23110151187905</v>
      </c>
      <c r="L73" s="133">
        <f>K73*I73</f>
        <v>14353028.951653097</v>
      </c>
      <c r="M73" s="131">
        <f>'Example calcs 2000'!N73*0.95</f>
        <v>0</v>
      </c>
      <c r="N73" s="129">
        <f t="shared" si="35"/>
        <v>2567599.8843356762</v>
      </c>
      <c r="O73" s="131">
        <f t="shared" si="36"/>
        <v>1.0208069021639147E-6</v>
      </c>
      <c r="P73" s="131">
        <f t="shared" si="37"/>
        <v>2.6210236839251273</v>
      </c>
      <c r="Q73" s="119" t="s">
        <v>32</v>
      </c>
      <c r="R73" s="52">
        <f t="shared" si="38"/>
        <v>0</v>
      </c>
      <c r="S73" s="119">
        <f>INDEX(Model!$AP$55:$AP$119,MATCH($Q73,Model!$AN$55:$AN$119,0)+MATCH(Model!$AL$117,Model!$AL$55:$AL$119,0)-1)</f>
        <v>0.36</v>
      </c>
      <c r="T73" s="133">
        <f t="shared" si="39"/>
        <v>0.94356852621304577</v>
      </c>
      <c r="U73" s="131">
        <f>'Example calcs 2000'!S73*0.8</f>
        <v>0</v>
      </c>
      <c r="V73" s="129">
        <f t="shared" si="40"/>
        <v>0.94356852621304577</v>
      </c>
      <c r="W73" s="131">
        <f t="shared" si="41"/>
        <v>0.95811694694105154</v>
      </c>
      <c r="X73" s="131">
        <f t="shared" si="30"/>
        <v>0.90404899556491092</v>
      </c>
      <c r="Y73" s="109" t="s">
        <v>35</v>
      </c>
      <c r="Z73" s="52">
        <f t="shared" si="42"/>
        <v>0</v>
      </c>
      <c r="AA73" s="109">
        <f>Model!$AO$148</f>
        <v>1</v>
      </c>
      <c r="AB73" s="109"/>
      <c r="AC73" s="133">
        <f>X73*AA73</f>
        <v>0.90404899556491092</v>
      </c>
      <c r="AD73" s="131">
        <f>'Example calcs 2000'!Y73*0.8</f>
        <v>0</v>
      </c>
      <c r="AE73" s="129">
        <f t="shared" si="43"/>
        <v>0.90404899556491092</v>
      </c>
      <c r="AF73" s="131">
        <f t="shared" si="44"/>
        <v>0.95777996621220318</v>
      </c>
      <c r="AG73" s="131">
        <f t="shared" si="31"/>
        <v>0.86588001642633661</v>
      </c>
      <c r="AH73" s="109" t="s">
        <v>65</v>
      </c>
      <c r="AI73" s="52">
        <f t="shared" si="45"/>
        <v>1</v>
      </c>
      <c r="AJ73" s="109"/>
      <c r="AK73" s="109">
        <f>Model!$AO$205</f>
        <v>1.111</v>
      </c>
      <c r="AL73" s="120">
        <f t="shared" si="46"/>
        <v>0</v>
      </c>
      <c r="AM73" s="109">
        <f t="shared" si="47"/>
        <v>0.96199269824965994</v>
      </c>
    </row>
    <row r="74" spans="3:39" s="101" customFormat="1" x14ac:dyDescent="0.25">
      <c r="C74" s="150">
        <f>Model!$AP$13</f>
        <v>3321768</v>
      </c>
      <c r="D74" s="54">
        <f>Model!$AP$16</f>
        <v>0.38461538461538458</v>
      </c>
      <c r="E74" s="151">
        <f t="shared" si="32"/>
        <v>1277603.0769230768</v>
      </c>
      <c r="F74" s="54">
        <f>Model!$AP$29</f>
        <v>1</v>
      </c>
      <c r="G74" s="151">
        <f t="shared" si="33"/>
        <v>1277603.0769230768</v>
      </c>
      <c r="H74" s="108">
        <f>INDEX(Model!$AP$34:$AP$37,MATCH($J74,Model!$AN$34:$AN$37,0))</f>
        <v>0.10100000000000001</v>
      </c>
      <c r="I74" s="129">
        <f t="shared" si="34"/>
        <v>129037.91076923076</v>
      </c>
      <c r="J74" s="109" t="s">
        <v>26</v>
      </c>
      <c r="K74" s="119">
        <f>INDEX(Model!$AP$38:$AP$41,MATCH($J74,Model!$AN$34:$AN$37,0))</f>
        <v>111.23110151187905</v>
      </c>
      <c r="L74" s="133">
        <f>K74*I74</f>
        <v>14353028.951653097</v>
      </c>
      <c r="M74" s="131">
        <f>'Example calcs 2000'!N74*0.95</f>
        <v>0</v>
      </c>
      <c r="N74" s="129">
        <f t="shared" si="35"/>
        <v>2567599.8843356762</v>
      </c>
      <c r="O74" s="131">
        <f t="shared" si="36"/>
        <v>0.9999989751173719</v>
      </c>
      <c r="P74" s="131">
        <f t="shared" si="37"/>
        <v>2567597.2528471588</v>
      </c>
      <c r="Q74" s="119" t="s">
        <v>31</v>
      </c>
      <c r="R74" s="52">
        <f t="shared" si="38"/>
        <v>1</v>
      </c>
      <c r="S74" s="119">
        <f>INDEX(Model!$AP$55:$AP$119,MATCH($Q74,Model!$AN$55:$AN$119,0)+MATCH(Model!$AL$117,Model!$AL$55:$AL$119,0)-1)</f>
        <v>0.51500000000000001</v>
      </c>
      <c r="T74" s="133">
        <f t="shared" si="39"/>
        <v>1322312.5852162868</v>
      </c>
      <c r="U74" s="131">
        <f>'Example calcs 2000'!S74*0.8</f>
        <v>0</v>
      </c>
      <c r="V74" s="129">
        <f t="shared" si="40"/>
        <v>1322312.5852162868</v>
      </c>
      <c r="W74" s="131">
        <f t="shared" si="41"/>
        <v>4.1883053058948572E-2</v>
      </c>
      <c r="X74" s="131">
        <f t="shared" si="30"/>
        <v>55382.488167129195</v>
      </c>
      <c r="Y74" s="109" t="s">
        <v>34</v>
      </c>
      <c r="Z74" s="52">
        <f t="shared" si="42"/>
        <v>1</v>
      </c>
      <c r="AA74" s="109"/>
      <c r="AB74" s="109">
        <f>Model!$AO$138</f>
        <v>1</v>
      </c>
      <c r="AC74" s="133"/>
      <c r="AD74" s="131">
        <f>'Example calcs 2000'!Y74*0.8</f>
        <v>0</v>
      </c>
      <c r="AE74" s="129">
        <f t="shared" si="43"/>
        <v>0</v>
      </c>
      <c r="AF74" s="131" t="str">
        <f t="shared" si="44"/>
        <v/>
      </c>
      <c r="AG74" s="131">
        <f t="shared" si="31"/>
        <v>0</v>
      </c>
      <c r="AH74" s="109"/>
      <c r="AI74" s="52">
        <f t="shared" si="45"/>
        <v>1</v>
      </c>
      <c r="AJ74" s="109"/>
      <c r="AK74" s="109"/>
      <c r="AL74" s="120">
        <f t="shared" si="46"/>
        <v>55382.488167129195</v>
      </c>
      <c r="AM74" s="109">
        <f t="shared" si="47"/>
        <v>0</v>
      </c>
    </row>
    <row r="75" spans="3:39" s="101" customFormat="1" x14ac:dyDescent="0.25">
      <c r="C75" s="150">
        <f>Model!$AP$13</f>
        <v>3321768</v>
      </c>
      <c r="D75" s="54">
        <f>Model!$AP$16</f>
        <v>0.38461538461538458</v>
      </c>
      <c r="E75" s="151">
        <f t="shared" si="32"/>
        <v>1277603.0769230768</v>
      </c>
      <c r="F75" s="54">
        <f>Model!$AP$29</f>
        <v>1</v>
      </c>
      <c r="G75" s="151">
        <f t="shared" si="33"/>
        <v>1277603.0769230768</v>
      </c>
      <c r="H75" s="108">
        <f>INDEX(Model!$AP$34:$AP$37,MATCH($J75,Model!$AN$34:$AN$37,0))</f>
        <v>0.10100000000000001</v>
      </c>
      <c r="I75" s="129">
        <f t="shared" si="34"/>
        <v>129037.91076923076</v>
      </c>
      <c r="J75" s="109" t="s">
        <v>26</v>
      </c>
      <c r="K75" s="119">
        <f>INDEX(Model!$AP$38:$AP$41,MATCH($J75,Model!$AN$34:$AN$37,0))</f>
        <v>111.23110151187905</v>
      </c>
      <c r="L75" s="133">
        <f>K75*I75</f>
        <v>14353028.951653097</v>
      </c>
      <c r="M75" s="131">
        <f>'Example calcs 2000'!N75*0.95</f>
        <v>0</v>
      </c>
      <c r="N75" s="129">
        <f t="shared" si="35"/>
        <v>2567599.8843356762</v>
      </c>
      <c r="O75" s="131">
        <f t="shared" si="36"/>
        <v>0.9999989751173719</v>
      </c>
      <c r="P75" s="131">
        <f t="shared" si="37"/>
        <v>2567597.2528471588</v>
      </c>
      <c r="Q75" s="119" t="s">
        <v>31</v>
      </c>
      <c r="R75" s="52">
        <f t="shared" si="38"/>
        <v>0</v>
      </c>
      <c r="S75" s="119">
        <f>INDEX(Model!$AP$55:$AP$119,MATCH($Q75,Model!$AN$55:$AN$119,0)+MATCH(Model!$AL$117,Model!$AL$55:$AL$119,0)-1)</f>
        <v>0.51500000000000001</v>
      </c>
      <c r="T75" s="133">
        <f t="shared" si="39"/>
        <v>1322312.5852162868</v>
      </c>
      <c r="U75" s="131">
        <f>'Example calcs 2000'!S75*0.8</f>
        <v>0</v>
      </c>
      <c r="V75" s="129">
        <f t="shared" si="40"/>
        <v>1322312.5852162868</v>
      </c>
      <c r="W75" s="131">
        <f t="shared" si="41"/>
        <v>0.95811694694105154</v>
      </c>
      <c r="X75" s="131">
        <f t="shared" si="30"/>
        <v>1266930.0970491578</v>
      </c>
      <c r="Y75" s="109" t="s">
        <v>35</v>
      </c>
      <c r="Z75" s="52">
        <f t="shared" si="42"/>
        <v>1</v>
      </c>
      <c r="AA75" s="109">
        <f>Model!$AO$148</f>
        <v>1</v>
      </c>
      <c r="AB75" s="109"/>
      <c r="AC75" s="133">
        <f>X75*AA75</f>
        <v>1266930.0970491578</v>
      </c>
      <c r="AD75" s="131">
        <f>'Example calcs 2000'!Y75*0.8</f>
        <v>0</v>
      </c>
      <c r="AE75" s="129">
        <f t="shared" si="43"/>
        <v>1266930.0970491578</v>
      </c>
      <c r="AF75" s="131">
        <f t="shared" si="44"/>
        <v>4.2219505916481506E-2</v>
      </c>
      <c r="AG75" s="131">
        <f t="shared" si="31"/>
        <v>53489.162728135409</v>
      </c>
      <c r="AH75" s="109" t="s">
        <v>66</v>
      </c>
      <c r="AI75" s="52">
        <f t="shared" si="45"/>
        <v>1</v>
      </c>
      <c r="AJ75" s="109">
        <f>Model!$AO$179</f>
        <v>0.52600000000000002</v>
      </c>
      <c r="AK75" s="109"/>
      <c r="AL75" s="120">
        <f t="shared" si="46"/>
        <v>28135.299594999226</v>
      </c>
      <c r="AM75" s="109">
        <f t="shared" si="47"/>
        <v>0</v>
      </c>
    </row>
    <row r="76" spans="3:39" s="101" customFormat="1" x14ac:dyDescent="0.25">
      <c r="C76" s="150">
        <f>Model!$AP$13</f>
        <v>3321768</v>
      </c>
      <c r="D76" s="54">
        <f>Model!$AP$16</f>
        <v>0.38461538461538458</v>
      </c>
      <c r="E76" s="151">
        <f t="shared" si="32"/>
        <v>1277603.0769230768</v>
      </c>
      <c r="F76" s="54">
        <f>Model!$AP$29</f>
        <v>1</v>
      </c>
      <c r="G76" s="151">
        <f t="shared" si="33"/>
        <v>1277603.0769230768</v>
      </c>
      <c r="H76" s="108">
        <f>INDEX(Model!$AP$34:$AP$37,MATCH($J76,Model!$AN$34:$AN$37,0))</f>
        <v>0.10100000000000001</v>
      </c>
      <c r="I76" s="129">
        <f t="shared" si="34"/>
        <v>129037.91076923076</v>
      </c>
      <c r="J76" s="109" t="s">
        <v>26</v>
      </c>
      <c r="K76" s="119">
        <f>INDEX(Model!$AP$38:$AP$41,MATCH($J76,Model!$AN$34:$AN$37,0))</f>
        <v>111.23110151187905</v>
      </c>
      <c r="L76" s="133">
        <f>K76*I76</f>
        <v>14353028.951653097</v>
      </c>
      <c r="M76" s="131">
        <f>'Example calcs 2000'!N76*0.95</f>
        <v>0</v>
      </c>
      <c r="N76" s="129">
        <f t="shared" si="35"/>
        <v>2567599.8843356762</v>
      </c>
      <c r="O76" s="131">
        <f t="shared" si="36"/>
        <v>0.9999989751173719</v>
      </c>
      <c r="P76" s="131">
        <f t="shared" si="37"/>
        <v>2567597.2528471588</v>
      </c>
      <c r="Q76" s="119" t="s">
        <v>31</v>
      </c>
      <c r="R76" s="52">
        <f t="shared" si="38"/>
        <v>0</v>
      </c>
      <c r="S76" s="119">
        <f>INDEX(Model!$AP$55:$AP$119,MATCH($Q76,Model!$AN$55:$AN$119,0)+MATCH(Model!$AL$117,Model!$AL$55:$AL$119,0)-1)</f>
        <v>0.51500000000000001</v>
      </c>
      <c r="T76" s="133">
        <f t="shared" si="39"/>
        <v>1322312.5852162868</v>
      </c>
      <c r="U76" s="131">
        <f>'Example calcs 2000'!S76*0.8</f>
        <v>0</v>
      </c>
      <c r="V76" s="129">
        <f t="shared" si="40"/>
        <v>1322312.5852162868</v>
      </c>
      <c r="W76" s="131">
        <f t="shared" si="41"/>
        <v>0.95811694694105154</v>
      </c>
      <c r="X76" s="131">
        <f t="shared" si="30"/>
        <v>1266930.0970491578</v>
      </c>
      <c r="Y76" s="109" t="s">
        <v>35</v>
      </c>
      <c r="Z76" s="52">
        <f t="shared" si="42"/>
        <v>0</v>
      </c>
      <c r="AA76" s="109">
        <f>Model!$AO$148</f>
        <v>1</v>
      </c>
      <c r="AB76" s="109"/>
      <c r="AC76" s="133">
        <f>X76*AA76</f>
        <v>1266930.0970491578</v>
      </c>
      <c r="AD76" s="131">
        <f>'Example calcs 2000'!Y76*0.8</f>
        <v>0</v>
      </c>
      <c r="AE76" s="129">
        <f t="shared" si="43"/>
        <v>1266930.0970491578</v>
      </c>
      <c r="AF76" s="131">
        <f t="shared" si="44"/>
        <v>5.2787131529516608E-7</v>
      </c>
      <c r="AG76" s="131">
        <f t="shared" si="31"/>
        <v>0.6687760567163713</v>
      </c>
      <c r="AH76" s="109" t="s">
        <v>139</v>
      </c>
      <c r="AI76" s="52">
        <f t="shared" si="45"/>
        <v>1</v>
      </c>
      <c r="AJ76" s="109">
        <f>Model!$AO$192</f>
        <v>0.4</v>
      </c>
      <c r="AK76" s="109"/>
      <c r="AL76" s="120">
        <f t="shared" si="46"/>
        <v>0.26751042268654851</v>
      </c>
      <c r="AM76" s="109">
        <f t="shared" si="47"/>
        <v>0</v>
      </c>
    </row>
    <row r="77" spans="3:39" s="101" customFormat="1" x14ac:dyDescent="0.25">
      <c r="C77" s="150">
        <f>Model!$AP$13</f>
        <v>3321768</v>
      </c>
      <c r="D77" s="54">
        <f>Model!$AP$16</f>
        <v>0.38461538461538458</v>
      </c>
      <c r="E77" s="151">
        <f t="shared" si="32"/>
        <v>1277603.0769230768</v>
      </c>
      <c r="F77" s="54">
        <f>Model!$AP$29</f>
        <v>1</v>
      </c>
      <c r="G77" s="151">
        <f t="shared" si="33"/>
        <v>1277603.0769230768</v>
      </c>
      <c r="H77" s="108">
        <f>INDEX(Model!$AP$34:$AP$37,MATCH($J77,Model!$AN$34:$AN$37,0))</f>
        <v>0.10100000000000001</v>
      </c>
      <c r="I77" s="129">
        <f t="shared" si="34"/>
        <v>129037.91076923076</v>
      </c>
      <c r="J77" s="109" t="s">
        <v>26</v>
      </c>
      <c r="K77" s="119">
        <f>INDEX(Model!$AP$38:$AP$41,MATCH($J77,Model!$AN$34:$AN$37,0))</f>
        <v>111.23110151187905</v>
      </c>
      <c r="L77" s="133">
        <f>K77*I77</f>
        <v>14353028.951653097</v>
      </c>
      <c r="M77" s="131">
        <f>'Example calcs 2000'!N77*0.95</f>
        <v>0</v>
      </c>
      <c r="N77" s="129">
        <f t="shared" si="35"/>
        <v>2567599.8843356762</v>
      </c>
      <c r="O77" s="131">
        <f t="shared" si="36"/>
        <v>0.9999989751173719</v>
      </c>
      <c r="P77" s="131">
        <f t="shared" si="37"/>
        <v>2567597.2528471588</v>
      </c>
      <c r="Q77" s="119" t="s">
        <v>31</v>
      </c>
      <c r="R77" s="52">
        <f t="shared" si="38"/>
        <v>0</v>
      </c>
      <c r="S77" s="119">
        <f>INDEX(Model!$AP$55:$AP$119,MATCH($Q77,Model!$AN$55:$AN$119,0)+MATCH(Model!$AL$117,Model!$AL$55:$AL$119,0)-1)</f>
        <v>0.51500000000000001</v>
      </c>
      <c r="T77" s="133">
        <f t="shared" si="39"/>
        <v>1322312.5852162868</v>
      </c>
      <c r="U77" s="131">
        <f>'Example calcs 2000'!S77*0.8</f>
        <v>0</v>
      </c>
      <c r="V77" s="129">
        <f t="shared" si="40"/>
        <v>1322312.5852162868</v>
      </c>
      <c r="W77" s="131">
        <f t="shared" si="41"/>
        <v>0.95811694694105154</v>
      </c>
      <c r="X77" s="131">
        <f t="shared" si="30"/>
        <v>1266930.0970491578</v>
      </c>
      <c r="Y77" s="109" t="s">
        <v>35</v>
      </c>
      <c r="Z77" s="52">
        <f t="shared" si="42"/>
        <v>0</v>
      </c>
      <c r="AA77" s="109">
        <f>Model!$AO$148</f>
        <v>1</v>
      </c>
      <c r="AB77" s="109"/>
      <c r="AC77" s="133">
        <f>X77*AA77</f>
        <v>1266930.0970491578</v>
      </c>
      <c r="AD77" s="131">
        <f>'Example calcs 2000'!Y77*0.8</f>
        <v>0</v>
      </c>
      <c r="AE77" s="129">
        <f t="shared" si="43"/>
        <v>1266930.0970491578</v>
      </c>
      <c r="AF77" s="131" t="str">
        <f t="shared" si="44"/>
        <v/>
      </c>
      <c r="AG77" s="131">
        <f t="shared" si="31"/>
        <v>0</v>
      </c>
      <c r="AH77" s="109" t="s">
        <v>64</v>
      </c>
      <c r="AI77" s="52">
        <f t="shared" si="45"/>
        <v>1</v>
      </c>
      <c r="AJ77" s="109"/>
      <c r="AK77" s="109">
        <f>Model!$AO$165</f>
        <v>1.613</v>
      </c>
      <c r="AL77" s="120">
        <f t="shared" si="46"/>
        <v>0</v>
      </c>
      <c r="AM77" s="109">
        <f t="shared" si="47"/>
        <v>0</v>
      </c>
    </row>
    <row r="78" spans="3:39" s="101" customFormat="1" x14ac:dyDescent="0.25">
      <c r="C78" s="150">
        <f>Model!$AP$13</f>
        <v>3321768</v>
      </c>
      <c r="D78" s="54">
        <f>Model!$AP$16</f>
        <v>0.38461538461538458</v>
      </c>
      <c r="E78" s="151">
        <f t="shared" si="32"/>
        <v>1277603.0769230768</v>
      </c>
      <c r="F78" s="54">
        <f>Model!$AP$29</f>
        <v>1</v>
      </c>
      <c r="G78" s="151">
        <f t="shared" si="33"/>
        <v>1277603.0769230768</v>
      </c>
      <c r="H78" s="108">
        <f>INDEX(Model!$AP$34:$AP$37,MATCH($J78,Model!$AN$34:$AN$37,0))</f>
        <v>0.10100000000000001</v>
      </c>
      <c r="I78" s="129">
        <f t="shared" si="34"/>
        <v>129037.91076923076</v>
      </c>
      <c r="J78" s="109" t="s">
        <v>26</v>
      </c>
      <c r="K78" s="119">
        <f>INDEX(Model!$AP$38:$AP$41,MATCH($J78,Model!$AN$34:$AN$37,0))</f>
        <v>111.23110151187905</v>
      </c>
      <c r="L78" s="133">
        <f>K78*I78</f>
        <v>14353028.951653097</v>
      </c>
      <c r="M78" s="131">
        <f>'Example calcs 2000'!N78*0.95</f>
        <v>0</v>
      </c>
      <c r="N78" s="129">
        <f t="shared" si="35"/>
        <v>2567599.8843356762</v>
      </c>
      <c r="O78" s="131">
        <f t="shared" si="36"/>
        <v>0.9999989751173719</v>
      </c>
      <c r="P78" s="131">
        <f t="shared" si="37"/>
        <v>2567597.2528471588</v>
      </c>
      <c r="Q78" s="119" t="s">
        <v>31</v>
      </c>
      <c r="R78" s="52">
        <f t="shared" si="38"/>
        <v>0</v>
      </c>
      <c r="S78" s="119">
        <f>INDEX(Model!$AP$55:$AP$119,MATCH($Q78,Model!$AN$55:$AN$119,0)+MATCH(Model!$AL$117,Model!$AL$55:$AL$119,0)-1)</f>
        <v>0.51500000000000001</v>
      </c>
      <c r="T78" s="133">
        <f t="shared" si="39"/>
        <v>1322312.5852162868</v>
      </c>
      <c r="U78" s="131">
        <f>'Example calcs 2000'!S78*0.8</f>
        <v>0</v>
      </c>
      <c r="V78" s="129">
        <f t="shared" si="40"/>
        <v>1322312.5852162868</v>
      </c>
      <c r="W78" s="131">
        <f t="shared" si="41"/>
        <v>0.95811694694105154</v>
      </c>
      <c r="X78" s="131">
        <f t="shared" si="30"/>
        <v>1266930.0970491578</v>
      </c>
      <c r="Y78" s="109" t="s">
        <v>35</v>
      </c>
      <c r="Z78" s="52">
        <f t="shared" si="42"/>
        <v>0</v>
      </c>
      <c r="AA78" s="109">
        <f>Model!$AO$148</f>
        <v>1</v>
      </c>
      <c r="AB78" s="109"/>
      <c r="AC78" s="133">
        <f>X78*AA78</f>
        <v>1266930.0970491578</v>
      </c>
      <c r="AD78" s="131">
        <f>'Example calcs 2000'!Y78*0.8</f>
        <v>0</v>
      </c>
      <c r="AE78" s="129">
        <f t="shared" si="43"/>
        <v>1266930.0970491578</v>
      </c>
      <c r="AF78" s="131">
        <f t="shared" si="44"/>
        <v>0.95777996621220318</v>
      </c>
      <c r="AG78" s="131">
        <f t="shared" si="31"/>
        <v>1213440.2655449656</v>
      </c>
      <c r="AH78" s="109" t="s">
        <v>65</v>
      </c>
      <c r="AI78" s="52">
        <f t="shared" si="45"/>
        <v>1</v>
      </c>
      <c r="AJ78" s="109"/>
      <c r="AK78" s="109">
        <f>Model!$AO$205</f>
        <v>1.111</v>
      </c>
      <c r="AL78" s="120">
        <f t="shared" si="46"/>
        <v>0</v>
      </c>
      <c r="AM78" s="109">
        <f t="shared" si="47"/>
        <v>1348132.1350204567</v>
      </c>
    </row>
    <row r="79" spans="3:39" s="101" customFormat="1" x14ac:dyDescent="0.25">
      <c r="C79" s="150">
        <f>Model!$AP$13</f>
        <v>3321768</v>
      </c>
      <c r="D79" s="54">
        <f>Model!$AP$16</f>
        <v>0.38461538461538458</v>
      </c>
      <c r="E79" s="151">
        <f t="shared" si="32"/>
        <v>1277603.0769230768</v>
      </c>
      <c r="F79" s="54">
        <f>Model!$AP$29</f>
        <v>1</v>
      </c>
      <c r="G79" s="151">
        <f t="shared" si="33"/>
        <v>1277603.0769230768</v>
      </c>
      <c r="H79" s="108">
        <f>INDEX(Model!$AP$34:$AP$37,MATCH($J79,Model!$AN$34:$AN$37,0))</f>
        <v>0.71950000000000003</v>
      </c>
      <c r="I79" s="129">
        <f t="shared" si="34"/>
        <v>919235.41384615377</v>
      </c>
      <c r="J79" s="109" t="s">
        <v>25</v>
      </c>
      <c r="K79" s="119">
        <f>INDEX(Model!$AP$38:$AP$41,MATCH($J79,Model!$AN$34:$AN$37,0))</f>
        <v>141.02045602481141</v>
      </c>
      <c r="L79" s="133">
        <f>K79*I79</f>
        <v>129630997.25474085</v>
      </c>
      <c r="M79" s="131">
        <f>'Example calcs 2000'!N79*0.95</f>
        <v>0</v>
      </c>
      <c r="N79" s="129">
        <f t="shared" si="35"/>
        <v>20246263.065694302</v>
      </c>
      <c r="O79" s="131">
        <f t="shared" si="36"/>
        <v>4.0757259630805254E-9</v>
      </c>
      <c r="P79" s="131">
        <f t="shared" si="37"/>
        <v>8.2518220032208586E-2</v>
      </c>
      <c r="Q79" s="119" t="s">
        <v>33</v>
      </c>
      <c r="R79" s="52">
        <f t="shared" si="38"/>
        <v>1</v>
      </c>
      <c r="S79" s="119">
        <f>INDEX(Model!$AP$55:$AP$119,MATCH($Q79,Model!$AN$55:$AN$119,0)+MATCH(Model!$AL$117,Model!$AL$55:$AL$119,0)-1)</f>
        <v>0.309</v>
      </c>
      <c r="T79" s="133">
        <f t="shared" si="39"/>
        <v>2.5498129989952451E-2</v>
      </c>
      <c r="U79" s="131">
        <f>'Example calcs 2000'!S79*0.8</f>
        <v>0</v>
      </c>
      <c r="V79" s="129">
        <f t="shared" si="40"/>
        <v>2.5498129989952451E-2</v>
      </c>
      <c r="W79" s="131">
        <f t="shared" si="41"/>
        <v>4.1883053058948572E-2</v>
      </c>
      <c r="X79" s="131">
        <f t="shared" si="30"/>
        <v>1.0679395312731463E-3</v>
      </c>
      <c r="Y79" s="109" t="s">
        <v>34</v>
      </c>
      <c r="Z79" s="52">
        <f t="shared" si="42"/>
        <v>1</v>
      </c>
      <c r="AA79" s="109"/>
      <c r="AB79" s="109">
        <f>Model!$AO$138</f>
        <v>1</v>
      </c>
      <c r="AC79" s="133"/>
      <c r="AD79" s="131">
        <f>'Example calcs 2000'!Y79*0.8</f>
        <v>0</v>
      </c>
      <c r="AE79" s="129">
        <f t="shared" si="43"/>
        <v>0</v>
      </c>
      <c r="AF79" s="131" t="str">
        <f t="shared" si="44"/>
        <v/>
      </c>
      <c r="AG79" s="131">
        <f t="shared" si="31"/>
        <v>0</v>
      </c>
      <c r="AH79" s="109"/>
      <c r="AI79" s="52">
        <f t="shared" si="45"/>
        <v>1</v>
      </c>
      <c r="AJ79" s="109"/>
      <c r="AK79" s="109"/>
      <c r="AL79" s="120">
        <f t="shared" si="46"/>
        <v>1.0679395312731463E-3</v>
      </c>
      <c r="AM79" s="109">
        <f t="shared" si="47"/>
        <v>0</v>
      </c>
    </row>
    <row r="80" spans="3:39" s="101" customFormat="1" x14ac:dyDescent="0.25">
      <c r="C80" s="150">
        <f>Model!$AP$13</f>
        <v>3321768</v>
      </c>
      <c r="D80" s="54">
        <f>Model!$AP$16</f>
        <v>0.38461538461538458</v>
      </c>
      <c r="E80" s="151">
        <f t="shared" si="32"/>
        <v>1277603.0769230768</v>
      </c>
      <c r="F80" s="54">
        <f>Model!$AP$29</f>
        <v>1</v>
      </c>
      <c r="G80" s="151">
        <f t="shared" si="33"/>
        <v>1277603.0769230768</v>
      </c>
      <c r="H80" s="108">
        <f>INDEX(Model!$AP$34:$AP$37,MATCH($J80,Model!$AN$34:$AN$37,0))</f>
        <v>0.71950000000000003</v>
      </c>
      <c r="I80" s="129">
        <f t="shared" si="34"/>
        <v>919235.41384615377</v>
      </c>
      <c r="J80" s="109" t="s">
        <v>25</v>
      </c>
      <c r="K80" s="119">
        <f>INDEX(Model!$AP$38:$AP$41,MATCH($J80,Model!$AN$34:$AN$37,0))</f>
        <v>141.02045602481141</v>
      </c>
      <c r="L80" s="133">
        <f>K80*I80</f>
        <v>129630997.25474085</v>
      </c>
      <c r="M80" s="131">
        <f>'Example calcs 2000'!N80*0.95</f>
        <v>0</v>
      </c>
      <c r="N80" s="129">
        <f t="shared" si="35"/>
        <v>20246263.065694302</v>
      </c>
      <c r="O80" s="131">
        <f t="shared" si="36"/>
        <v>4.0757259630805254E-9</v>
      </c>
      <c r="P80" s="131">
        <f t="shared" si="37"/>
        <v>8.2518220032208586E-2</v>
      </c>
      <c r="Q80" s="119" t="s">
        <v>33</v>
      </c>
      <c r="R80" s="52">
        <f t="shared" si="38"/>
        <v>0</v>
      </c>
      <c r="S80" s="119">
        <f>INDEX(Model!$AP$55:$AP$119,MATCH($Q80,Model!$AN$55:$AN$119,0)+MATCH(Model!$AL$117,Model!$AL$55:$AL$119,0)-1)</f>
        <v>0.309</v>
      </c>
      <c r="T80" s="133">
        <f t="shared" si="39"/>
        <v>2.5498129989952451E-2</v>
      </c>
      <c r="U80" s="131">
        <f>'Example calcs 2000'!S80*0.8</f>
        <v>0</v>
      </c>
      <c r="V80" s="129">
        <f t="shared" si="40"/>
        <v>2.5498129989952451E-2</v>
      </c>
      <c r="W80" s="131">
        <f t="shared" si="41"/>
        <v>0.95811694694105154</v>
      </c>
      <c r="X80" s="131">
        <f t="shared" si="30"/>
        <v>2.4430190458679307E-2</v>
      </c>
      <c r="Y80" s="109" t="s">
        <v>35</v>
      </c>
      <c r="Z80" s="52">
        <f t="shared" si="42"/>
        <v>1</v>
      </c>
      <c r="AA80" s="109">
        <f>Model!$AO$148</f>
        <v>1</v>
      </c>
      <c r="AB80" s="109"/>
      <c r="AC80" s="133">
        <f>X80*AA80</f>
        <v>2.4430190458679307E-2</v>
      </c>
      <c r="AD80" s="131">
        <f>'Example calcs 2000'!Y80*0.8</f>
        <v>0</v>
      </c>
      <c r="AE80" s="129">
        <f t="shared" si="43"/>
        <v>2.4430190458679307E-2</v>
      </c>
      <c r="AF80" s="131">
        <f t="shared" si="44"/>
        <v>4.2219505916481506E-2</v>
      </c>
      <c r="AG80" s="131">
        <f t="shared" si="31"/>
        <v>1.0314305706109811E-3</v>
      </c>
      <c r="AH80" s="109" t="s">
        <v>66</v>
      </c>
      <c r="AI80" s="52">
        <f t="shared" si="45"/>
        <v>1</v>
      </c>
      <c r="AJ80" s="109">
        <f>Model!$AO$179</f>
        <v>0.52600000000000002</v>
      </c>
      <c r="AK80" s="109"/>
      <c r="AL80" s="120">
        <f t="shared" si="46"/>
        <v>5.4253248014137607E-4</v>
      </c>
      <c r="AM80" s="109">
        <f t="shared" si="47"/>
        <v>0</v>
      </c>
    </row>
    <row r="81" spans="3:39" s="101" customFormat="1" x14ac:dyDescent="0.25">
      <c r="C81" s="150">
        <f>Model!$AP$13</f>
        <v>3321768</v>
      </c>
      <c r="D81" s="54">
        <f>Model!$AP$16</f>
        <v>0.38461538461538458</v>
      </c>
      <c r="E81" s="151">
        <f t="shared" si="32"/>
        <v>1277603.0769230768</v>
      </c>
      <c r="F81" s="54">
        <f>Model!$AP$29</f>
        <v>1</v>
      </c>
      <c r="G81" s="151">
        <f t="shared" si="33"/>
        <v>1277603.0769230768</v>
      </c>
      <c r="H81" s="108">
        <f>INDEX(Model!$AP$34:$AP$37,MATCH($J81,Model!$AN$34:$AN$37,0))</f>
        <v>0.71950000000000003</v>
      </c>
      <c r="I81" s="129">
        <f t="shared" si="34"/>
        <v>919235.41384615377</v>
      </c>
      <c r="J81" s="109" t="s">
        <v>25</v>
      </c>
      <c r="K81" s="119">
        <f>INDEX(Model!$AP$38:$AP$41,MATCH($J81,Model!$AN$34:$AN$37,0))</f>
        <v>141.02045602481141</v>
      </c>
      <c r="L81" s="133">
        <f>K81*I81</f>
        <v>129630997.25474085</v>
      </c>
      <c r="M81" s="131">
        <f>'Example calcs 2000'!N81*0.95</f>
        <v>0</v>
      </c>
      <c r="N81" s="129">
        <f t="shared" si="35"/>
        <v>20246263.065694302</v>
      </c>
      <c r="O81" s="131">
        <f t="shared" si="36"/>
        <v>4.0757259630805254E-9</v>
      </c>
      <c r="P81" s="131">
        <f t="shared" si="37"/>
        <v>8.2518220032208586E-2</v>
      </c>
      <c r="Q81" s="119" t="s">
        <v>33</v>
      </c>
      <c r="R81" s="52">
        <f t="shared" si="38"/>
        <v>0</v>
      </c>
      <c r="S81" s="119">
        <f>INDEX(Model!$AP$55:$AP$119,MATCH($Q81,Model!$AN$55:$AN$119,0)+MATCH(Model!$AL$117,Model!$AL$55:$AL$119,0)-1)</f>
        <v>0.309</v>
      </c>
      <c r="T81" s="133">
        <f t="shared" si="39"/>
        <v>2.5498129989952451E-2</v>
      </c>
      <c r="U81" s="131">
        <f>'Example calcs 2000'!S81*0.8</f>
        <v>0</v>
      </c>
      <c r="V81" s="129">
        <f t="shared" si="40"/>
        <v>2.5498129989952451E-2</v>
      </c>
      <c r="W81" s="131">
        <f t="shared" si="41"/>
        <v>0.95811694694105154</v>
      </c>
      <c r="X81" s="131">
        <f t="shared" si="30"/>
        <v>2.4430190458679307E-2</v>
      </c>
      <c r="Y81" s="109" t="s">
        <v>35</v>
      </c>
      <c r="Z81" s="52">
        <f t="shared" si="42"/>
        <v>0</v>
      </c>
      <c r="AA81" s="109">
        <f>Model!$AO$148</f>
        <v>1</v>
      </c>
      <c r="AB81" s="109"/>
      <c r="AC81" s="133">
        <f>X81*AA81</f>
        <v>2.4430190458679307E-2</v>
      </c>
      <c r="AD81" s="131">
        <f>'Example calcs 2000'!Y81*0.8</f>
        <v>0</v>
      </c>
      <c r="AE81" s="129">
        <f t="shared" si="43"/>
        <v>2.4430190458679307E-2</v>
      </c>
      <c r="AF81" s="131">
        <f t="shared" si="44"/>
        <v>5.2787131529516608E-7</v>
      </c>
      <c r="AG81" s="131">
        <f t="shared" si="31"/>
        <v>1.2895996770334463E-8</v>
      </c>
      <c r="AH81" s="109" t="s">
        <v>139</v>
      </c>
      <c r="AI81" s="52">
        <f t="shared" si="45"/>
        <v>1</v>
      </c>
      <c r="AJ81" s="109">
        <f>Model!$AO$192</f>
        <v>0.4</v>
      </c>
      <c r="AK81" s="109"/>
      <c r="AL81" s="120">
        <f t="shared" si="46"/>
        <v>5.1583987081337856E-9</v>
      </c>
      <c r="AM81" s="109">
        <f t="shared" si="47"/>
        <v>0</v>
      </c>
    </row>
    <row r="82" spans="3:39" s="101" customFormat="1" x14ac:dyDescent="0.25">
      <c r="C82" s="150">
        <f>Model!$AP$13</f>
        <v>3321768</v>
      </c>
      <c r="D82" s="54">
        <f>Model!$AP$16</f>
        <v>0.38461538461538458</v>
      </c>
      <c r="E82" s="151">
        <f t="shared" si="32"/>
        <v>1277603.0769230768</v>
      </c>
      <c r="F82" s="54">
        <f>Model!$AP$29</f>
        <v>1</v>
      </c>
      <c r="G82" s="151">
        <f t="shared" si="33"/>
        <v>1277603.0769230768</v>
      </c>
      <c r="H82" s="108">
        <f>INDEX(Model!$AP$34:$AP$37,MATCH($J82,Model!$AN$34:$AN$37,0))</f>
        <v>0.71950000000000003</v>
      </c>
      <c r="I82" s="129">
        <f t="shared" si="34"/>
        <v>919235.41384615377</v>
      </c>
      <c r="J82" s="109" t="s">
        <v>25</v>
      </c>
      <c r="K82" s="119">
        <f>INDEX(Model!$AP$38:$AP$41,MATCH($J82,Model!$AN$34:$AN$37,0))</f>
        <v>141.02045602481141</v>
      </c>
      <c r="L82" s="133">
        <f>K82*I82</f>
        <v>129630997.25474085</v>
      </c>
      <c r="M82" s="131">
        <f>'Example calcs 2000'!N82*0.95</f>
        <v>0</v>
      </c>
      <c r="N82" s="129">
        <f t="shared" si="35"/>
        <v>20246263.065694302</v>
      </c>
      <c r="O82" s="131">
        <f t="shared" si="36"/>
        <v>4.0757259630805254E-9</v>
      </c>
      <c r="P82" s="131">
        <f t="shared" si="37"/>
        <v>8.2518220032208586E-2</v>
      </c>
      <c r="Q82" s="119" t="s">
        <v>33</v>
      </c>
      <c r="R82" s="52">
        <f t="shared" si="38"/>
        <v>0</v>
      </c>
      <c r="S82" s="119">
        <f>INDEX(Model!$AP$55:$AP$119,MATCH($Q82,Model!$AN$55:$AN$119,0)+MATCH(Model!$AL$117,Model!$AL$55:$AL$119,0)-1)</f>
        <v>0.309</v>
      </c>
      <c r="T82" s="133">
        <f t="shared" si="39"/>
        <v>2.5498129989952451E-2</v>
      </c>
      <c r="U82" s="131">
        <f>'Example calcs 2000'!S82*0.8</f>
        <v>0</v>
      </c>
      <c r="V82" s="129">
        <f t="shared" si="40"/>
        <v>2.5498129989952451E-2</v>
      </c>
      <c r="W82" s="131">
        <f t="shared" si="41"/>
        <v>0.95811694694105154</v>
      </c>
      <c r="X82" s="131">
        <f t="shared" si="30"/>
        <v>2.4430190458679307E-2</v>
      </c>
      <c r="Y82" s="109" t="s">
        <v>35</v>
      </c>
      <c r="Z82" s="52">
        <f t="shared" si="42"/>
        <v>0</v>
      </c>
      <c r="AA82" s="109">
        <f>Model!$AO$148</f>
        <v>1</v>
      </c>
      <c r="AB82" s="109"/>
      <c r="AC82" s="133">
        <f>X82*AA82</f>
        <v>2.4430190458679307E-2</v>
      </c>
      <c r="AD82" s="131">
        <f>'Example calcs 2000'!Y82*0.8</f>
        <v>0</v>
      </c>
      <c r="AE82" s="129">
        <f t="shared" si="43"/>
        <v>2.4430190458679307E-2</v>
      </c>
      <c r="AF82" s="131" t="str">
        <f t="shared" si="44"/>
        <v/>
      </c>
      <c r="AG82" s="131">
        <f t="shared" si="31"/>
        <v>0</v>
      </c>
      <c r="AH82" s="109" t="s">
        <v>64</v>
      </c>
      <c r="AI82" s="52">
        <f t="shared" si="45"/>
        <v>1</v>
      </c>
      <c r="AJ82" s="109"/>
      <c r="AK82" s="109">
        <f>Model!$AO$165</f>
        <v>1.613</v>
      </c>
      <c r="AL82" s="120">
        <f t="shared" si="46"/>
        <v>0</v>
      </c>
      <c r="AM82" s="109">
        <f t="shared" si="47"/>
        <v>0</v>
      </c>
    </row>
    <row r="83" spans="3:39" s="101" customFormat="1" x14ac:dyDescent="0.25">
      <c r="C83" s="150">
        <f>Model!$AP$13</f>
        <v>3321768</v>
      </c>
      <c r="D83" s="54">
        <f>Model!$AP$16</f>
        <v>0.38461538461538458</v>
      </c>
      <c r="E83" s="151">
        <f t="shared" si="32"/>
        <v>1277603.0769230768</v>
      </c>
      <c r="F83" s="54">
        <f>Model!$AP$29</f>
        <v>1</v>
      </c>
      <c r="G83" s="151">
        <f t="shared" si="33"/>
        <v>1277603.0769230768</v>
      </c>
      <c r="H83" s="108">
        <f>INDEX(Model!$AP$34:$AP$37,MATCH($J83,Model!$AN$34:$AN$37,0))</f>
        <v>0.71950000000000003</v>
      </c>
      <c r="I83" s="129">
        <f t="shared" si="34"/>
        <v>919235.41384615377</v>
      </c>
      <c r="J83" s="109" t="s">
        <v>25</v>
      </c>
      <c r="K83" s="119">
        <f>INDEX(Model!$AP$38:$AP$41,MATCH($J83,Model!$AN$34:$AN$37,0))</f>
        <v>141.02045602481141</v>
      </c>
      <c r="L83" s="133">
        <f>K83*I83</f>
        <v>129630997.25474085</v>
      </c>
      <c r="M83" s="131">
        <f>'Example calcs 2000'!N83*0.95</f>
        <v>0</v>
      </c>
      <c r="N83" s="129">
        <f t="shared" si="35"/>
        <v>20246263.065694302</v>
      </c>
      <c r="O83" s="131">
        <f t="shared" si="36"/>
        <v>4.0757259630805254E-9</v>
      </c>
      <c r="P83" s="131">
        <f t="shared" si="37"/>
        <v>8.2518220032208586E-2</v>
      </c>
      <c r="Q83" s="119" t="s">
        <v>33</v>
      </c>
      <c r="R83" s="52">
        <f t="shared" si="38"/>
        <v>0</v>
      </c>
      <c r="S83" s="119">
        <f>INDEX(Model!$AP$55:$AP$119,MATCH($Q83,Model!$AN$55:$AN$119,0)+MATCH(Model!$AL$117,Model!$AL$55:$AL$119,0)-1)</f>
        <v>0.309</v>
      </c>
      <c r="T83" s="133">
        <f t="shared" si="39"/>
        <v>2.5498129989952451E-2</v>
      </c>
      <c r="U83" s="131">
        <f>'Example calcs 2000'!S83*0.8</f>
        <v>0</v>
      </c>
      <c r="V83" s="129">
        <f t="shared" si="40"/>
        <v>2.5498129989952451E-2</v>
      </c>
      <c r="W83" s="131">
        <f t="shared" si="41"/>
        <v>0.95811694694105154</v>
      </c>
      <c r="X83" s="131">
        <f t="shared" si="30"/>
        <v>2.4430190458679307E-2</v>
      </c>
      <c r="Y83" s="109" t="s">
        <v>35</v>
      </c>
      <c r="Z83" s="52">
        <f t="shared" si="42"/>
        <v>0</v>
      </c>
      <c r="AA83" s="109">
        <f>Model!$AO$148</f>
        <v>1</v>
      </c>
      <c r="AB83" s="109"/>
      <c r="AC83" s="133">
        <f>X83*AA83</f>
        <v>2.4430190458679307E-2</v>
      </c>
      <c r="AD83" s="131">
        <f>'Example calcs 2000'!Y83*0.8</f>
        <v>0</v>
      </c>
      <c r="AE83" s="129">
        <f t="shared" si="43"/>
        <v>2.4430190458679307E-2</v>
      </c>
      <c r="AF83" s="131">
        <f t="shared" si="44"/>
        <v>0.95777996621220318</v>
      </c>
      <c r="AG83" s="131">
        <f t="shared" si="31"/>
        <v>2.3398746992071555E-2</v>
      </c>
      <c r="AH83" s="109" t="s">
        <v>65</v>
      </c>
      <c r="AI83" s="52">
        <f t="shared" si="45"/>
        <v>1</v>
      </c>
      <c r="AJ83" s="109"/>
      <c r="AK83" s="109">
        <f>Model!$AO$205</f>
        <v>1.111</v>
      </c>
      <c r="AL83" s="120">
        <f t="shared" si="46"/>
        <v>0</v>
      </c>
      <c r="AM83" s="109">
        <f t="shared" si="47"/>
        <v>2.5996007908191496E-2</v>
      </c>
    </row>
    <row r="84" spans="3:39" s="101" customFormat="1" x14ac:dyDescent="0.25">
      <c r="C84" s="150">
        <f>Model!$AP$13</f>
        <v>3321768</v>
      </c>
      <c r="D84" s="54">
        <f>Model!$AP$16</f>
        <v>0.38461538461538458</v>
      </c>
      <c r="E84" s="151">
        <f t="shared" si="32"/>
        <v>1277603.0769230768</v>
      </c>
      <c r="F84" s="54">
        <f>Model!$AP$29</f>
        <v>1</v>
      </c>
      <c r="G84" s="151">
        <f t="shared" si="33"/>
        <v>1277603.0769230768</v>
      </c>
      <c r="H84" s="108">
        <f>INDEX(Model!$AP$34:$AP$37,MATCH($J84,Model!$AN$34:$AN$37,0))</f>
        <v>0.71950000000000003</v>
      </c>
      <c r="I84" s="129">
        <f t="shared" si="34"/>
        <v>919235.41384615377</v>
      </c>
      <c r="J84" s="109" t="s">
        <v>25</v>
      </c>
      <c r="K84" s="119">
        <f>INDEX(Model!$AP$38:$AP$41,MATCH($J84,Model!$AN$34:$AN$37,0))</f>
        <v>141.02045602481141</v>
      </c>
      <c r="L84" s="133">
        <f>K84*I84</f>
        <v>129630997.25474085</v>
      </c>
      <c r="M84" s="131">
        <f>'Example calcs 2000'!N84*0.95</f>
        <v>91117483.579475775</v>
      </c>
      <c r="N84" s="129">
        <f t="shared" si="35"/>
        <v>20246263.065694302</v>
      </c>
      <c r="O84" s="131" t="str">
        <f t="shared" si="36"/>
        <v/>
      </c>
      <c r="P84" s="131">
        <f t="shared" si="37"/>
        <v>91117483.579475775</v>
      </c>
      <c r="Q84" s="119" t="s">
        <v>29</v>
      </c>
      <c r="R84" s="52">
        <f t="shared" si="38"/>
        <v>1</v>
      </c>
      <c r="S84" s="119">
        <f>INDEX(Model!$AP$55:$AP$119,MATCH($Q84,Model!$AN$55:$AN$119,0)+MATCH(Model!$AL$117,Model!$AL$55:$AL$119,0)-1)</f>
        <v>0.63300000000000001</v>
      </c>
      <c r="T84" s="133">
        <f t="shared" si="39"/>
        <v>57677367.105808169</v>
      </c>
      <c r="U84" s="131">
        <f>'Example calcs 2000'!S84*0.8</f>
        <v>291422.48642934655</v>
      </c>
      <c r="V84" s="129">
        <f t="shared" si="40"/>
        <v>9106952.7009170726</v>
      </c>
      <c r="W84" s="131">
        <f t="shared" si="41"/>
        <v>4.1883053058948572E-2</v>
      </c>
      <c r="X84" s="131">
        <f t="shared" si="30"/>
        <v>672849.46960719128</v>
      </c>
      <c r="Y84" s="109" t="s">
        <v>34</v>
      </c>
      <c r="Z84" s="52">
        <f t="shared" si="42"/>
        <v>1</v>
      </c>
      <c r="AA84" s="109"/>
      <c r="AB84" s="109">
        <f>Model!$AO$138</f>
        <v>1</v>
      </c>
      <c r="AC84" s="133"/>
      <c r="AD84" s="131">
        <f>'Example calcs 2000'!Y84*0.8</f>
        <v>0</v>
      </c>
      <c r="AE84" s="129">
        <f t="shared" si="43"/>
        <v>0</v>
      </c>
      <c r="AF84" s="131" t="str">
        <f t="shared" si="44"/>
        <v/>
      </c>
      <c r="AG84" s="131">
        <f t="shared" si="31"/>
        <v>0</v>
      </c>
      <c r="AH84" s="109"/>
      <c r="AI84" s="52">
        <f t="shared" si="45"/>
        <v>1</v>
      </c>
      <c r="AJ84" s="109"/>
      <c r="AK84" s="109"/>
      <c r="AL84" s="120">
        <f t="shared" si="46"/>
        <v>672849.46960719128</v>
      </c>
      <c r="AM84" s="109">
        <f t="shared" si="47"/>
        <v>0</v>
      </c>
    </row>
    <row r="85" spans="3:39" s="101" customFormat="1" x14ac:dyDescent="0.25">
      <c r="C85" s="150">
        <f>Model!$AP$13</f>
        <v>3321768</v>
      </c>
      <c r="D85" s="54">
        <f>Model!$AP$16</f>
        <v>0.38461538461538458</v>
      </c>
      <c r="E85" s="151">
        <f t="shared" si="32"/>
        <v>1277603.0769230768</v>
      </c>
      <c r="F85" s="54">
        <f>Model!$AP$29</f>
        <v>1</v>
      </c>
      <c r="G85" s="151">
        <f t="shared" si="33"/>
        <v>1277603.0769230768</v>
      </c>
      <c r="H85" s="108">
        <f>INDEX(Model!$AP$34:$AP$37,MATCH($J85,Model!$AN$34:$AN$37,0))</f>
        <v>0.71950000000000003</v>
      </c>
      <c r="I85" s="129">
        <f t="shared" si="34"/>
        <v>919235.41384615377</v>
      </c>
      <c r="J85" s="109" t="s">
        <v>25</v>
      </c>
      <c r="K85" s="119">
        <f>INDEX(Model!$AP$38:$AP$41,MATCH($J85,Model!$AN$34:$AN$37,0))</f>
        <v>141.02045602481141</v>
      </c>
      <c r="L85" s="133">
        <f>K85*I85</f>
        <v>129630997.25474085</v>
      </c>
      <c r="M85" s="131">
        <f>'Example calcs 2000'!N85*0.95</f>
        <v>91117483.579475775</v>
      </c>
      <c r="N85" s="129">
        <f t="shared" si="35"/>
        <v>20246263.065694302</v>
      </c>
      <c r="O85" s="131" t="str">
        <f t="shared" si="36"/>
        <v/>
      </c>
      <c r="P85" s="131">
        <f t="shared" si="37"/>
        <v>91117483.579475775</v>
      </c>
      <c r="Q85" s="119" t="s">
        <v>29</v>
      </c>
      <c r="R85" s="52">
        <f t="shared" si="38"/>
        <v>0</v>
      </c>
      <c r="S85" s="119">
        <f>INDEX(Model!$AP$55:$AP$119,MATCH($Q85,Model!$AN$55:$AN$119,0)+MATCH(Model!$AL$117,Model!$AL$55:$AL$119,0)-1)</f>
        <v>0.63300000000000001</v>
      </c>
      <c r="T85" s="133">
        <f t="shared" si="39"/>
        <v>57677367.105808169</v>
      </c>
      <c r="U85" s="131">
        <f>'Example calcs 2000'!S85*0.8</f>
        <v>48278991.918461747</v>
      </c>
      <c r="V85" s="129">
        <f t="shared" si="40"/>
        <v>9106952.7009170726</v>
      </c>
      <c r="W85" s="131">
        <f t="shared" si="41"/>
        <v>0.95811694694105154</v>
      </c>
      <c r="X85" s="131">
        <f t="shared" si="30"/>
        <v>57004517.636200979</v>
      </c>
      <c r="Y85" s="109" t="s">
        <v>35</v>
      </c>
      <c r="Z85" s="52">
        <f t="shared" si="42"/>
        <v>1</v>
      </c>
      <c r="AA85" s="109">
        <f>Model!$AO$148</f>
        <v>1</v>
      </c>
      <c r="AB85" s="109"/>
      <c r="AC85" s="133">
        <f>X85*AA85</f>
        <v>57004517.636200979</v>
      </c>
      <c r="AD85" s="131">
        <f>'Example calcs 2000'!Y85*0.8</f>
        <v>482789.91918461752</v>
      </c>
      <c r="AE85" s="129">
        <f t="shared" si="43"/>
        <v>8725525.7177392319</v>
      </c>
      <c r="AF85" s="131">
        <f t="shared" si="44"/>
        <v>4.2219505916481506E-2</v>
      </c>
      <c r="AG85" s="131">
        <f t="shared" si="31"/>
        <v>851177.30384912062</v>
      </c>
      <c r="AH85" s="109" t="s">
        <v>66</v>
      </c>
      <c r="AI85" s="52">
        <f t="shared" si="45"/>
        <v>1</v>
      </c>
      <c r="AJ85" s="109">
        <f>Model!$AO$179</f>
        <v>0.52600000000000002</v>
      </c>
      <c r="AK85" s="109"/>
      <c r="AL85" s="120">
        <f t="shared" si="46"/>
        <v>447719.26182463748</v>
      </c>
      <c r="AM85" s="109">
        <f t="shared" si="47"/>
        <v>0</v>
      </c>
    </row>
    <row r="86" spans="3:39" s="101" customFormat="1" x14ac:dyDescent="0.25">
      <c r="C86" s="150">
        <f>Model!$AP$13</f>
        <v>3321768</v>
      </c>
      <c r="D86" s="54">
        <f>Model!$AP$16</f>
        <v>0.38461538461538458</v>
      </c>
      <c r="E86" s="151">
        <f t="shared" si="32"/>
        <v>1277603.0769230768</v>
      </c>
      <c r="F86" s="54">
        <f>Model!$AP$29</f>
        <v>1</v>
      </c>
      <c r="G86" s="151">
        <f t="shared" si="33"/>
        <v>1277603.0769230768</v>
      </c>
      <c r="H86" s="108">
        <f>INDEX(Model!$AP$34:$AP$37,MATCH($J86,Model!$AN$34:$AN$37,0))</f>
        <v>0.71950000000000003</v>
      </c>
      <c r="I86" s="129">
        <f t="shared" si="34"/>
        <v>919235.41384615377</v>
      </c>
      <c r="J86" s="109" t="s">
        <v>25</v>
      </c>
      <c r="K86" s="119">
        <f>INDEX(Model!$AP$38:$AP$41,MATCH($J86,Model!$AN$34:$AN$37,0))</f>
        <v>141.02045602481141</v>
      </c>
      <c r="L86" s="133">
        <f>K86*I86</f>
        <v>129630997.25474085</v>
      </c>
      <c r="M86" s="131">
        <f>'Example calcs 2000'!N86*0.95</f>
        <v>91117483.579475775</v>
      </c>
      <c r="N86" s="129">
        <f t="shared" si="35"/>
        <v>20246263.065694302</v>
      </c>
      <c r="O86" s="131" t="str">
        <f t="shared" si="36"/>
        <v/>
      </c>
      <c r="P86" s="131">
        <f t="shared" si="37"/>
        <v>91117483.579475775</v>
      </c>
      <c r="Q86" s="119" t="s">
        <v>29</v>
      </c>
      <c r="R86" s="52">
        <f t="shared" si="38"/>
        <v>0</v>
      </c>
      <c r="S86" s="119">
        <f>INDEX(Model!$AP$55:$AP$119,MATCH($Q86,Model!$AN$55:$AN$119,0)+MATCH(Model!$AL$117,Model!$AL$55:$AL$119,0)-1)</f>
        <v>0.63300000000000001</v>
      </c>
      <c r="T86" s="133">
        <f t="shared" si="39"/>
        <v>57677367.105808169</v>
      </c>
      <c r="U86" s="131">
        <f>'Example calcs 2000'!S86*0.8</f>
        <v>48278991.918461747</v>
      </c>
      <c r="V86" s="129">
        <f t="shared" si="40"/>
        <v>9106952.7009170726</v>
      </c>
      <c r="W86" s="131">
        <f t="shared" si="41"/>
        <v>0.95811694694105154</v>
      </c>
      <c r="X86" s="131">
        <f t="shared" si="30"/>
        <v>57004517.636200979</v>
      </c>
      <c r="Y86" s="109" t="s">
        <v>35</v>
      </c>
      <c r="Z86" s="52">
        <f t="shared" si="42"/>
        <v>0</v>
      </c>
      <c r="AA86" s="109">
        <f>Model!$AO$148</f>
        <v>1</v>
      </c>
      <c r="AB86" s="109"/>
      <c r="AC86" s="133">
        <f>X86*AA86</f>
        <v>57004517.636200979</v>
      </c>
      <c r="AD86" s="131">
        <f>'Example calcs 2000'!Y86*0.8</f>
        <v>0</v>
      </c>
      <c r="AE86" s="129">
        <f t="shared" si="43"/>
        <v>8725525.7177392319</v>
      </c>
      <c r="AF86" s="131">
        <f t="shared" si="44"/>
        <v>5.2787131529516608E-7</v>
      </c>
      <c r="AG86" s="131">
        <f t="shared" si="31"/>
        <v>4.6059547372648062</v>
      </c>
      <c r="AH86" s="109" t="s">
        <v>139</v>
      </c>
      <c r="AI86" s="52">
        <f t="shared" si="45"/>
        <v>1</v>
      </c>
      <c r="AJ86" s="109">
        <f>Model!$AO$192</f>
        <v>0.4</v>
      </c>
      <c r="AK86" s="109"/>
      <c r="AL86" s="120">
        <f t="shared" si="46"/>
        <v>1.8423818949059225</v>
      </c>
      <c r="AM86" s="109">
        <f t="shared" si="47"/>
        <v>0</v>
      </c>
    </row>
    <row r="87" spans="3:39" s="101" customFormat="1" x14ac:dyDescent="0.25">
      <c r="C87" s="150">
        <f>Model!$AP$13</f>
        <v>3321768</v>
      </c>
      <c r="D87" s="54">
        <f>Model!$AP$16</f>
        <v>0.38461538461538458</v>
      </c>
      <c r="E87" s="151">
        <f t="shared" si="32"/>
        <v>1277603.0769230768</v>
      </c>
      <c r="F87" s="54">
        <f>Model!$AP$29</f>
        <v>1</v>
      </c>
      <c r="G87" s="151">
        <f t="shared" si="33"/>
        <v>1277603.0769230768</v>
      </c>
      <c r="H87" s="108">
        <f>INDEX(Model!$AP$34:$AP$37,MATCH($J87,Model!$AN$34:$AN$37,0))</f>
        <v>0.71950000000000003</v>
      </c>
      <c r="I87" s="129">
        <f t="shared" si="34"/>
        <v>919235.41384615377</v>
      </c>
      <c r="J87" s="109" t="s">
        <v>25</v>
      </c>
      <c r="K87" s="119">
        <f>INDEX(Model!$AP$38:$AP$41,MATCH($J87,Model!$AN$34:$AN$37,0))</f>
        <v>141.02045602481141</v>
      </c>
      <c r="L87" s="133">
        <f>K87*I87</f>
        <v>129630997.25474085</v>
      </c>
      <c r="M87" s="131">
        <f>'Example calcs 2000'!N87*0.95</f>
        <v>91117483.579475775</v>
      </c>
      <c r="N87" s="129">
        <f t="shared" si="35"/>
        <v>20246263.065694302</v>
      </c>
      <c r="O87" s="131" t="str">
        <f t="shared" si="36"/>
        <v/>
      </c>
      <c r="P87" s="131">
        <f t="shared" si="37"/>
        <v>91117483.579475775</v>
      </c>
      <c r="Q87" s="119" t="s">
        <v>29</v>
      </c>
      <c r="R87" s="52">
        <f t="shared" si="38"/>
        <v>0</v>
      </c>
      <c r="S87" s="119">
        <f>INDEX(Model!$AP$55:$AP$119,MATCH($Q87,Model!$AN$55:$AN$119,0)+MATCH(Model!$AL$117,Model!$AL$55:$AL$119,0)-1)</f>
        <v>0.63300000000000001</v>
      </c>
      <c r="T87" s="133">
        <f t="shared" si="39"/>
        <v>57677367.105808169</v>
      </c>
      <c r="U87" s="131">
        <f>'Example calcs 2000'!S87*0.8</f>
        <v>48278991.918461747</v>
      </c>
      <c r="V87" s="129">
        <f t="shared" si="40"/>
        <v>9106952.7009170726</v>
      </c>
      <c r="W87" s="131">
        <f t="shared" si="41"/>
        <v>0.95811694694105154</v>
      </c>
      <c r="X87" s="131">
        <f t="shared" si="30"/>
        <v>57004517.636200979</v>
      </c>
      <c r="Y87" s="109" t="s">
        <v>35</v>
      </c>
      <c r="Z87" s="52">
        <f t="shared" si="42"/>
        <v>0</v>
      </c>
      <c r="AA87" s="109">
        <f>Model!$AO$148</f>
        <v>1</v>
      </c>
      <c r="AB87" s="109"/>
      <c r="AC87" s="133">
        <f>X87*AA87</f>
        <v>57004517.636200979</v>
      </c>
      <c r="AD87" s="131">
        <f>'Example calcs 2000'!Y87*0.8</f>
        <v>45382252.403354041</v>
      </c>
      <c r="AE87" s="129">
        <f t="shared" si="43"/>
        <v>8725525.7177392319</v>
      </c>
      <c r="AF87" s="131" t="str">
        <f t="shared" si="44"/>
        <v/>
      </c>
      <c r="AG87" s="131">
        <f t="shared" si="31"/>
        <v>45382252.403354041</v>
      </c>
      <c r="AH87" s="109" t="s">
        <v>64</v>
      </c>
      <c r="AI87" s="52">
        <f t="shared" si="45"/>
        <v>1</v>
      </c>
      <c r="AJ87" s="109"/>
      <c r="AK87" s="109">
        <f>Model!$AO$165</f>
        <v>1.613</v>
      </c>
      <c r="AL87" s="120">
        <f t="shared" si="46"/>
        <v>0</v>
      </c>
      <c r="AM87" s="109">
        <f t="shared" si="47"/>
        <v>73201573.12661007</v>
      </c>
    </row>
    <row r="88" spans="3:39" s="101" customFormat="1" x14ac:dyDescent="0.25">
      <c r="C88" s="150">
        <f>Model!$AP$13</f>
        <v>3321768</v>
      </c>
      <c r="D88" s="54">
        <f>Model!$AP$16</f>
        <v>0.38461538461538458</v>
      </c>
      <c r="E88" s="151">
        <f t="shared" si="32"/>
        <v>1277603.0769230768</v>
      </c>
      <c r="F88" s="54">
        <f>Model!$AP$29</f>
        <v>1</v>
      </c>
      <c r="G88" s="151">
        <f t="shared" si="33"/>
        <v>1277603.0769230768</v>
      </c>
      <c r="H88" s="108">
        <f>INDEX(Model!$AP$34:$AP$37,MATCH($J88,Model!$AN$34:$AN$37,0))</f>
        <v>0.71950000000000003</v>
      </c>
      <c r="I88" s="129">
        <f t="shared" si="34"/>
        <v>919235.41384615377</v>
      </c>
      <c r="J88" s="109" t="s">
        <v>25</v>
      </c>
      <c r="K88" s="119">
        <f>INDEX(Model!$AP$38:$AP$41,MATCH($J88,Model!$AN$34:$AN$37,0))</f>
        <v>141.02045602481141</v>
      </c>
      <c r="L88" s="133">
        <f>K88*I88</f>
        <v>129630997.25474085</v>
      </c>
      <c r="M88" s="131">
        <f>'Example calcs 2000'!N88*0.95</f>
        <v>91117483.579475775</v>
      </c>
      <c r="N88" s="129">
        <f t="shared" si="35"/>
        <v>20246263.065694302</v>
      </c>
      <c r="O88" s="131" t="str">
        <f t="shared" si="36"/>
        <v/>
      </c>
      <c r="P88" s="131">
        <f t="shared" si="37"/>
        <v>91117483.579475775</v>
      </c>
      <c r="Q88" s="119" t="s">
        <v>29</v>
      </c>
      <c r="R88" s="52">
        <f t="shared" si="38"/>
        <v>0</v>
      </c>
      <c r="S88" s="119">
        <f>INDEX(Model!$AP$55:$AP$119,MATCH($Q88,Model!$AN$55:$AN$119,0)+MATCH(Model!$AL$117,Model!$AL$55:$AL$119,0)-1)</f>
        <v>0.63300000000000001</v>
      </c>
      <c r="T88" s="133">
        <f t="shared" si="39"/>
        <v>57677367.105808169</v>
      </c>
      <c r="U88" s="131">
        <f>'Example calcs 2000'!S88*0.8</f>
        <v>48278991.918461747</v>
      </c>
      <c r="V88" s="129">
        <f t="shared" si="40"/>
        <v>9106952.7009170726</v>
      </c>
      <c r="W88" s="131">
        <f t="shared" si="41"/>
        <v>0.95811694694105154</v>
      </c>
      <c r="X88" s="131">
        <f t="shared" si="30"/>
        <v>57004517.636200979</v>
      </c>
      <c r="Y88" s="109" t="s">
        <v>35</v>
      </c>
      <c r="Z88" s="52">
        <f t="shared" si="42"/>
        <v>0</v>
      </c>
      <c r="AA88" s="109">
        <f>Model!$AO$148</f>
        <v>1</v>
      </c>
      <c r="AB88" s="109"/>
      <c r="AC88" s="133">
        <f>X88*AA88</f>
        <v>57004517.636200979</v>
      </c>
      <c r="AD88" s="131">
        <f>'Example calcs 2000'!Y88*0.8</f>
        <v>2413949.5959230876</v>
      </c>
      <c r="AE88" s="129">
        <f t="shared" si="43"/>
        <v>8725525.7177392319</v>
      </c>
      <c r="AF88" s="131">
        <f t="shared" si="44"/>
        <v>0.95777996621220318</v>
      </c>
      <c r="AG88" s="131">
        <f t="shared" si="31"/>
        <v>10771083.323043078</v>
      </c>
      <c r="AH88" s="109" t="s">
        <v>65</v>
      </c>
      <c r="AI88" s="52">
        <f t="shared" si="45"/>
        <v>1</v>
      </c>
      <c r="AJ88" s="109"/>
      <c r="AK88" s="109">
        <f>Model!$AO$205</f>
        <v>1.111</v>
      </c>
      <c r="AL88" s="120">
        <f t="shared" si="46"/>
        <v>0</v>
      </c>
      <c r="AM88" s="109">
        <f t="shared" si="47"/>
        <v>11966673.571900859</v>
      </c>
    </row>
    <row r="89" spans="3:39" s="101" customFormat="1" x14ac:dyDescent="0.25">
      <c r="C89" s="150">
        <f>Model!$AP$13</f>
        <v>3321768</v>
      </c>
      <c r="D89" s="54">
        <f>Model!$AP$16</f>
        <v>0.38461538461538458</v>
      </c>
      <c r="E89" s="151">
        <f t="shared" si="32"/>
        <v>1277603.0769230768</v>
      </c>
      <c r="F89" s="54">
        <f>Model!$AP$29</f>
        <v>1</v>
      </c>
      <c r="G89" s="151">
        <f t="shared" si="33"/>
        <v>1277603.0769230768</v>
      </c>
      <c r="H89" s="108">
        <f>INDEX(Model!$AP$34:$AP$37,MATCH($J89,Model!$AN$34:$AN$37,0))</f>
        <v>0.71950000000000003</v>
      </c>
      <c r="I89" s="129">
        <f t="shared" si="34"/>
        <v>919235.41384615377</v>
      </c>
      <c r="J89" s="109" t="s">
        <v>25</v>
      </c>
      <c r="K89" s="119">
        <f>INDEX(Model!$AP$38:$AP$41,MATCH($J89,Model!$AN$34:$AN$37,0))</f>
        <v>141.02045602481141</v>
      </c>
      <c r="L89" s="133">
        <f>K89*I89</f>
        <v>129630997.25474085</v>
      </c>
      <c r="M89" s="131">
        <f>'Example calcs 2000'!N89*0.95</f>
        <v>18267250.609570775</v>
      </c>
      <c r="N89" s="129">
        <f t="shared" si="35"/>
        <v>20246263.065694302</v>
      </c>
      <c r="O89" s="131" t="str">
        <f t="shared" si="36"/>
        <v/>
      </c>
      <c r="P89" s="131">
        <f t="shared" si="37"/>
        <v>18267250.609570775</v>
      </c>
      <c r="Q89" s="119" t="s">
        <v>30</v>
      </c>
      <c r="R89" s="52">
        <f t="shared" si="38"/>
        <v>1</v>
      </c>
      <c r="S89" s="119">
        <f>INDEX(Model!$AP$55:$AP$119,MATCH($Q89,Model!$AN$55:$AN$119,0)+MATCH(Model!$AL$117,Model!$AL$55:$AL$119,0)-1)</f>
        <v>0.997</v>
      </c>
      <c r="T89" s="133">
        <f t="shared" si="39"/>
        <v>18212448.857742064</v>
      </c>
      <c r="U89" s="131">
        <f>'Example calcs 2000'!S89*0.8</f>
        <v>92020.794228591491</v>
      </c>
      <c r="V89" s="129">
        <f t="shared" si="40"/>
        <v>2875649.8196434844</v>
      </c>
      <c r="W89" s="131">
        <f t="shared" si="41"/>
        <v>4.1883053058948572E-2</v>
      </c>
      <c r="X89" s="131">
        <f t="shared" si="30"/>
        <v>212461.78820367545</v>
      </c>
      <c r="Y89" s="109" t="s">
        <v>34</v>
      </c>
      <c r="Z89" s="52">
        <f t="shared" si="42"/>
        <v>1</v>
      </c>
      <c r="AA89" s="109"/>
      <c r="AB89" s="109">
        <f>Model!$AO$138</f>
        <v>1</v>
      </c>
      <c r="AC89" s="133"/>
      <c r="AD89" s="131">
        <f>'Example calcs 2000'!Y89*0.8</f>
        <v>0</v>
      </c>
      <c r="AE89" s="129">
        <f t="shared" si="43"/>
        <v>0</v>
      </c>
      <c r="AF89" s="131" t="str">
        <f t="shared" si="44"/>
        <v/>
      </c>
      <c r="AG89" s="131">
        <f t="shared" si="31"/>
        <v>0</v>
      </c>
      <c r="AH89" s="109"/>
      <c r="AI89" s="52">
        <f t="shared" si="45"/>
        <v>1</v>
      </c>
      <c r="AJ89" s="109"/>
      <c r="AK89" s="109"/>
      <c r="AL89" s="120">
        <f t="shared" si="46"/>
        <v>212461.78820367545</v>
      </c>
      <c r="AM89" s="109">
        <f t="shared" si="47"/>
        <v>0</v>
      </c>
    </row>
    <row r="90" spans="3:39" s="101" customFormat="1" x14ac:dyDescent="0.25">
      <c r="C90" s="150">
        <f>Model!$AP$13</f>
        <v>3321768</v>
      </c>
      <c r="D90" s="54">
        <f>Model!$AP$16</f>
        <v>0.38461538461538458</v>
      </c>
      <c r="E90" s="151">
        <f t="shared" si="32"/>
        <v>1277603.0769230768</v>
      </c>
      <c r="F90" s="54">
        <f>Model!$AP$29</f>
        <v>1</v>
      </c>
      <c r="G90" s="151">
        <f t="shared" si="33"/>
        <v>1277603.0769230768</v>
      </c>
      <c r="H90" s="108">
        <f>INDEX(Model!$AP$34:$AP$37,MATCH($J90,Model!$AN$34:$AN$37,0))</f>
        <v>0.71950000000000003</v>
      </c>
      <c r="I90" s="129">
        <f t="shared" si="34"/>
        <v>919235.41384615377</v>
      </c>
      <c r="J90" s="109" t="s">
        <v>25</v>
      </c>
      <c r="K90" s="119">
        <f>INDEX(Model!$AP$38:$AP$41,MATCH($J90,Model!$AN$34:$AN$37,0))</f>
        <v>141.02045602481141</v>
      </c>
      <c r="L90" s="133">
        <f>K90*I90</f>
        <v>129630997.25474085</v>
      </c>
      <c r="M90" s="131">
        <f>'Example calcs 2000'!N90*0.95</f>
        <v>18267250.609570775</v>
      </c>
      <c r="N90" s="129">
        <f t="shared" si="35"/>
        <v>20246263.065694302</v>
      </c>
      <c r="O90" s="131" t="str">
        <f t="shared" si="36"/>
        <v/>
      </c>
      <c r="P90" s="131">
        <f t="shared" si="37"/>
        <v>18267250.609570775</v>
      </c>
      <c r="Q90" s="119" t="s">
        <v>30</v>
      </c>
      <c r="R90" s="52">
        <f t="shared" si="38"/>
        <v>0</v>
      </c>
      <c r="S90" s="119">
        <f>INDEX(Model!$AP$55:$AP$119,MATCH($Q90,Model!$AN$55:$AN$119,0)+MATCH(Model!$AL$117,Model!$AL$55:$AL$119,0)-1)</f>
        <v>0.997</v>
      </c>
      <c r="T90" s="133">
        <f t="shared" si="39"/>
        <v>18212448.857742064</v>
      </c>
      <c r="U90" s="131">
        <f>'Example calcs 2000'!S90*0.8</f>
        <v>15244778.243869988</v>
      </c>
      <c r="V90" s="129">
        <f t="shared" si="40"/>
        <v>2875649.8196434844</v>
      </c>
      <c r="W90" s="131">
        <f t="shared" si="41"/>
        <v>0.95811694694105154</v>
      </c>
      <c r="X90" s="131">
        <f t="shared" si="30"/>
        <v>17999987.069538388</v>
      </c>
      <c r="Y90" s="109" t="s">
        <v>35</v>
      </c>
      <c r="Z90" s="52">
        <f t="shared" si="42"/>
        <v>1</v>
      </c>
      <c r="AA90" s="109">
        <f>Model!$AO$148</f>
        <v>1</v>
      </c>
      <c r="AB90" s="109"/>
      <c r="AC90" s="133">
        <f>X90*AA90</f>
        <v>17999987.069538388</v>
      </c>
      <c r="AD90" s="131">
        <f>'Example calcs 2000'!Y90*0.8</f>
        <v>152447.78243869988</v>
      </c>
      <c r="AE90" s="129">
        <f t="shared" si="43"/>
        <v>2755208.825668402</v>
      </c>
      <c r="AF90" s="131">
        <f t="shared" si="44"/>
        <v>4.2219505916481506E-2</v>
      </c>
      <c r="AG90" s="131">
        <f t="shared" si="31"/>
        <v>268771.33775514906</v>
      </c>
      <c r="AH90" s="109" t="s">
        <v>66</v>
      </c>
      <c r="AI90" s="52">
        <f t="shared" si="45"/>
        <v>1</v>
      </c>
      <c r="AJ90" s="109">
        <f>Model!$AO$179</f>
        <v>0.52600000000000002</v>
      </c>
      <c r="AK90" s="109"/>
      <c r="AL90" s="120">
        <f t="shared" si="46"/>
        <v>141373.72365920842</v>
      </c>
      <c r="AM90" s="109">
        <f t="shared" si="47"/>
        <v>0</v>
      </c>
    </row>
    <row r="91" spans="3:39" s="101" customFormat="1" x14ac:dyDescent="0.25">
      <c r="C91" s="150">
        <f>Model!$AP$13</f>
        <v>3321768</v>
      </c>
      <c r="D91" s="54">
        <f>Model!$AP$16</f>
        <v>0.38461538461538458</v>
      </c>
      <c r="E91" s="151">
        <f t="shared" si="32"/>
        <v>1277603.0769230768</v>
      </c>
      <c r="F91" s="54">
        <f>Model!$AP$29</f>
        <v>1</v>
      </c>
      <c r="G91" s="151">
        <f t="shared" si="33"/>
        <v>1277603.0769230768</v>
      </c>
      <c r="H91" s="108">
        <f>INDEX(Model!$AP$34:$AP$37,MATCH($J91,Model!$AN$34:$AN$37,0))</f>
        <v>0.71950000000000003</v>
      </c>
      <c r="I91" s="129">
        <f t="shared" si="34"/>
        <v>919235.41384615377</v>
      </c>
      <c r="J91" s="109" t="s">
        <v>25</v>
      </c>
      <c r="K91" s="119">
        <f>INDEX(Model!$AP$38:$AP$41,MATCH($J91,Model!$AN$34:$AN$37,0))</f>
        <v>141.02045602481141</v>
      </c>
      <c r="L91" s="133">
        <f>K91*I91</f>
        <v>129630997.25474085</v>
      </c>
      <c r="M91" s="131">
        <f>'Example calcs 2000'!N91*0.95</f>
        <v>18267250.609570775</v>
      </c>
      <c r="N91" s="129">
        <f t="shared" si="35"/>
        <v>20246263.065694302</v>
      </c>
      <c r="O91" s="131" t="str">
        <f t="shared" si="36"/>
        <v/>
      </c>
      <c r="P91" s="131">
        <f t="shared" si="37"/>
        <v>18267250.609570775</v>
      </c>
      <c r="Q91" s="119" t="s">
        <v>30</v>
      </c>
      <c r="R91" s="52">
        <f t="shared" si="38"/>
        <v>0</v>
      </c>
      <c r="S91" s="119">
        <f>INDEX(Model!$AP$55:$AP$119,MATCH($Q91,Model!$AN$55:$AN$119,0)+MATCH(Model!$AL$117,Model!$AL$55:$AL$119,0)-1)</f>
        <v>0.997</v>
      </c>
      <c r="T91" s="133">
        <f t="shared" si="39"/>
        <v>18212448.857742064</v>
      </c>
      <c r="U91" s="131">
        <f>'Example calcs 2000'!S91*0.8</f>
        <v>15244778.243869988</v>
      </c>
      <c r="V91" s="129">
        <f t="shared" si="40"/>
        <v>2875649.8196434844</v>
      </c>
      <c r="W91" s="131">
        <f t="shared" si="41"/>
        <v>0.95811694694105154</v>
      </c>
      <c r="X91" s="131">
        <f t="shared" si="30"/>
        <v>17999987.069538388</v>
      </c>
      <c r="Y91" s="109" t="s">
        <v>35</v>
      </c>
      <c r="Z91" s="52">
        <f t="shared" si="42"/>
        <v>0</v>
      </c>
      <c r="AA91" s="109">
        <f>Model!$AO$148</f>
        <v>1</v>
      </c>
      <c r="AB91" s="109"/>
      <c r="AC91" s="133">
        <f>X91*AA91</f>
        <v>17999987.069538388</v>
      </c>
      <c r="AD91" s="131">
        <f>'Example calcs 2000'!Y91*0.8</f>
        <v>0</v>
      </c>
      <c r="AE91" s="129">
        <f t="shared" si="43"/>
        <v>2755208.825668402</v>
      </c>
      <c r="AF91" s="131">
        <f t="shared" si="44"/>
        <v>5.2787131529516608E-7</v>
      </c>
      <c r="AG91" s="131">
        <f t="shared" si="31"/>
        <v>1.4543957067184292</v>
      </c>
      <c r="AH91" s="109" t="s">
        <v>139</v>
      </c>
      <c r="AI91" s="52">
        <f t="shared" si="45"/>
        <v>1</v>
      </c>
      <c r="AJ91" s="109">
        <f>Model!$AO$192</f>
        <v>0.4</v>
      </c>
      <c r="AK91" s="109"/>
      <c r="AL91" s="120">
        <f t="shared" si="46"/>
        <v>0.58175828268737173</v>
      </c>
      <c r="AM91" s="109">
        <f t="shared" si="47"/>
        <v>0</v>
      </c>
    </row>
    <row r="92" spans="3:39" s="101" customFormat="1" x14ac:dyDescent="0.25">
      <c r="C92" s="150">
        <f>Model!$AP$13</f>
        <v>3321768</v>
      </c>
      <c r="D92" s="54">
        <f>Model!$AP$16</f>
        <v>0.38461538461538458</v>
      </c>
      <c r="E92" s="151">
        <f t="shared" si="32"/>
        <v>1277603.0769230768</v>
      </c>
      <c r="F92" s="54">
        <f>Model!$AP$29</f>
        <v>1</v>
      </c>
      <c r="G92" s="151">
        <f t="shared" si="33"/>
        <v>1277603.0769230768</v>
      </c>
      <c r="H92" s="108">
        <f>INDEX(Model!$AP$34:$AP$37,MATCH($J92,Model!$AN$34:$AN$37,0))</f>
        <v>0.71950000000000003</v>
      </c>
      <c r="I92" s="129">
        <f t="shared" si="34"/>
        <v>919235.41384615377</v>
      </c>
      <c r="J92" s="109" t="s">
        <v>25</v>
      </c>
      <c r="K92" s="119">
        <f>INDEX(Model!$AP$38:$AP$41,MATCH($J92,Model!$AN$34:$AN$37,0))</f>
        <v>141.02045602481141</v>
      </c>
      <c r="L92" s="133">
        <f>K92*I92</f>
        <v>129630997.25474085</v>
      </c>
      <c r="M92" s="131">
        <f>'Example calcs 2000'!N92*0.95</f>
        <v>18267250.609570775</v>
      </c>
      <c r="N92" s="129">
        <f t="shared" si="35"/>
        <v>20246263.065694302</v>
      </c>
      <c r="O92" s="131" t="str">
        <f t="shared" si="36"/>
        <v/>
      </c>
      <c r="P92" s="131">
        <f t="shared" si="37"/>
        <v>18267250.609570775</v>
      </c>
      <c r="Q92" s="119" t="s">
        <v>30</v>
      </c>
      <c r="R92" s="52">
        <f t="shared" si="38"/>
        <v>0</v>
      </c>
      <c r="S92" s="119">
        <f>INDEX(Model!$AP$55:$AP$119,MATCH($Q92,Model!$AN$55:$AN$119,0)+MATCH(Model!$AL$117,Model!$AL$55:$AL$119,0)-1)</f>
        <v>0.997</v>
      </c>
      <c r="T92" s="133">
        <f t="shared" si="39"/>
        <v>18212448.857742064</v>
      </c>
      <c r="U92" s="131">
        <f>'Example calcs 2000'!S92*0.8</f>
        <v>15244778.243869988</v>
      </c>
      <c r="V92" s="129">
        <f t="shared" si="40"/>
        <v>2875649.8196434844</v>
      </c>
      <c r="W92" s="131">
        <f t="shared" si="41"/>
        <v>0.95811694694105154</v>
      </c>
      <c r="X92" s="131">
        <f t="shared" si="30"/>
        <v>17999987.069538388</v>
      </c>
      <c r="Y92" s="109" t="s">
        <v>35</v>
      </c>
      <c r="Z92" s="52">
        <f t="shared" si="42"/>
        <v>0</v>
      </c>
      <c r="AA92" s="109">
        <f>Model!$AO$148</f>
        <v>1</v>
      </c>
      <c r="AB92" s="109"/>
      <c r="AC92" s="133">
        <f>X92*AA92</f>
        <v>17999987.069538388</v>
      </c>
      <c r="AD92" s="131">
        <f>'Example calcs 2000'!Y92*0.8</f>
        <v>14330091.549237788</v>
      </c>
      <c r="AE92" s="129">
        <f t="shared" si="43"/>
        <v>2755208.825668402</v>
      </c>
      <c r="AF92" s="131" t="str">
        <f t="shared" si="44"/>
        <v/>
      </c>
      <c r="AG92" s="131">
        <f t="shared" si="31"/>
        <v>14330091.549237788</v>
      </c>
      <c r="AH92" s="109" t="s">
        <v>64</v>
      </c>
      <c r="AI92" s="52">
        <f t="shared" si="45"/>
        <v>1</v>
      </c>
      <c r="AJ92" s="109"/>
      <c r="AK92" s="109">
        <f>Model!$AO$165</f>
        <v>1.613</v>
      </c>
      <c r="AL92" s="120">
        <f t="shared" si="46"/>
        <v>0</v>
      </c>
      <c r="AM92" s="109">
        <f t="shared" si="47"/>
        <v>23114437.66892055</v>
      </c>
    </row>
    <row r="93" spans="3:39" s="101" customFormat="1" x14ac:dyDescent="0.25">
      <c r="C93" s="150">
        <f>Model!$AP$13</f>
        <v>3321768</v>
      </c>
      <c r="D93" s="54">
        <f>Model!$AP$16</f>
        <v>0.38461538461538458</v>
      </c>
      <c r="E93" s="151">
        <f t="shared" si="32"/>
        <v>1277603.0769230768</v>
      </c>
      <c r="F93" s="54">
        <f>Model!$AP$29</f>
        <v>1</v>
      </c>
      <c r="G93" s="151">
        <f t="shared" si="33"/>
        <v>1277603.0769230768</v>
      </c>
      <c r="H93" s="108">
        <f>INDEX(Model!$AP$34:$AP$37,MATCH($J93,Model!$AN$34:$AN$37,0))</f>
        <v>0.71950000000000003</v>
      </c>
      <c r="I93" s="129">
        <f t="shared" si="34"/>
        <v>919235.41384615377</v>
      </c>
      <c r="J93" s="109" t="s">
        <v>25</v>
      </c>
      <c r="K93" s="119">
        <f>INDEX(Model!$AP$38:$AP$41,MATCH($J93,Model!$AN$34:$AN$37,0))</f>
        <v>141.02045602481141</v>
      </c>
      <c r="L93" s="133">
        <f>K93*I93</f>
        <v>129630997.25474085</v>
      </c>
      <c r="M93" s="131">
        <f>'Example calcs 2000'!N93*0.95</f>
        <v>18267250.609570775</v>
      </c>
      <c r="N93" s="129">
        <f t="shared" si="35"/>
        <v>20246263.065694302</v>
      </c>
      <c r="O93" s="131" t="str">
        <f t="shared" si="36"/>
        <v/>
      </c>
      <c r="P93" s="131">
        <f t="shared" si="37"/>
        <v>18267250.609570775</v>
      </c>
      <c r="Q93" s="119" t="s">
        <v>30</v>
      </c>
      <c r="R93" s="52">
        <f t="shared" si="38"/>
        <v>0</v>
      </c>
      <c r="S93" s="119">
        <f>INDEX(Model!$AP$55:$AP$119,MATCH($Q93,Model!$AN$55:$AN$119,0)+MATCH(Model!$AL$117,Model!$AL$55:$AL$119,0)-1)</f>
        <v>0.997</v>
      </c>
      <c r="T93" s="133">
        <f t="shared" si="39"/>
        <v>18212448.857742064</v>
      </c>
      <c r="U93" s="131">
        <f>'Example calcs 2000'!S93*0.8</f>
        <v>15244778.243869988</v>
      </c>
      <c r="V93" s="129">
        <f t="shared" si="40"/>
        <v>2875649.8196434844</v>
      </c>
      <c r="W93" s="131">
        <f t="shared" si="41"/>
        <v>0.95811694694105154</v>
      </c>
      <c r="X93" s="131">
        <f t="shared" si="30"/>
        <v>17999987.069538388</v>
      </c>
      <c r="Y93" s="109" t="s">
        <v>35</v>
      </c>
      <c r="Z93" s="52">
        <f t="shared" si="42"/>
        <v>0</v>
      </c>
      <c r="AA93" s="109">
        <f>Model!$AO$148</f>
        <v>1</v>
      </c>
      <c r="AB93" s="109"/>
      <c r="AC93" s="133">
        <f>X93*AA93</f>
        <v>17999987.069538388</v>
      </c>
      <c r="AD93" s="131">
        <f>'Example calcs 2000'!Y93*0.8</f>
        <v>762238.91219349951</v>
      </c>
      <c r="AE93" s="129">
        <f t="shared" si="43"/>
        <v>2755208.825668402</v>
      </c>
      <c r="AF93" s="131">
        <f t="shared" si="44"/>
        <v>0.95777996621220318</v>
      </c>
      <c r="AG93" s="131">
        <f t="shared" si="31"/>
        <v>3401122.7281497456</v>
      </c>
      <c r="AH93" s="109" t="s">
        <v>65</v>
      </c>
      <c r="AI93" s="52">
        <f t="shared" si="45"/>
        <v>1</v>
      </c>
      <c r="AJ93" s="109"/>
      <c r="AK93" s="109">
        <f>Model!$AO$205</f>
        <v>1.111</v>
      </c>
      <c r="AL93" s="120">
        <f t="shared" si="46"/>
        <v>0</v>
      </c>
      <c r="AM93" s="109">
        <f t="shared" si="47"/>
        <v>3778647.3509743675</v>
      </c>
    </row>
    <row r="94" spans="3:39" s="101" customFormat="1" x14ac:dyDescent="0.25">
      <c r="C94" s="150">
        <f>Model!$AP$13</f>
        <v>3321768</v>
      </c>
      <c r="D94" s="54">
        <f>Model!$AP$16</f>
        <v>0.38461538461538458</v>
      </c>
      <c r="E94" s="151">
        <f t="shared" si="32"/>
        <v>1277603.0769230768</v>
      </c>
      <c r="F94" s="54">
        <f>Model!$AP$29</f>
        <v>1</v>
      </c>
      <c r="G94" s="151">
        <f t="shared" si="33"/>
        <v>1277603.0769230768</v>
      </c>
      <c r="H94" s="108">
        <f>INDEX(Model!$AP$34:$AP$37,MATCH($J94,Model!$AN$34:$AN$37,0))</f>
        <v>0.71950000000000003</v>
      </c>
      <c r="I94" s="129">
        <f t="shared" si="34"/>
        <v>919235.41384615377</v>
      </c>
      <c r="J94" s="109" t="s">
        <v>25</v>
      </c>
      <c r="K94" s="119">
        <f>INDEX(Model!$AP$38:$AP$41,MATCH($J94,Model!$AN$34:$AN$37,0))</f>
        <v>141.02045602481141</v>
      </c>
      <c r="L94" s="133">
        <f>K94*I94</f>
        <v>129630997.25474085</v>
      </c>
      <c r="M94" s="131">
        <f>'Example calcs 2000'!N94*0.95</f>
        <v>0</v>
      </c>
      <c r="N94" s="129">
        <f t="shared" si="35"/>
        <v>20246263.065694302</v>
      </c>
      <c r="O94" s="131">
        <f t="shared" si="36"/>
        <v>1.0208069021639147E-6</v>
      </c>
      <c r="P94" s="131">
        <f t="shared" si="37"/>
        <v>20.667525080487085</v>
      </c>
      <c r="Q94" s="119" t="s">
        <v>32</v>
      </c>
      <c r="R94" s="52">
        <f t="shared" si="38"/>
        <v>1</v>
      </c>
      <c r="S94" s="119">
        <f>INDEX(Model!$AP$55:$AP$119,MATCH($Q94,Model!$AN$55:$AN$119,0)+MATCH(Model!$AL$117,Model!$AL$55:$AL$119,0)-1)</f>
        <v>0.36</v>
      </c>
      <c r="T94" s="133">
        <f t="shared" si="39"/>
        <v>7.4403090289753502</v>
      </c>
      <c r="U94" s="131">
        <f>'Example calcs 2000'!S94*0.8</f>
        <v>0</v>
      </c>
      <c r="V94" s="129">
        <f t="shared" si="40"/>
        <v>7.4403090289753502</v>
      </c>
      <c r="W94" s="131">
        <f t="shared" si="41"/>
        <v>4.1883053058948572E-2</v>
      </c>
      <c r="X94" s="131">
        <f t="shared" si="30"/>
        <v>0.31162285783554872</v>
      </c>
      <c r="Y94" s="109" t="s">
        <v>34</v>
      </c>
      <c r="Z94" s="52">
        <f t="shared" si="42"/>
        <v>1</v>
      </c>
      <c r="AA94" s="109"/>
      <c r="AB94" s="109">
        <f>Model!$AO$138</f>
        <v>1</v>
      </c>
      <c r="AC94" s="133"/>
      <c r="AD94" s="131">
        <f>'Example calcs 2000'!Y94*0.8</f>
        <v>0</v>
      </c>
      <c r="AE94" s="129">
        <f t="shared" si="43"/>
        <v>0</v>
      </c>
      <c r="AF94" s="131" t="str">
        <f t="shared" si="44"/>
        <v/>
      </c>
      <c r="AG94" s="131">
        <f t="shared" si="31"/>
        <v>0</v>
      </c>
      <c r="AH94" s="109"/>
      <c r="AI94" s="52">
        <f t="shared" si="45"/>
        <v>1</v>
      </c>
      <c r="AJ94" s="109"/>
      <c r="AK94" s="109"/>
      <c r="AL94" s="120">
        <f t="shared" si="46"/>
        <v>0.31162285783554872</v>
      </c>
      <c r="AM94" s="109">
        <f t="shared" si="47"/>
        <v>0</v>
      </c>
    </row>
    <row r="95" spans="3:39" s="101" customFormat="1" x14ac:dyDescent="0.25">
      <c r="C95" s="150">
        <f>Model!$AP$13</f>
        <v>3321768</v>
      </c>
      <c r="D95" s="54">
        <f>Model!$AP$16</f>
        <v>0.38461538461538458</v>
      </c>
      <c r="E95" s="151">
        <f t="shared" si="32"/>
        <v>1277603.0769230768</v>
      </c>
      <c r="F95" s="54">
        <f>Model!$AP$29</f>
        <v>1</v>
      </c>
      <c r="G95" s="151">
        <f t="shared" si="33"/>
        <v>1277603.0769230768</v>
      </c>
      <c r="H95" s="108">
        <f>INDEX(Model!$AP$34:$AP$37,MATCH($J95,Model!$AN$34:$AN$37,0))</f>
        <v>0.71950000000000003</v>
      </c>
      <c r="I95" s="129">
        <f t="shared" si="34"/>
        <v>919235.41384615377</v>
      </c>
      <c r="J95" s="109" t="s">
        <v>25</v>
      </c>
      <c r="K95" s="119">
        <f>INDEX(Model!$AP$38:$AP$41,MATCH($J95,Model!$AN$34:$AN$37,0))</f>
        <v>141.02045602481141</v>
      </c>
      <c r="L95" s="133">
        <f>K95*I95</f>
        <v>129630997.25474085</v>
      </c>
      <c r="M95" s="131">
        <f>'Example calcs 2000'!N95*0.95</f>
        <v>0</v>
      </c>
      <c r="N95" s="129">
        <f t="shared" si="35"/>
        <v>20246263.065694302</v>
      </c>
      <c r="O95" s="131">
        <f t="shared" si="36"/>
        <v>1.0208069021639147E-6</v>
      </c>
      <c r="P95" s="131">
        <f t="shared" si="37"/>
        <v>20.667525080487085</v>
      </c>
      <c r="Q95" s="119" t="s">
        <v>32</v>
      </c>
      <c r="R95" s="52">
        <f t="shared" si="38"/>
        <v>0</v>
      </c>
      <c r="S95" s="119">
        <f>INDEX(Model!$AP$55:$AP$119,MATCH($Q95,Model!$AN$55:$AN$119,0)+MATCH(Model!$AL$117,Model!$AL$55:$AL$119,0)-1)</f>
        <v>0.36</v>
      </c>
      <c r="T95" s="133">
        <f t="shared" si="39"/>
        <v>7.4403090289753502</v>
      </c>
      <c r="U95" s="131">
        <f>'Example calcs 2000'!S95*0.8</f>
        <v>0</v>
      </c>
      <c r="V95" s="129">
        <f t="shared" si="40"/>
        <v>7.4403090289753502</v>
      </c>
      <c r="W95" s="131">
        <f t="shared" si="41"/>
        <v>0.95811694694105154</v>
      </c>
      <c r="X95" s="131">
        <f t="shared" si="30"/>
        <v>7.128686171139802</v>
      </c>
      <c r="Y95" s="109" t="s">
        <v>35</v>
      </c>
      <c r="Z95" s="52">
        <f t="shared" si="42"/>
        <v>1</v>
      </c>
      <c r="AA95" s="109">
        <f>Model!$AO$148</f>
        <v>1</v>
      </c>
      <c r="AB95" s="109"/>
      <c r="AC95" s="133">
        <f>X95*AA95</f>
        <v>7.128686171139802</v>
      </c>
      <c r="AD95" s="131">
        <f>'Example calcs 2000'!Y95*0.8</f>
        <v>0</v>
      </c>
      <c r="AE95" s="129">
        <f t="shared" si="43"/>
        <v>7.128686171139802</v>
      </c>
      <c r="AF95" s="131">
        <f t="shared" si="44"/>
        <v>4.2219505916481506E-2</v>
      </c>
      <c r="AG95" s="131">
        <f t="shared" si="31"/>
        <v>0.30096960797917677</v>
      </c>
      <c r="AH95" s="109" t="s">
        <v>66</v>
      </c>
      <c r="AI95" s="52">
        <f t="shared" si="45"/>
        <v>1</v>
      </c>
      <c r="AJ95" s="109">
        <f>Model!$AO$179</f>
        <v>0.52600000000000002</v>
      </c>
      <c r="AK95" s="109"/>
      <c r="AL95" s="120">
        <f t="shared" si="46"/>
        <v>0.15831001379704698</v>
      </c>
      <c r="AM95" s="109">
        <f t="shared" si="47"/>
        <v>0</v>
      </c>
    </row>
    <row r="96" spans="3:39" s="101" customFormat="1" x14ac:dyDescent="0.25">
      <c r="C96" s="150">
        <f>Model!$AP$13</f>
        <v>3321768</v>
      </c>
      <c r="D96" s="54">
        <f>Model!$AP$16</f>
        <v>0.38461538461538458</v>
      </c>
      <c r="E96" s="151">
        <f t="shared" si="32"/>
        <v>1277603.0769230768</v>
      </c>
      <c r="F96" s="54">
        <f>Model!$AP$29</f>
        <v>1</v>
      </c>
      <c r="G96" s="151">
        <f t="shared" si="33"/>
        <v>1277603.0769230768</v>
      </c>
      <c r="H96" s="108">
        <f>INDEX(Model!$AP$34:$AP$37,MATCH($J96,Model!$AN$34:$AN$37,0))</f>
        <v>0.71950000000000003</v>
      </c>
      <c r="I96" s="129">
        <f t="shared" si="34"/>
        <v>919235.41384615377</v>
      </c>
      <c r="J96" s="109" t="s">
        <v>25</v>
      </c>
      <c r="K96" s="119">
        <f>INDEX(Model!$AP$38:$AP$41,MATCH($J96,Model!$AN$34:$AN$37,0))</f>
        <v>141.02045602481141</v>
      </c>
      <c r="L96" s="133">
        <f>K96*I96</f>
        <v>129630997.25474085</v>
      </c>
      <c r="M96" s="131">
        <f>'Example calcs 2000'!N96*0.95</f>
        <v>0</v>
      </c>
      <c r="N96" s="129">
        <f t="shared" si="35"/>
        <v>20246263.065694302</v>
      </c>
      <c r="O96" s="131">
        <f t="shared" si="36"/>
        <v>1.0208069021639147E-6</v>
      </c>
      <c r="P96" s="131">
        <f t="shared" si="37"/>
        <v>20.667525080487085</v>
      </c>
      <c r="Q96" s="119" t="s">
        <v>32</v>
      </c>
      <c r="R96" s="52">
        <f t="shared" si="38"/>
        <v>0</v>
      </c>
      <c r="S96" s="119">
        <f>INDEX(Model!$AP$55:$AP$119,MATCH($Q96,Model!$AN$55:$AN$119,0)+MATCH(Model!$AL$117,Model!$AL$55:$AL$119,0)-1)</f>
        <v>0.36</v>
      </c>
      <c r="T96" s="133">
        <f t="shared" si="39"/>
        <v>7.4403090289753502</v>
      </c>
      <c r="U96" s="131">
        <f>'Example calcs 2000'!S96*0.8</f>
        <v>0</v>
      </c>
      <c r="V96" s="129">
        <f t="shared" si="40"/>
        <v>7.4403090289753502</v>
      </c>
      <c r="W96" s="131">
        <f t="shared" si="41"/>
        <v>0.95811694694105154</v>
      </c>
      <c r="X96" s="131">
        <f t="shared" si="30"/>
        <v>7.128686171139802</v>
      </c>
      <c r="Y96" s="109" t="s">
        <v>35</v>
      </c>
      <c r="Z96" s="52">
        <f t="shared" si="42"/>
        <v>0</v>
      </c>
      <c r="AA96" s="109">
        <f>Model!$AO$148</f>
        <v>1</v>
      </c>
      <c r="AB96" s="109"/>
      <c r="AC96" s="133">
        <f>X96*AA96</f>
        <v>7.128686171139802</v>
      </c>
      <c r="AD96" s="131">
        <f>'Example calcs 2000'!Y96*0.8</f>
        <v>0</v>
      </c>
      <c r="AE96" s="129">
        <f t="shared" si="43"/>
        <v>7.128686171139802</v>
      </c>
      <c r="AF96" s="131">
        <f t="shared" si="44"/>
        <v>5.2787131529516608E-7</v>
      </c>
      <c r="AG96" s="131">
        <f t="shared" si="31"/>
        <v>3.7630289454860289E-6</v>
      </c>
      <c r="AH96" s="109" t="s">
        <v>139</v>
      </c>
      <c r="AI96" s="52">
        <f t="shared" si="45"/>
        <v>1</v>
      </c>
      <c r="AJ96" s="109">
        <f>Model!$AO$192</f>
        <v>0.4</v>
      </c>
      <c r="AK96" s="109"/>
      <c r="AL96" s="120">
        <f t="shared" si="46"/>
        <v>1.5052115781944117E-6</v>
      </c>
      <c r="AM96" s="109">
        <f t="shared" si="47"/>
        <v>0</v>
      </c>
    </row>
    <row r="97" spans="3:50" s="101" customFormat="1" x14ac:dyDescent="0.25">
      <c r="C97" s="150">
        <f>Model!$AP$13</f>
        <v>3321768</v>
      </c>
      <c r="D97" s="54">
        <f>Model!$AP$16</f>
        <v>0.38461538461538458</v>
      </c>
      <c r="E97" s="151">
        <f t="shared" si="32"/>
        <v>1277603.0769230768</v>
      </c>
      <c r="F97" s="54">
        <f>Model!$AP$29</f>
        <v>1</v>
      </c>
      <c r="G97" s="151">
        <f t="shared" si="33"/>
        <v>1277603.0769230768</v>
      </c>
      <c r="H97" s="108">
        <f>INDEX(Model!$AP$34:$AP$37,MATCH($J97,Model!$AN$34:$AN$37,0))</f>
        <v>0.71950000000000003</v>
      </c>
      <c r="I97" s="129">
        <f t="shared" si="34"/>
        <v>919235.41384615377</v>
      </c>
      <c r="J97" s="109" t="s">
        <v>25</v>
      </c>
      <c r="K97" s="119">
        <f>INDEX(Model!$AP$38:$AP$41,MATCH($J97,Model!$AN$34:$AN$37,0))</f>
        <v>141.02045602481141</v>
      </c>
      <c r="L97" s="133">
        <f>K97*I97</f>
        <v>129630997.25474085</v>
      </c>
      <c r="M97" s="131">
        <f>'Example calcs 2000'!N97*0.95</f>
        <v>0</v>
      </c>
      <c r="N97" s="129">
        <f t="shared" si="35"/>
        <v>20246263.065694302</v>
      </c>
      <c r="O97" s="131">
        <f t="shared" si="36"/>
        <v>1.0208069021639147E-6</v>
      </c>
      <c r="P97" s="131">
        <f t="shared" si="37"/>
        <v>20.667525080487085</v>
      </c>
      <c r="Q97" s="119" t="s">
        <v>32</v>
      </c>
      <c r="R97" s="52">
        <f t="shared" si="38"/>
        <v>0</v>
      </c>
      <c r="S97" s="119">
        <f>INDEX(Model!$AP$55:$AP$119,MATCH($Q97,Model!$AN$55:$AN$119,0)+MATCH(Model!$AL$117,Model!$AL$55:$AL$119,0)-1)</f>
        <v>0.36</v>
      </c>
      <c r="T97" s="133">
        <f t="shared" si="39"/>
        <v>7.4403090289753502</v>
      </c>
      <c r="U97" s="131">
        <f>'Example calcs 2000'!S97*0.8</f>
        <v>0</v>
      </c>
      <c r="V97" s="129">
        <f t="shared" si="40"/>
        <v>7.4403090289753502</v>
      </c>
      <c r="W97" s="131">
        <f t="shared" si="41"/>
        <v>0.95811694694105154</v>
      </c>
      <c r="X97" s="131">
        <f t="shared" si="30"/>
        <v>7.128686171139802</v>
      </c>
      <c r="Y97" s="109" t="s">
        <v>35</v>
      </c>
      <c r="Z97" s="52">
        <f t="shared" si="42"/>
        <v>0</v>
      </c>
      <c r="AA97" s="109">
        <f>Model!$AO$148</f>
        <v>1</v>
      </c>
      <c r="AB97" s="109"/>
      <c r="AC97" s="133">
        <f>X97*AA97</f>
        <v>7.128686171139802</v>
      </c>
      <c r="AD97" s="131">
        <f>'Example calcs 2000'!Y97*0.8</f>
        <v>0</v>
      </c>
      <c r="AE97" s="129">
        <f t="shared" si="43"/>
        <v>7.128686171139802</v>
      </c>
      <c r="AF97" s="131" t="str">
        <f t="shared" si="44"/>
        <v/>
      </c>
      <c r="AG97" s="131">
        <f t="shared" si="31"/>
        <v>0</v>
      </c>
      <c r="AH97" s="109" t="s">
        <v>64</v>
      </c>
      <c r="AI97" s="52">
        <f t="shared" si="45"/>
        <v>1</v>
      </c>
      <c r="AJ97" s="109"/>
      <c r="AK97" s="109">
        <f>Model!$AO$165</f>
        <v>1.613</v>
      </c>
      <c r="AL97" s="120">
        <f t="shared" si="46"/>
        <v>0</v>
      </c>
      <c r="AM97" s="109">
        <f t="shared" si="47"/>
        <v>0</v>
      </c>
    </row>
    <row r="98" spans="3:50" s="101" customFormat="1" x14ac:dyDescent="0.25">
      <c r="C98" s="150">
        <f>Model!$AP$13</f>
        <v>3321768</v>
      </c>
      <c r="D98" s="54">
        <f>Model!$AP$16</f>
        <v>0.38461538461538458</v>
      </c>
      <c r="E98" s="151">
        <f t="shared" si="32"/>
        <v>1277603.0769230768</v>
      </c>
      <c r="F98" s="54">
        <f>Model!$AP$29</f>
        <v>1</v>
      </c>
      <c r="G98" s="151">
        <f t="shared" si="33"/>
        <v>1277603.0769230768</v>
      </c>
      <c r="H98" s="108">
        <f>INDEX(Model!$AP$34:$AP$37,MATCH($J98,Model!$AN$34:$AN$37,0))</f>
        <v>0.71950000000000003</v>
      </c>
      <c r="I98" s="129">
        <f t="shared" si="34"/>
        <v>919235.41384615377</v>
      </c>
      <c r="J98" s="109" t="s">
        <v>25</v>
      </c>
      <c r="K98" s="119">
        <f>INDEX(Model!$AP$38:$AP$41,MATCH($J98,Model!$AN$34:$AN$37,0))</f>
        <v>141.02045602481141</v>
      </c>
      <c r="L98" s="133">
        <f>K98*I98</f>
        <v>129630997.25474085</v>
      </c>
      <c r="M98" s="131">
        <f>'Example calcs 2000'!N98*0.95</f>
        <v>0</v>
      </c>
      <c r="N98" s="129">
        <f t="shared" si="35"/>
        <v>20246263.065694302</v>
      </c>
      <c r="O98" s="131">
        <f t="shared" si="36"/>
        <v>1.0208069021639147E-6</v>
      </c>
      <c r="P98" s="131">
        <f t="shared" si="37"/>
        <v>20.667525080487085</v>
      </c>
      <c r="Q98" s="119" t="s">
        <v>32</v>
      </c>
      <c r="R98" s="52">
        <f t="shared" si="38"/>
        <v>0</v>
      </c>
      <c r="S98" s="119">
        <f>INDEX(Model!$AP$55:$AP$119,MATCH($Q98,Model!$AN$55:$AN$119,0)+MATCH(Model!$AL$117,Model!$AL$55:$AL$119,0)-1)</f>
        <v>0.36</v>
      </c>
      <c r="T98" s="133">
        <f t="shared" si="39"/>
        <v>7.4403090289753502</v>
      </c>
      <c r="U98" s="131">
        <f>'Example calcs 2000'!S98*0.8</f>
        <v>0</v>
      </c>
      <c r="V98" s="129">
        <f t="shared" si="40"/>
        <v>7.4403090289753502</v>
      </c>
      <c r="W98" s="131">
        <f t="shared" si="41"/>
        <v>0.95811694694105154</v>
      </c>
      <c r="X98" s="131">
        <f t="shared" si="30"/>
        <v>7.128686171139802</v>
      </c>
      <c r="Y98" s="109" t="s">
        <v>35</v>
      </c>
      <c r="Z98" s="52">
        <f t="shared" si="42"/>
        <v>0</v>
      </c>
      <c r="AA98" s="109">
        <f>Model!$AO$148</f>
        <v>1</v>
      </c>
      <c r="AB98" s="109"/>
      <c r="AC98" s="133">
        <f>X98*AA98</f>
        <v>7.128686171139802</v>
      </c>
      <c r="AD98" s="131">
        <f>'Example calcs 2000'!Y98*0.8</f>
        <v>0</v>
      </c>
      <c r="AE98" s="129">
        <f t="shared" si="43"/>
        <v>7.128686171139802</v>
      </c>
      <c r="AF98" s="131">
        <f t="shared" si="44"/>
        <v>0.95777996621220318</v>
      </c>
      <c r="AG98" s="131">
        <f t="shared" si="31"/>
        <v>6.82771280013168</v>
      </c>
      <c r="AH98" s="109" t="s">
        <v>65</v>
      </c>
      <c r="AI98" s="52">
        <f t="shared" si="45"/>
        <v>1</v>
      </c>
      <c r="AJ98" s="109"/>
      <c r="AK98" s="109">
        <f>Model!$AO$205</f>
        <v>1.111</v>
      </c>
      <c r="AL98" s="120">
        <f t="shared" si="46"/>
        <v>0</v>
      </c>
      <c r="AM98" s="109">
        <f t="shared" si="47"/>
        <v>7.5855889209462966</v>
      </c>
    </row>
    <row r="99" spans="3:50" s="101" customFormat="1" x14ac:dyDescent="0.25">
      <c r="C99" s="150">
        <f>Model!$AP$13</f>
        <v>3321768</v>
      </c>
      <c r="D99" s="54">
        <f>Model!$AP$16</f>
        <v>0.38461538461538458</v>
      </c>
      <c r="E99" s="151">
        <f t="shared" si="32"/>
        <v>1277603.0769230768</v>
      </c>
      <c r="F99" s="54">
        <f>Model!$AP$29</f>
        <v>1</v>
      </c>
      <c r="G99" s="151">
        <f t="shared" si="33"/>
        <v>1277603.0769230768</v>
      </c>
      <c r="H99" s="108">
        <f>INDEX(Model!$AP$34:$AP$37,MATCH($J99,Model!$AN$34:$AN$37,0))</f>
        <v>0.71950000000000003</v>
      </c>
      <c r="I99" s="129">
        <f t="shared" si="34"/>
        <v>919235.41384615377</v>
      </c>
      <c r="J99" s="109" t="s">
        <v>25</v>
      </c>
      <c r="K99" s="119">
        <f>INDEX(Model!$AP$38:$AP$41,MATCH($J99,Model!$AN$34:$AN$37,0))</f>
        <v>141.02045602481141</v>
      </c>
      <c r="L99" s="133">
        <f>K99*I99</f>
        <v>129630997.25474085</v>
      </c>
      <c r="M99" s="131">
        <f>'Example calcs 2000'!N99*0.95</f>
        <v>0</v>
      </c>
      <c r="N99" s="129">
        <f t="shared" si="35"/>
        <v>20246263.065694302</v>
      </c>
      <c r="O99" s="131">
        <f t="shared" si="36"/>
        <v>0.9999989751173719</v>
      </c>
      <c r="P99" s="131">
        <f t="shared" si="37"/>
        <v>20246242.315651003</v>
      </c>
      <c r="Q99" s="119" t="s">
        <v>31</v>
      </c>
      <c r="R99" s="52">
        <f t="shared" si="38"/>
        <v>1</v>
      </c>
      <c r="S99" s="119">
        <f>INDEX(Model!$AP$55:$AP$119,MATCH($Q99,Model!$AN$55:$AN$119,0)+MATCH(Model!$AL$117,Model!$AL$55:$AL$119,0)-1)</f>
        <v>0.51500000000000001</v>
      </c>
      <c r="T99" s="133">
        <f t="shared" si="39"/>
        <v>10426814.792560266</v>
      </c>
      <c r="U99" s="131">
        <f>'Example calcs 2000'!S99*0.8</f>
        <v>0</v>
      </c>
      <c r="V99" s="129">
        <f t="shared" si="40"/>
        <v>10426814.792560266</v>
      </c>
      <c r="W99" s="131">
        <f t="shared" si="41"/>
        <v>4.1883053058948572E-2</v>
      </c>
      <c r="X99" s="131">
        <f t="shared" si="30"/>
        <v>436706.8371926315</v>
      </c>
      <c r="Y99" s="109" t="s">
        <v>34</v>
      </c>
      <c r="Z99" s="52">
        <f t="shared" si="42"/>
        <v>1</v>
      </c>
      <c r="AA99" s="109"/>
      <c r="AB99" s="109">
        <f>Model!$AO$138</f>
        <v>1</v>
      </c>
      <c r="AC99" s="133"/>
      <c r="AD99" s="131">
        <f>'Example calcs 2000'!Y99*0.8</f>
        <v>0</v>
      </c>
      <c r="AE99" s="129">
        <f t="shared" si="43"/>
        <v>0</v>
      </c>
      <c r="AF99" s="131" t="str">
        <f t="shared" si="44"/>
        <v/>
      </c>
      <c r="AG99" s="131">
        <f t="shared" si="31"/>
        <v>0</v>
      </c>
      <c r="AH99" s="109"/>
      <c r="AI99" s="52">
        <f t="shared" si="45"/>
        <v>1</v>
      </c>
      <c r="AJ99" s="109"/>
      <c r="AK99" s="109"/>
      <c r="AL99" s="120">
        <f t="shared" si="46"/>
        <v>436706.8371926315</v>
      </c>
      <c r="AM99" s="109">
        <f t="shared" si="47"/>
        <v>0</v>
      </c>
    </row>
    <row r="100" spans="3:50" s="101" customFormat="1" x14ac:dyDescent="0.25">
      <c r="C100" s="150">
        <f>Model!$AP$13</f>
        <v>3321768</v>
      </c>
      <c r="D100" s="54">
        <f>Model!$AP$16</f>
        <v>0.38461538461538458</v>
      </c>
      <c r="E100" s="151">
        <f t="shared" si="32"/>
        <v>1277603.0769230768</v>
      </c>
      <c r="F100" s="54">
        <f>Model!$AP$29</f>
        <v>1</v>
      </c>
      <c r="G100" s="151">
        <f t="shared" si="33"/>
        <v>1277603.0769230768</v>
      </c>
      <c r="H100" s="108">
        <f>INDEX(Model!$AP$34:$AP$37,MATCH($J100,Model!$AN$34:$AN$37,0))</f>
        <v>0.71950000000000003</v>
      </c>
      <c r="I100" s="129">
        <f t="shared" si="34"/>
        <v>919235.41384615377</v>
      </c>
      <c r="J100" s="109" t="s">
        <v>25</v>
      </c>
      <c r="K100" s="119">
        <f>INDEX(Model!$AP$38:$AP$41,MATCH($J100,Model!$AN$34:$AN$37,0))</f>
        <v>141.02045602481141</v>
      </c>
      <c r="L100" s="133">
        <f>K100*I100</f>
        <v>129630997.25474085</v>
      </c>
      <c r="M100" s="131">
        <f>'Example calcs 2000'!N100*0.95</f>
        <v>0</v>
      </c>
      <c r="N100" s="129">
        <f t="shared" si="35"/>
        <v>20246263.065694302</v>
      </c>
      <c r="O100" s="131">
        <f t="shared" si="36"/>
        <v>0.9999989751173719</v>
      </c>
      <c r="P100" s="131">
        <f t="shared" si="37"/>
        <v>20246242.315651003</v>
      </c>
      <c r="Q100" s="119" t="s">
        <v>31</v>
      </c>
      <c r="R100" s="52">
        <f t="shared" si="38"/>
        <v>0</v>
      </c>
      <c r="S100" s="119">
        <f>INDEX(Model!$AP$55:$AP$119,MATCH($Q100,Model!$AN$55:$AN$119,0)+MATCH(Model!$AL$117,Model!$AL$55:$AL$119,0)-1)</f>
        <v>0.51500000000000001</v>
      </c>
      <c r="T100" s="133">
        <f t="shared" si="39"/>
        <v>10426814.792560266</v>
      </c>
      <c r="U100" s="131">
        <f>'Example calcs 2000'!S100*0.8</f>
        <v>0</v>
      </c>
      <c r="V100" s="129">
        <f t="shared" si="40"/>
        <v>10426814.792560266</v>
      </c>
      <c r="W100" s="131">
        <f t="shared" si="41"/>
        <v>0.95811694694105154</v>
      </c>
      <c r="X100" s="131">
        <f t="shared" si="30"/>
        <v>9990107.9553676359</v>
      </c>
      <c r="Y100" s="109" t="s">
        <v>35</v>
      </c>
      <c r="Z100" s="52">
        <f t="shared" si="42"/>
        <v>1</v>
      </c>
      <c r="AA100" s="109">
        <f>Model!$AO$148</f>
        <v>1</v>
      </c>
      <c r="AB100" s="109"/>
      <c r="AC100" s="133">
        <f>X100*AA100</f>
        <v>9990107.9553676359</v>
      </c>
      <c r="AD100" s="131">
        <f>'Example calcs 2000'!Y100*0.8</f>
        <v>0</v>
      </c>
      <c r="AE100" s="129">
        <f t="shared" si="43"/>
        <v>9990107.9553676359</v>
      </c>
      <c r="AF100" s="131">
        <f t="shared" si="44"/>
        <v>4.2219505916481506E-2</v>
      </c>
      <c r="AG100" s="131">
        <f t="shared" si="31"/>
        <v>421777.42192793288</v>
      </c>
      <c r="AH100" s="109" t="s">
        <v>66</v>
      </c>
      <c r="AI100" s="52">
        <f t="shared" si="45"/>
        <v>1</v>
      </c>
      <c r="AJ100" s="109">
        <f>Model!$AO$179</f>
        <v>0.52600000000000002</v>
      </c>
      <c r="AK100" s="109"/>
      <c r="AL100" s="120">
        <f t="shared" si="46"/>
        <v>221854.92393409272</v>
      </c>
      <c r="AM100" s="109">
        <f t="shared" si="47"/>
        <v>0</v>
      </c>
    </row>
    <row r="101" spans="3:50" s="101" customFormat="1" x14ac:dyDescent="0.25">
      <c r="C101" s="150">
        <f>Model!$AP$13</f>
        <v>3321768</v>
      </c>
      <c r="D101" s="54">
        <f>Model!$AP$16</f>
        <v>0.38461538461538458</v>
      </c>
      <c r="E101" s="151">
        <f t="shared" si="32"/>
        <v>1277603.0769230768</v>
      </c>
      <c r="F101" s="54">
        <f>Model!$AP$29</f>
        <v>1</v>
      </c>
      <c r="G101" s="151">
        <f t="shared" si="33"/>
        <v>1277603.0769230768</v>
      </c>
      <c r="H101" s="108">
        <f>INDEX(Model!$AP$34:$AP$37,MATCH($J101,Model!$AN$34:$AN$37,0))</f>
        <v>0.71950000000000003</v>
      </c>
      <c r="I101" s="129">
        <f t="shared" si="34"/>
        <v>919235.41384615377</v>
      </c>
      <c r="J101" s="109" t="s">
        <v>25</v>
      </c>
      <c r="K101" s="119">
        <f>INDEX(Model!$AP$38:$AP$41,MATCH($J101,Model!$AN$34:$AN$37,0))</f>
        <v>141.02045602481141</v>
      </c>
      <c r="L101" s="133">
        <f>K101*I101</f>
        <v>129630997.25474085</v>
      </c>
      <c r="M101" s="131">
        <f>'Example calcs 2000'!N101*0.95</f>
        <v>0</v>
      </c>
      <c r="N101" s="129">
        <f t="shared" si="35"/>
        <v>20246263.065694302</v>
      </c>
      <c r="O101" s="131">
        <f t="shared" si="36"/>
        <v>0.9999989751173719</v>
      </c>
      <c r="P101" s="131">
        <f t="shared" si="37"/>
        <v>20246242.315651003</v>
      </c>
      <c r="Q101" s="119" t="s">
        <v>31</v>
      </c>
      <c r="R101" s="52">
        <f t="shared" si="38"/>
        <v>0</v>
      </c>
      <c r="S101" s="119">
        <f>INDEX(Model!$AP$55:$AP$119,MATCH($Q101,Model!$AN$55:$AN$119,0)+MATCH(Model!$AL$117,Model!$AL$55:$AL$119,0)-1)</f>
        <v>0.51500000000000001</v>
      </c>
      <c r="T101" s="133">
        <f t="shared" si="39"/>
        <v>10426814.792560266</v>
      </c>
      <c r="U101" s="131">
        <f>'Example calcs 2000'!S101*0.8</f>
        <v>0</v>
      </c>
      <c r="V101" s="129">
        <f t="shared" si="40"/>
        <v>10426814.792560266</v>
      </c>
      <c r="W101" s="131">
        <f t="shared" si="41"/>
        <v>0.95811694694105154</v>
      </c>
      <c r="X101" s="131">
        <f t="shared" si="30"/>
        <v>9990107.9553676359</v>
      </c>
      <c r="Y101" s="109" t="s">
        <v>35</v>
      </c>
      <c r="Z101" s="52">
        <f t="shared" si="42"/>
        <v>0</v>
      </c>
      <c r="AA101" s="109">
        <f>Model!$AO$148</f>
        <v>1</v>
      </c>
      <c r="AB101" s="109"/>
      <c r="AC101" s="133">
        <f>X101*AA101</f>
        <v>9990107.9553676359</v>
      </c>
      <c r="AD101" s="131">
        <f>'Example calcs 2000'!Y101*0.8</f>
        <v>0</v>
      </c>
      <c r="AE101" s="129">
        <f t="shared" si="43"/>
        <v>9990107.9553676359</v>
      </c>
      <c r="AF101" s="131">
        <f t="shared" si="44"/>
        <v>5.2787131529516608E-7</v>
      </c>
      <c r="AG101" s="131">
        <f t="shared" si="31"/>
        <v>5.2734914263406161</v>
      </c>
      <c r="AH101" s="109" t="s">
        <v>139</v>
      </c>
      <c r="AI101" s="52">
        <f t="shared" si="45"/>
        <v>1</v>
      </c>
      <c r="AJ101" s="109">
        <f>Model!$AO$192</f>
        <v>0.4</v>
      </c>
      <c r="AK101" s="109"/>
      <c r="AL101" s="120">
        <f t="shared" si="46"/>
        <v>2.1093965705362465</v>
      </c>
      <c r="AM101" s="109">
        <f t="shared" si="47"/>
        <v>0</v>
      </c>
    </row>
    <row r="102" spans="3:50" s="101" customFormat="1" x14ac:dyDescent="0.25">
      <c r="C102" s="150">
        <f>Model!$AP$13</f>
        <v>3321768</v>
      </c>
      <c r="D102" s="54">
        <f>Model!$AP$16</f>
        <v>0.38461538461538458</v>
      </c>
      <c r="E102" s="151">
        <f t="shared" si="32"/>
        <v>1277603.0769230768</v>
      </c>
      <c r="F102" s="54">
        <f>Model!$AP$29</f>
        <v>1</v>
      </c>
      <c r="G102" s="151">
        <f t="shared" si="33"/>
        <v>1277603.0769230768</v>
      </c>
      <c r="H102" s="108">
        <f>INDEX(Model!$AP$34:$AP$37,MATCH($J102,Model!$AN$34:$AN$37,0))</f>
        <v>0.71950000000000003</v>
      </c>
      <c r="I102" s="129">
        <f t="shared" si="34"/>
        <v>919235.41384615377</v>
      </c>
      <c r="J102" s="109" t="s">
        <v>25</v>
      </c>
      <c r="K102" s="119">
        <f>INDEX(Model!$AP$38:$AP$41,MATCH($J102,Model!$AN$34:$AN$37,0))</f>
        <v>141.02045602481141</v>
      </c>
      <c r="L102" s="133">
        <f>K102*I102</f>
        <v>129630997.25474085</v>
      </c>
      <c r="M102" s="131">
        <f>'Example calcs 2000'!N102*0.95</f>
        <v>0</v>
      </c>
      <c r="N102" s="129">
        <f t="shared" si="35"/>
        <v>20246263.065694302</v>
      </c>
      <c r="O102" s="131">
        <f t="shared" si="36"/>
        <v>0.9999989751173719</v>
      </c>
      <c r="P102" s="131">
        <f t="shared" si="37"/>
        <v>20246242.315651003</v>
      </c>
      <c r="Q102" s="119" t="s">
        <v>31</v>
      </c>
      <c r="R102" s="52">
        <f t="shared" si="38"/>
        <v>0</v>
      </c>
      <c r="S102" s="119">
        <f>INDEX(Model!$AP$55:$AP$119,MATCH($Q102,Model!$AN$55:$AN$119,0)+MATCH(Model!$AL$117,Model!$AL$55:$AL$119,0)-1)</f>
        <v>0.51500000000000001</v>
      </c>
      <c r="T102" s="133">
        <f t="shared" si="39"/>
        <v>10426814.792560266</v>
      </c>
      <c r="U102" s="131">
        <f>'Example calcs 2000'!S102*0.8</f>
        <v>0</v>
      </c>
      <c r="V102" s="129">
        <f t="shared" si="40"/>
        <v>10426814.792560266</v>
      </c>
      <c r="W102" s="131">
        <f t="shared" si="41"/>
        <v>0.95811694694105154</v>
      </c>
      <c r="X102" s="131">
        <f t="shared" si="30"/>
        <v>9990107.9553676359</v>
      </c>
      <c r="Y102" s="109" t="s">
        <v>35</v>
      </c>
      <c r="Z102" s="52">
        <f t="shared" si="42"/>
        <v>0</v>
      </c>
      <c r="AA102" s="109">
        <f>Model!$AO$148</f>
        <v>1</v>
      </c>
      <c r="AB102" s="109"/>
      <c r="AC102" s="133">
        <f>X102*AA102</f>
        <v>9990107.9553676359</v>
      </c>
      <c r="AD102" s="131">
        <f>'Example calcs 2000'!Y102*0.8</f>
        <v>0</v>
      </c>
      <c r="AE102" s="129">
        <f t="shared" si="43"/>
        <v>9990107.9553676359</v>
      </c>
      <c r="AF102" s="131" t="str">
        <f t="shared" si="44"/>
        <v/>
      </c>
      <c r="AG102" s="131">
        <f t="shared" si="31"/>
        <v>0</v>
      </c>
      <c r="AH102" s="109" t="s">
        <v>64</v>
      </c>
      <c r="AI102" s="52">
        <f t="shared" si="45"/>
        <v>1</v>
      </c>
      <c r="AJ102" s="109"/>
      <c r="AK102" s="109">
        <f>Model!$AO$165</f>
        <v>1.613</v>
      </c>
      <c r="AL102" s="120">
        <f t="shared" si="46"/>
        <v>0</v>
      </c>
      <c r="AM102" s="109">
        <f t="shared" si="47"/>
        <v>0</v>
      </c>
    </row>
    <row r="103" spans="3:50" s="101" customFormat="1" x14ac:dyDescent="0.25">
      <c r="C103" s="150">
        <f>Model!$AP$13</f>
        <v>3321768</v>
      </c>
      <c r="D103" s="54">
        <f>Model!$AP$16</f>
        <v>0.38461538461538458</v>
      </c>
      <c r="E103" s="151">
        <f t="shared" si="32"/>
        <v>1277603.0769230768</v>
      </c>
      <c r="F103" s="54">
        <f>Model!$AP$29</f>
        <v>1</v>
      </c>
      <c r="G103" s="151">
        <f t="shared" si="33"/>
        <v>1277603.0769230768</v>
      </c>
      <c r="H103" s="108">
        <f>INDEX(Model!$AP$34:$AP$37,MATCH($J103,Model!$AN$34:$AN$37,0))</f>
        <v>0.71950000000000003</v>
      </c>
      <c r="I103" s="129">
        <f t="shared" si="34"/>
        <v>919235.41384615377</v>
      </c>
      <c r="J103" s="109" t="s">
        <v>25</v>
      </c>
      <c r="K103" s="119">
        <f>INDEX(Model!$AP$38:$AP$41,MATCH($J103,Model!$AN$34:$AN$37,0))</f>
        <v>141.02045602481141</v>
      </c>
      <c r="L103" s="133">
        <f>K103*I103</f>
        <v>129630997.25474085</v>
      </c>
      <c r="M103" s="131">
        <f>'Example calcs 2000'!N103*0.95</f>
        <v>0</v>
      </c>
      <c r="N103" s="129">
        <f t="shared" si="35"/>
        <v>20246263.065694302</v>
      </c>
      <c r="O103" s="131">
        <f t="shared" si="36"/>
        <v>0.9999989751173719</v>
      </c>
      <c r="P103" s="131">
        <f t="shared" si="37"/>
        <v>20246242.315651003</v>
      </c>
      <c r="Q103" s="119" t="s">
        <v>31</v>
      </c>
      <c r="R103" s="52">
        <f t="shared" si="38"/>
        <v>0</v>
      </c>
      <c r="S103" s="119">
        <f>INDEX(Model!$AP$55:$AP$119,MATCH($Q103,Model!$AN$55:$AN$119,0)+MATCH(Model!$AL$117,Model!$AL$55:$AL$119,0)-1)</f>
        <v>0.51500000000000001</v>
      </c>
      <c r="T103" s="133">
        <f t="shared" si="39"/>
        <v>10426814.792560266</v>
      </c>
      <c r="U103" s="131">
        <f>'Example calcs 2000'!S103*0.8</f>
        <v>0</v>
      </c>
      <c r="V103" s="129">
        <f t="shared" si="40"/>
        <v>10426814.792560266</v>
      </c>
      <c r="W103" s="131">
        <f t="shared" si="41"/>
        <v>0.95811694694105154</v>
      </c>
      <c r="X103" s="131">
        <f t="shared" si="30"/>
        <v>9990107.9553676359</v>
      </c>
      <c r="Y103" s="109" t="s">
        <v>35</v>
      </c>
      <c r="Z103" s="52">
        <f t="shared" si="42"/>
        <v>0</v>
      </c>
      <c r="AA103" s="109">
        <f>Model!$AO$148</f>
        <v>1</v>
      </c>
      <c r="AB103" s="109"/>
      <c r="AC103" s="133">
        <f>X103*AA103</f>
        <v>9990107.9553676359</v>
      </c>
      <c r="AD103" s="131">
        <f>'Example calcs 2000'!Y103*0.8</f>
        <v>0</v>
      </c>
      <c r="AE103" s="129">
        <f t="shared" si="43"/>
        <v>9990107.9553676359</v>
      </c>
      <c r="AF103" s="131">
        <f t="shared" si="44"/>
        <v>0.95777996621220318</v>
      </c>
      <c r="AG103" s="131">
        <f t="shared" si="31"/>
        <v>9568325.259948276</v>
      </c>
      <c r="AH103" s="109" t="s">
        <v>65</v>
      </c>
      <c r="AI103" s="52">
        <f t="shared" si="45"/>
        <v>1</v>
      </c>
      <c r="AJ103" s="109"/>
      <c r="AK103" s="109">
        <f>Model!$AO$205</f>
        <v>1.111</v>
      </c>
      <c r="AL103" s="120">
        <f t="shared" si="46"/>
        <v>0</v>
      </c>
      <c r="AM103" s="109">
        <f t="shared" si="47"/>
        <v>10630409.363802534</v>
      </c>
      <c r="AP103"/>
      <c r="AQ103"/>
      <c r="AR103"/>
      <c r="AS103"/>
      <c r="AT103"/>
      <c r="AU103"/>
      <c r="AV103"/>
      <c r="AW103"/>
      <c r="AX10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A4223-545B-44CD-9D0E-3AB2A5BC5BBA}">
  <sheetPr codeName="Sheet1">
    <outlinePr summaryBelow="0" summaryRight="0"/>
  </sheetPr>
  <dimension ref="A1:BZ404"/>
  <sheetViews>
    <sheetView zoomScale="85" zoomScaleNormal="85" workbookViewId="0">
      <pane xSplit="5" ySplit="1" topLeftCell="F20" activePane="bottomRight" state="frozen"/>
      <selection pane="topRight" activeCell="E1" sqref="E1"/>
      <selection pane="bottomLeft" activeCell="A3" sqref="A3"/>
      <selection pane="bottomRight" activeCell="C74" sqref="C74"/>
    </sheetView>
  </sheetViews>
  <sheetFormatPr defaultRowHeight="15" x14ac:dyDescent="0.25"/>
  <cols>
    <col min="1" max="1" width="2.7109375" style="3" customWidth="1"/>
    <col min="2" max="2" width="32.7109375" style="17" bestFit="1" customWidth="1"/>
    <col min="3" max="3" width="27.5703125" style="17" customWidth="1"/>
    <col min="4" max="4" width="29.5703125" style="17" bestFit="1" customWidth="1"/>
    <col min="5" max="5" width="23.7109375" style="38" bestFit="1" customWidth="1"/>
    <col min="6" max="9" width="15.7109375" style="43" customWidth="1"/>
    <col min="10" max="16" width="15.7109375" style="42" customWidth="1"/>
    <col min="17" max="17" width="2.7109375" style="17" customWidth="1"/>
    <col min="18" max="68" width="10.28515625" style="52" bestFit="1" customWidth="1"/>
    <col min="69" max="78" width="10.28515625" bestFit="1" customWidth="1"/>
  </cols>
  <sheetData>
    <row r="1" spans="1:78" x14ac:dyDescent="0.25">
      <c r="A1" s="25"/>
      <c r="B1" s="36" t="s">
        <v>9</v>
      </c>
      <c r="C1" s="36" t="s">
        <v>9</v>
      </c>
      <c r="D1" s="36" t="s">
        <v>16</v>
      </c>
      <c r="E1" s="10" t="s">
        <v>97</v>
      </c>
      <c r="F1" s="45">
        <v>2000</v>
      </c>
      <c r="G1" s="45">
        <v>2005</v>
      </c>
      <c r="H1" s="45">
        <v>2010</v>
      </c>
      <c r="I1" s="45">
        <v>2015</v>
      </c>
      <c r="J1" s="45">
        <v>2020</v>
      </c>
      <c r="K1" s="45">
        <v>2025</v>
      </c>
      <c r="L1" s="45">
        <v>2030</v>
      </c>
      <c r="M1" s="45">
        <v>2035</v>
      </c>
      <c r="N1" s="45">
        <v>2040</v>
      </c>
      <c r="O1" s="45">
        <v>2045</v>
      </c>
      <c r="P1" s="45">
        <v>2050</v>
      </c>
      <c r="Q1" s="49"/>
      <c r="R1" s="45">
        <v>2000</v>
      </c>
      <c r="S1" s="45">
        <v>2001</v>
      </c>
      <c r="T1" s="45">
        <v>2002</v>
      </c>
      <c r="U1" s="45">
        <v>2003</v>
      </c>
      <c r="V1" s="45">
        <v>2004</v>
      </c>
      <c r="W1" s="45">
        <v>2005</v>
      </c>
      <c r="X1" s="45">
        <v>2006</v>
      </c>
      <c r="Y1" s="45">
        <v>2007</v>
      </c>
      <c r="Z1" s="45">
        <v>2008</v>
      </c>
      <c r="AA1" s="45">
        <v>2009</v>
      </c>
      <c r="AB1" s="45">
        <v>2010</v>
      </c>
      <c r="AC1" s="45">
        <v>2011</v>
      </c>
      <c r="AD1" s="45">
        <v>2012</v>
      </c>
      <c r="AE1" s="45">
        <v>2013</v>
      </c>
      <c r="AF1" s="45">
        <v>2014</v>
      </c>
      <c r="AG1" s="45">
        <v>2015</v>
      </c>
      <c r="AH1" s="45">
        <v>2016</v>
      </c>
      <c r="AI1" s="45">
        <v>2017</v>
      </c>
      <c r="AJ1" s="45">
        <v>2018</v>
      </c>
      <c r="AK1" s="45">
        <v>2019</v>
      </c>
      <c r="AL1" s="45">
        <v>2020</v>
      </c>
      <c r="AM1" s="45">
        <v>2021</v>
      </c>
      <c r="AN1" s="45">
        <v>2022</v>
      </c>
      <c r="AO1" s="45">
        <v>2023</v>
      </c>
      <c r="AP1" s="45">
        <v>2024</v>
      </c>
      <c r="AQ1" s="45">
        <v>2025</v>
      </c>
      <c r="AR1" s="45">
        <v>2026</v>
      </c>
      <c r="AS1" s="45">
        <v>2027</v>
      </c>
      <c r="AT1" s="45">
        <v>2028</v>
      </c>
      <c r="AU1" s="45">
        <v>2029</v>
      </c>
      <c r="AV1" s="45">
        <v>2030</v>
      </c>
      <c r="AW1" s="45">
        <v>2031</v>
      </c>
      <c r="AX1" s="45">
        <v>2032</v>
      </c>
      <c r="AY1" s="45">
        <v>2033</v>
      </c>
      <c r="AZ1" s="45">
        <v>2034</v>
      </c>
      <c r="BA1" s="45">
        <v>2035</v>
      </c>
      <c r="BB1" s="45">
        <v>2036</v>
      </c>
      <c r="BC1" s="45">
        <v>2037</v>
      </c>
      <c r="BD1" s="45">
        <v>2038</v>
      </c>
      <c r="BE1" s="45">
        <v>2039</v>
      </c>
      <c r="BF1" s="45">
        <v>2040</v>
      </c>
      <c r="BG1" s="45">
        <v>2041</v>
      </c>
      <c r="BH1" s="45">
        <v>2042</v>
      </c>
      <c r="BI1" s="45">
        <v>2043</v>
      </c>
      <c r="BJ1" s="45">
        <v>2044</v>
      </c>
      <c r="BK1" s="45">
        <v>2045</v>
      </c>
      <c r="BL1" s="45">
        <v>2046</v>
      </c>
      <c r="BM1" s="45">
        <v>2047</v>
      </c>
      <c r="BN1" s="45">
        <v>2048</v>
      </c>
      <c r="BO1" s="45">
        <v>2049</v>
      </c>
      <c r="BP1" s="45">
        <v>2050</v>
      </c>
      <c r="BQ1" s="45">
        <v>2051</v>
      </c>
      <c r="BR1" s="45">
        <v>2052</v>
      </c>
      <c r="BS1" s="45">
        <v>2053</v>
      </c>
      <c r="BT1" s="45">
        <v>2054</v>
      </c>
      <c r="BU1" s="45">
        <v>2055</v>
      </c>
      <c r="BV1" s="45">
        <v>2056</v>
      </c>
      <c r="BW1" s="45">
        <v>2057</v>
      </c>
      <c r="BX1" s="45">
        <v>2058</v>
      </c>
      <c r="BY1" s="45">
        <v>2059</v>
      </c>
      <c r="BZ1" s="45">
        <v>2060</v>
      </c>
    </row>
    <row r="2" spans="1:78" x14ac:dyDescent="0.25">
      <c r="A2" s="13"/>
      <c r="B2" s="15"/>
      <c r="C2" s="15"/>
      <c r="D2" s="15"/>
      <c r="E2" s="11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50"/>
    </row>
    <row r="3" spans="1:78" x14ac:dyDescent="0.25">
      <c r="A3" s="7"/>
      <c r="B3" s="37" t="s">
        <v>52</v>
      </c>
      <c r="C3" s="37" t="s">
        <v>59</v>
      </c>
      <c r="D3" s="37" t="s">
        <v>102</v>
      </c>
      <c r="E3" s="39" t="s">
        <v>103</v>
      </c>
      <c r="F3" s="19">
        <f t="shared" ref="F3:I16" si="0">INDEX($R3:$BZ3,MATCH(F$1,$R$1:$BZ$1,0))</f>
        <v>30685730</v>
      </c>
      <c r="G3" s="19">
        <f t="shared" si="0"/>
        <v>32243753</v>
      </c>
      <c r="H3" s="19">
        <f t="shared" si="0"/>
        <v>34004889</v>
      </c>
      <c r="I3" s="19">
        <f t="shared" si="0"/>
        <v>35702908</v>
      </c>
      <c r="J3" s="58">
        <f>J19</f>
        <v>37873700</v>
      </c>
      <c r="K3" s="58">
        <f t="shared" ref="K3:P3" si="1">K19</f>
        <v>39913500</v>
      </c>
      <c r="L3" s="58">
        <f t="shared" si="1"/>
        <v>41888100</v>
      </c>
      <c r="M3" s="58">
        <f t="shared" si="1"/>
        <v>43755500</v>
      </c>
      <c r="N3" s="58">
        <f t="shared" si="1"/>
        <v>45506800</v>
      </c>
      <c r="O3" s="58">
        <f t="shared" si="1"/>
        <v>47156200</v>
      </c>
      <c r="P3" s="58">
        <f t="shared" si="1"/>
        <v>48763100</v>
      </c>
      <c r="Q3" s="51"/>
      <c r="R3" s="52">
        <v>30685730</v>
      </c>
      <c r="S3" s="52">
        <v>31020902</v>
      </c>
      <c r="T3" s="52">
        <v>31360079</v>
      </c>
      <c r="U3" s="52">
        <v>31644028</v>
      </c>
      <c r="V3" s="52">
        <v>31940655</v>
      </c>
      <c r="W3" s="52">
        <v>32243753</v>
      </c>
      <c r="X3" s="52">
        <v>32571174</v>
      </c>
      <c r="Y3" s="52">
        <v>32889025</v>
      </c>
      <c r="Z3" s="52">
        <v>33247118</v>
      </c>
      <c r="AA3" s="52">
        <v>33628895</v>
      </c>
      <c r="AB3" s="52">
        <v>34004889</v>
      </c>
      <c r="AC3" s="52">
        <v>34339328</v>
      </c>
      <c r="AD3" s="52">
        <v>34714222</v>
      </c>
      <c r="AE3" s="52">
        <v>35082954</v>
      </c>
      <c r="AF3" s="52">
        <v>35437435</v>
      </c>
      <c r="AG3" s="52">
        <v>35702908</v>
      </c>
      <c r="AH3" s="52">
        <v>36109487</v>
      </c>
      <c r="AI3" s="52">
        <v>36543321</v>
      </c>
      <c r="AJ3" s="52">
        <v>37057765</v>
      </c>
      <c r="AK3" s="52">
        <v>37589262</v>
      </c>
    </row>
    <row r="4" spans="1:78" x14ac:dyDescent="0.25">
      <c r="A4" s="7"/>
      <c r="B4" s="37"/>
      <c r="C4" s="37" t="s">
        <v>106</v>
      </c>
      <c r="D4" s="37" t="s">
        <v>102</v>
      </c>
      <c r="E4" s="39" t="s">
        <v>103</v>
      </c>
      <c r="F4" s="19">
        <f t="shared" si="0"/>
        <v>527966</v>
      </c>
      <c r="G4" s="19">
        <f t="shared" si="0"/>
        <v>514332</v>
      </c>
      <c r="H4" s="19">
        <f t="shared" si="0"/>
        <v>522009</v>
      </c>
      <c r="I4" s="19">
        <f t="shared" si="0"/>
        <v>528117</v>
      </c>
      <c r="J4" s="58">
        <f t="shared" ref="J4:P4" si="2">J20</f>
        <v>522299.99999999994</v>
      </c>
      <c r="K4" s="58">
        <f t="shared" si="2"/>
        <v>513400</v>
      </c>
      <c r="L4" s="58">
        <f t="shared" si="2"/>
        <v>502000</v>
      </c>
      <c r="M4" s="58">
        <f t="shared" si="2"/>
        <v>487400</v>
      </c>
      <c r="N4" s="58">
        <f t="shared" si="2"/>
        <v>470100</v>
      </c>
      <c r="O4" s="58">
        <f t="shared" si="2"/>
        <v>487138.83683317655</v>
      </c>
      <c r="P4" s="58">
        <f t="shared" si="2"/>
        <v>503738.63488533581</v>
      </c>
      <c r="Q4" s="51"/>
      <c r="R4" s="52">
        <v>527966</v>
      </c>
      <c r="S4" s="52">
        <v>522046</v>
      </c>
      <c r="T4" s="52">
        <v>519481</v>
      </c>
      <c r="U4" s="52">
        <v>518459</v>
      </c>
      <c r="V4" s="52">
        <v>517423</v>
      </c>
      <c r="W4" s="52">
        <v>514332</v>
      </c>
      <c r="X4" s="52">
        <v>510592</v>
      </c>
      <c r="Y4" s="52">
        <v>509055</v>
      </c>
      <c r="Z4" s="52">
        <v>511581</v>
      </c>
      <c r="AA4" s="52">
        <v>516751</v>
      </c>
      <c r="AB4" s="52">
        <v>522009</v>
      </c>
      <c r="AC4" s="52">
        <v>524999</v>
      </c>
      <c r="AD4" s="52">
        <v>526345</v>
      </c>
      <c r="AE4" s="52">
        <v>527114</v>
      </c>
      <c r="AF4" s="52">
        <v>528159</v>
      </c>
      <c r="AG4" s="52">
        <v>528117</v>
      </c>
      <c r="AH4" s="52">
        <v>529426</v>
      </c>
      <c r="AI4" s="52">
        <v>528356</v>
      </c>
      <c r="AJ4" s="52">
        <v>525604</v>
      </c>
      <c r="AK4" s="52">
        <v>521542</v>
      </c>
    </row>
    <row r="5" spans="1:78" x14ac:dyDescent="0.25">
      <c r="A5" s="7"/>
      <c r="B5" s="37"/>
      <c r="C5" s="37" t="s">
        <v>107</v>
      </c>
      <c r="D5" s="37" t="s">
        <v>102</v>
      </c>
      <c r="E5" s="39" t="s">
        <v>103</v>
      </c>
      <c r="F5" s="19">
        <f t="shared" si="0"/>
        <v>136470</v>
      </c>
      <c r="G5" s="19">
        <f t="shared" si="0"/>
        <v>138064</v>
      </c>
      <c r="H5" s="19">
        <f t="shared" si="0"/>
        <v>141654</v>
      </c>
      <c r="I5" s="19">
        <f t="shared" si="0"/>
        <v>144546</v>
      </c>
      <c r="J5" s="58">
        <f t="shared" ref="J5:P5" si="3">J21</f>
        <v>157400</v>
      </c>
      <c r="K5" s="58">
        <f t="shared" si="3"/>
        <v>167800</v>
      </c>
      <c r="L5" s="58">
        <f t="shared" si="3"/>
        <v>177600</v>
      </c>
      <c r="M5" s="58">
        <f t="shared" si="3"/>
        <v>186300</v>
      </c>
      <c r="N5" s="58">
        <f t="shared" si="3"/>
        <v>193600</v>
      </c>
      <c r="O5" s="58">
        <f t="shared" si="3"/>
        <v>200617.05767050199</v>
      </c>
      <c r="P5" s="58">
        <f t="shared" si="3"/>
        <v>207453.30719804514</v>
      </c>
      <c r="Q5" s="51"/>
      <c r="R5" s="52">
        <v>136470</v>
      </c>
      <c r="S5" s="52">
        <v>136665</v>
      </c>
      <c r="T5" s="52">
        <v>136880</v>
      </c>
      <c r="U5" s="52">
        <v>137227</v>
      </c>
      <c r="V5" s="52">
        <v>137680</v>
      </c>
      <c r="W5" s="52">
        <v>138064</v>
      </c>
      <c r="X5" s="52">
        <v>137867</v>
      </c>
      <c r="Y5" s="52">
        <v>137711</v>
      </c>
      <c r="Z5" s="52">
        <v>138749</v>
      </c>
      <c r="AA5" s="52">
        <v>139891</v>
      </c>
      <c r="AB5" s="52">
        <v>141654</v>
      </c>
      <c r="AC5" s="52">
        <v>143963</v>
      </c>
      <c r="AD5" s="52">
        <v>144530</v>
      </c>
      <c r="AE5" s="52">
        <v>144094</v>
      </c>
      <c r="AF5" s="52">
        <v>144283</v>
      </c>
      <c r="AG5" s="52">
        <v>144546</v>
      </c>
      <c r="AH5" s="52">
        <v>146969</v>
      </c>
      <c r="AI5" s="52">
        <v>150483</v>
      </c>
      <c r="AJ5" s="52">
        <v>153584</v>
      </c>
      <c r="AK5" s="52">
        <v>156947</v>
      </c>
    </row>
    <row r="6" spans="1:78" x14ac:dyDescent="0.25">
      <c r="A6" s="7"/>
      <c r="B6" s="37"/>
      <c r="C6" s="37" t="s">
        <v>108</v>
      </c>
      <c r="D6" s="37" t="s">
        <v>102</v>
      </c>
      <c r="E6" s="39" t="s">
        <v>103</v>
      </c>
      <c r="F6" s="19">
        <f t="shared" si="0"/>
        <v>933821</v>
      </c>
      <c r="G6" s="19">
        <f t="shared" si="0"/>
        <v>937926</v>
      </c>
      <c r="H6" s="19">
        <f t="shared" si="0"/>
        <v>942107</v>
      </c>
      <c r="I6" s="19">
        <f t="shared" si="0"/>
        <v>936525</v>
      </c>
      <c r="J6" s="58">
        <f t="shared" ref="J6:P6" si="4">J22</f>
        <v>967100</v>
      </c>
      <c r="K6" s="58">
        <f t="shared" si="4"/>
        <v>983900</v>
      </c>
      <c r="L6" s="58">
        <f t="shared" si="4"/>
        <v>996100</v>
      </c>
      <c r="M6" s="58">
        <f t="shared" si="4"/>
        <v>1001200</v>
      </c>
      <c r="N6" s="58">
        <f t="shared" si="4"/>
        <v>998700</v>
      </c>
      <c r="O6" s="58">
        <f t="shared" si="4"/>
        <v>1034898.0139231939</v>
      </c>
      <c r="P6" s="58">
        <f t="shared" si="4"/>
        <v>1070163.3155923949</v>
      </c>
      <c r="Q6" s="51"/>
      <c r="R6" s="52">
        <v>933821</v>
      </c>
      <c r="S6" s="52">
        <v>932494</v>
      </c>
      <c r="T6" s="52">
        <v>935179</v>
      </c>
      <c r="U6" s="52">
        <v>937717</v>
      </c>
      <c r="V6" s="52">
        <v>939664</v>
      </c>
      <c r="W6" s="52">
        <v>937926</v>
      </c>
      <c r="X6" s="52">
        <v>937882</v>
      </c>
      <c r="Y6" s="52">
        <v>935115</v>
      </c>
      <c r="Z6" s="52">
        <v>935897</v>
      </c>
      <c r="AA6" s="52">
        <v>938208</v>
      </c>
      <c r="AB6" s="52">
        <v>942107</v>
      </c>
      <c r="AC6" s="52">
        <v>944274</v>
      </c>
      <c r="AD6" s="52">
        <v>943635</v>
      </c>
      <c r="AE6" s="52">
        <v>940434</v>
      </c>
      <c r="AF6" s="52">
        <v>938545</v>
      </c>
      <c r="AG6" s="52">
        <v>936525</v>
      </c>
      <c r="AH6" s="52">
        <v>942790</v>
      </c>
      <c r="AI6" s="52">
        <v>950401</v>
      </c>
      <c r="AJ6" s="52">
        <v>959500</v>
      </c>
      <c r="AK6" s="52">
        <v>971395</v>
      </c>
    </row>
    <row r="7" spans="1:78" x14ac:dyDescent="0.25">
      <c r="A7" s="7"/>
      <c r="B7" s="37"/>
      <c r="C7" s="37" t="s">
        <v>109</v>
      </c>
      <c r="D7" s="37" t="s">
        <v>102</v>
      </c>
      <c r="E7" s="39" t="s">
        <v>103</v>
      </c>
      <c r="F7" s="19">
        <f t="shared" si="0"/>
        <v>750517</v>
      </c>
      <c r="G7" s="19">
        <f t="shared" si="0"/>
        <v>748057</v>
      </c>
      <c r="H7" s="19">
        <f t="shared" si="0"/>
        <v>753035</v>
      </c>
      <c r="I7" s="19">
        <f t="shared" si="0"/>
        <v>758842</v>
      </c>
      <c r="J7" s="58">
        <f t="shared" ref="J7:P7" si="5">J23</f>
        <v>775600</v>
      </c>
      <c r="K7" s="58">
        <f t="shared" si="5"/>
        <v>787700</v>
      </c>
      <c r="L7" s="58">
        <f t="shared" si="5"/>
        <v>796600</v>
      </c>
      <c r="M7" s="58">
        <f t="shared" si="5"/>
        <v>800300</v>
      </c>
      <c r="N7" s="58">
        <f t="shared" si="5"/>
        <v>798100</v>
      </c>
      <c r="O7" s="58">
        <f t="shared" si="5"/>
        <v>827027.24032452295</v>
      </c>
      <c r="P7" s="58">
        <f t="shared" si="5"/>
        <v>855209.11402251967</v>
      </c>
      <c r="Q7" s="51"/>
      <c r="R7" s="52">
        <v>750517</v>
      </c>
      <c r="S7" s="52">
        <v>749820</v>
      </c>
      <c r="T7" s="52">
        <v>749372</v>
      </c>
      <c r="U7" s="52">
        <v>749441</v>
      </c>
      <c r="V7" s="52">
        <v>749419</v>
      </c>
      <c r="W7" s="52">
        <v>748057</v>
      </c>
      <c r="X7" s="52">
        <v>745621</v>
      </c>
      <c r="Y7" s="52">
        <v>745433</v>
      </c>
      <c r="Z7" s="52">
        <v>746877</v>
      </c>
      <c r="AA7" s="52">
        <v>749956</v>
      </c>
      <c r="AB7" s="52">
        <v>753035</v>
      </c>
      <c r="AC7" s="52">
        <v>755705</v>
      </c>
      <c r="AD7" s="52">
        <v>758378</v>
      </c>
      <c r="AE7" s="52">
        <v>758544</v>
      </c>
      <c r="AF7" s="52">
        <v>758976</v>
      </c>
      <c r="AG7" s="52">
        <v>758842</v>
      </c>
      <c r="AH7" s="52">
        <v>763350</v>
      </c>
      <c r="AI7" s="52">
        <v>766762</v>
      </c>
      <c r="AJ7" s="52">
        <v>770921</v>
      </c>
      <c r="AK7" s="52">
        <v>776827</v>
      </c>
    </row>
    <row r="8" spans="1:78" x14ac:dyDescent="0.25">
      <c r="A8" s="7"/>
      <c r="B8" s="37"/>
      <c r="C8" s="37" t="s">
        <v>110</v>
      </c>
      <c r="D8" s="37" t="s">
        <v>102</v>
      </c>
      <c r="E8" s="39" t="s">
        <v>103</v>
      </c>
      <c r="F8" s="19">
        <f t="shared" si="0"/>
        <v>7356951</v>
      </c>
      <c r="G8" s="19">
        <f t="shared" si="0"/>
        <v>7581476</v>
      </c>
      <c r="H8" s="19">
        <f t="shared" si="0"/>
        <v>7929222</v>
      </c>
      <c r="I8" s="19">
        <f t="shared" si="0"/>
        <v>8175272</v>
      </c>
      <c r="J8" s="58">
        <f t="shared" ref="J8:P8" si="6">J24</f>
        <v>8494500</v>
      </c>
      <c r="K8" s="58">
        <f t="shared" si="6"/>
        <v>8738500</v>
      </c>
      <c r="L8" s="58">
        <f t="shared" si="6"/>
        <v>8958900</v>
      </c>
      <c r="M8" s="58">
        <f t="shared" si="6"/>
        <v>9159100</v>
      </c>
      <c r="N8" s="58">
        <f t="shared" si="6"/>
        <v>9353100</v>
      </c>
      <c r="O8" s="58">
        <f t="shared" si="6"/>
        <v>9692104.3496796079</v>
      </c>
      <c r="P8" s="58">
        <f t="shared" si="6"/>
        <v>10022373.592737788</v>
      </c>
      <c r="Q8" s="51"/>
      <c r="R8" s="52">
        <v>7356951</v>
      </c>
      <c r="S8" s="52">
        <v>7396456</v>
      </c>
      <c r="T8" s="52">
        <v>7441656</v>
      </c>
      <c r="U8" s="52">
        <v>7485753</v>
      </c>
      <c r="V8" s="52">
        <v>7535590</v>
      </c>
      <c r="W8" s="52">
        <v>7581476</v>
      </c>
      <c r="X8" s="52">
        <v>7631966</v>
      </c>
      <c r="Y8" s="52">
        <v>7692916</v>
      </c>
      <c r="Z8" s="52">
        <v>7761725</v>
      </c>
      <c r="AA8" s="52">
        <v>7843383</v>
      </c>
      <c r="AB8" s="52">
        <v>7929222</v>
      </c>
      <c r="AC8" s="52">
        <v>8005090</v>
      </c>
      <c r="AD8" s="52">
        <v>8061101</v>
      </c>
      <c r="AE8" s="52">
        <v>8110880</v>
      </c>
      <c r="AF8" s="52">
        <v>8150183</v>
      </c>
      <c r="AG8" s="52">
        <v>8175272</v>
      </c>
      <c r="AH8" s="52">
        <v>8225950</v>
      </c>
      <c r="AI8" s="52">
        <v>8298827</v>
      </c>
      <c r="AJ8" s="52">
        <v>8387632</v>
      </c>
      <c r="AK8" s="52">
        <v>8484965</v>
      </c>
    </row>
    <row r="9" spans="1:78" x14ac:dyDescent="0.25">
      <c r="A9" s="7"/>
      <c r="B9" s="37"/>
      <c r="C9" s="37" t="s">
        <v>111</v>
      </c>
      <c r="D9" s="37" t="s">
        <v>102</v>
      </c>
      <c r="E9" s="39" t="s">
        <v>103</v>
      </c>
      <c r="F9" s="19">
        <f t="shared" si="0"/>
        <v>11683290</v>
      </c>
      <c r="G9" s="19">
        <f t="shared" si="0"/>
        <v>12528663</v>
      </c>
      <c r="H9" s="19">
        <f t="shared" si="0"/>
        <v>13135778</v>
      </c>
      <c r="I9" s="19">
        <f t="shared" si="0"/>
        <v>13707118</v>
      </c>
      <c r="J9" s="58">
        <f t="shared" ref="J9:P9" si="7">J25</f>
        <v>14677900</v>
      </c>
      <c r="K9" s="58">
        <f t="shared" si="7"/>
        <v>15561600</v>
      </c>
      <c r="L9" s="58">
        <f t="shared" si="7"/>
        <v>16411599.999999998</v>
      </c>
      <c r="M9" s="58">
        <f t="shared" si="7"/>
        <v>17195100</v>
      </c>
      <c r="N9" s="58">
        <f t="shared" si="7"/>
        <v>17892000</v>
      </c>
      <c r="O9" s="58">
        <f t="shared" si="7"/>
        <v>18540497.912399907</v>
      </c>
      <c r="P9" s="58">
        <f t="shared" si="7"/>
        <v>19172286.014397848</v>
      </c>
      <c r="Q9" s="51"/>
      <c r="R9" s="52">
        <v>11683290</v>
      </c>
      <c r="S9" s="52">
        <v>11897534</v>
      </c>
      <c r="T9" s="52">
        <v>12094174</v>
      </c>
      <c r="U9" s="52">
        <v>12245039</v>
      </c>
      <c r="V9" s="52">
        <v>12391421</v>
      </c>
      <c r="W9" s="52">
        <v>12528663</v>
      </c>
      <c r="X9" s="52">
        <v>12661878</v>
      </c>
      <c r="Y9" s="52">
        <v>12764806</v>
      </c>
      <c r="Z9" s="52">
        <v>12883583</v>
      </c>
      <c r="AA9" s="52">
        <v>12998345</v>
      </c>
      <c r="AB9" s="52">
        <v>13135778</v>
      </c>
      <c r="AC9" s="52">
        <v>13261381</v>
      </c>
      <c r="AD9" s="52">
        <v>13390632</v>
      </c>
      <c r="AE9" s="52">
        <v>13510781</v>
      </c>
      <c r="AF9" s="52">
        <v>13617553</v>
      </c>
      <c r="AG9" s="52">
        <v>13707118</v>
      </c>
      <c r="AH9" s="52">
        <v>13875394</v>
      </c>
      <c r="AI9" s="52">
        <v>14072615</v>
      </c>
      <c r="AJ9" s="52">
        <v>14318545</v>
      </c>
      <c r="AK9" s="52">
        <v>14566547</v>
      </c>
    </row>
    <row r="10" spans="1:78" x14ac:dyDescent="0.25">
      <c r="A10" s="7"/>
      <c r="B10" s="37"/>
      <c r="C10" s="37" t="s">
        <v>112</v>
      </c>
      <c r="D10" s="37" t="s">
        <v>102</v>
      </c>
      <c r="E10" s="39" t="s">
        <v>103</v>
      </c>
      <c r="F10" s="19">
        <f t="shared" si="0"/>
        <v>1147313</v>
      </c>
      <c r="G10" s="19">
        <f t="shared" si="0"/>
        <v>1178264</v>
      </c>
      <c r="H10" s="19">
        <f t="shared" si="0"/>
        <v>1220780</v>
      </c>
      <c r="I10" s="19">
        <f t="shared" si="0"/>
        <v>1292227</v>
      </c>
      <c r="J10" s="58">
        <f t="shared" ref="J10:P10" si="8">J26</f>
        <v>1381900</v>
      </c>
      <c r="K10" s="58">
        <f t="shared" si="8"/>
        <v>1457800</v>
      </c>
      <c r="L10" s="58">
        <f t="shared" si="8"/>
        <v>1534800</v>
      </c>
      <c r="M10" s="58">
        <f t="shared" si="8"/>
        <v>1612800</v>
      </c>
      <c r="N10" s="58">
        <f t="shared" si="8"/>
        <v>1692500</v>
      </c>
      <c r="O10" s="58">
        <f t="shared" si="8"/>
        <v>1753844.886917999</v>
      </c>
      <c r="P10" s="58">
        <f t="shared" si="8"/>
        <v>1813609.1034746456</v>
      </c>
      <c r="Q10" s="51"/>
      <c r="R10" s="52">
        <v>1147313</v>
      </c>
      <c r="S10" s="52">
        <v>1151454</v>
      </c>
      <c r="T10" s="52">
        <v>1156680</v>
      </c>
      <c r="U10" s="52">
        <v>1163596</v>
      </c>
      <c r="V10" s="52">
        <v>1173238</v>
      </c>
      <c r="W10" s="52">
        <v>1178264</v>
      </c>
      <c r="X10" s="52">
        <v>1183562</v>
      </c>
      <c r="Y10" s="52">
        <v>1189451</v>
      </c>
      <c r="Z10" s="52">
        <v>1197775</v>
      </c>
      <c r="AA10" s="52">
        <v>1208556</v>
      </c>
      <c r="AB10" s="52">
        <v>1220780</v>
      </c>
      <c r="AC10" s="52">
        <v>1233649</v>
      </c>
      <c r="AD10" s="52">
        <v>1249975</v>
      </c>
      <c r="AE10" s="52">
        <v>1264620</v>
      </c>
      <c r="AF10" s="52">
        <v>1279014</v>
      </c>
      <c r="AG10" s="52">
        <v>1292227</v>
      </c>
      <c r="AH10" s="52">
        <v>1314139</v>
      </c>
      <c r="AI10" s="52">
        <v>1335018</v>
      </c>
      <c r="AJ10" s="52">
        <v>1353403</v>
      </c>
      <c r="AK10" s="52">
        <v>1369465</v>
      </c>
    </row>
    <row r="11" spans="1:78" x14ac:dyDescent="0.25">
      <c r="A11" s="7"/>
      <c r="B11" s="37"/>
      <c r="C11" s="37" t="s">
        <v>113</v>
      </c>
      <c r="D11" s="37" t="s">
        <v>102</v>
      </c>
      <c r="E11" s="39" t="s">
        <v>103</v>
      </c>
      <c r="F11" s="19">
        <f t="shared" si="0"/>
        <v>1007565</v>
      </c>
      <c r="G11" s="19">
        <f t="shared" si="0"/>
        <v>993500</v>
      </c>
      <c r="H11" s="19">
        <f t="shared" si="0"/>
        <v>1051443</v>
      </c>
      <c r="I11" s="19">
        <f t="shared" si="0"/>
        <v>1120967</v>
      </c>
      <c r="J11" s="58">
        <f t="shared" ref="J11:P11" si="9">J27</f>
        <v>1195100</v>
      </c>
      <c r="K11" s="58">
        <f t="shared" si="9"/>
        <v>1287000</v>
      </c>
      <c r="L11" s="58">
        <f t="shared" si="9"/>
        <v>1380400</v>
      </c>
      <c r="M11" s="58">
        <f t="shared" si="9"/>
        <v>1468800</v>
      </c>
      <c r="N11" s="58">
        <f t="shared" si="9"/>
        <v>1548700</v>
      </c>
      <c r="O11" s="58">
        <f t="shared" si="9"/>
        <v>1604832.8368507563</v>
      </c>
      <c r="P11" s="58">
        <f t="shared" si="9"/>
        <v>1659519.3019504778</v>
      </c>
      <c r="Q11" s="51"/>
      <c r="R11" s="52">
        <v>1007565</v>
      </c>
      <c r="S11" s="52">
        <v>1000239</v>
      </c>
      <c r="T11" s="52">
        <v>996807</v>
      </c>
      <c r="U11" s="52">
        <v>996386</v>
      </c>
      <c r="V11" s="52">
        <v>997283</v>
      </c>
      <c r="W11" s="52">
        <v>993500</v>
      </c>
      <c r="X11" s="52">
        <v>992314</v>
      </c>
      <c r="Y11" s="52">
        <v>1002086</v>
      </c>
      <c r="Z11" s="52">
        <v>1017404</v>
      </c>
      <c r="AA11" s="52">
        <v>1034819</v>
      </c>
      <c r="AB11" s="52">
        <v>1051443</v>
      </c>
      <c r="AC11" s="52">
        <v>1066026</v>
      </c>
      <c r="AD11" s="52">
        <v>1083755</v>
      </c>
      <c r="AE11" s="52">
        <v>1099736</v>
      </c>
      <c r="AF11" s="52">
        <v>1112979</v>
      </c>
      <c r="AG11" s="52">
        <v>1120967</v>
      </c>
      <c r="AH11" s="52">
        <v>1135987</v>
      </c>
      <c r="AI11" s="52">
        <v>1150926</v>
      </c>
      <c r="AJ11" s="52">
        <v>1162978</v>
      </c>
      <c r="AK11" s="52">
        <v>1174462</v>
      </c>
    </row>
    <row r="12" spans="1:78" x14ac:dyDescent="0.25">
      <c r="A12" s="7"/>
      <c r="B12" s="37"/>
      <c r="C12" s="37" t="s">
        <v>5</v>
      </c>
      <c r="D12" s="37" t="s">
        <v>102</v>
      </c>
      <c r="E12" s="39" t="s">
        <v>103</v>
      </c>
      <c r="F12" s="19">
        <f>INDEX($R12:$BZ12,MATCH(F$1,$R$1:$BZ$1,0))</f>
        <v>3004198</v>
      </c>
      <c r="G12" s="19">
        <f t="shared" si="0"/>
        <v>3321768</v>
      </c>
      <c r="H12" s="19">
        <f t="shared" si="0"/>
        <v>3732082</v>
      </c>
      <c r="I12" s="19">
        <f t="shared" si="0"/>
        <v>4144491</v>
      </c>
      <c r="J12" s="58">
        <f t="shared" ref="J12:P12" si="10">J28</f>
        <v>4472800</v>
      </c>
      <c r="K12" s="58">
        <f t="shared" si="10"/>
        <v>4908500</v>
      </c>
      <c r="L12" s="58">
        <f t="shared" si="10"/>
        <v>5360500</v>
      </c>
      <c r="M12" s="58">
        <f t="shared" si="10"/>
        <v>5830000</v>
      </c>
      <c r="N12" s="58">
        <f t="shared" si="10"/>
        <v>6317800</v>
      </c>
      <c r="O12" s="58">
        <f t="shared" si="10"/>
        <v>6546789.4987122808</v>
      </c>
      <c r="P12" s="58">
        <f t="shared" si="10"/>
        <v>6769878.6374783553</v>
      </c>
      <c r="Q12" s="51"/>
      <c r="R12" s="52">
        <v>3004198</v>
      </c>
      <c r="S12" s="52">
        <v>3058108</v>
      </c>
      <c r="T12" s="52">
        <v>3128429</v>
      </c>
      <c r="U12" s="52">
        <v>3183065</v>
      </c>
      <c r="V12" s="52">
        <v>3238668</v>
      </c>
      <c r="W12" s="52">
        <v>3321768</v>
      </c>
      <c r="X12" s="52">
        <v>3421434</v>
      </c>
      <c r="Y12" s="52">
        <v>3514147</v>
      </c>
      <c r="Z12" s="52">
        <v>3595856</v>
      </c>
      <c r="AA12" s="52">
        <v>3678996</v>
      </c>
      <c r="AB12" s="52">
        <v>3732082</v>
      </c>
      <c r="AC12" s="52">
        <v>3789030</v>
      </c>
      <c r="AD12" s="52">
        <v>3874548</v>
      </c>
      <c r="AE12" s="52">
        <v>3981011</v>
      </c>
      <c r="AF12" s="52">
        <v>4083648</v>
      </c>
      <c r="AG12" s="52">
        <v>4144491</v>
      </c>
      <c r="AH12" s="52">
        <v>4196061</v>
      </c>
      <c r="AI12" s="52">
        <v>4243543</v>
      </c>
      <c r="AJ12" s="52">
        <v>4300721</v>
      </c>
      <c r="AK12" s="52">
        <v>4371316</v>
      </c>
    </row>
    <row r="13" spans="1:78" x14ac:dyDescent="0.25">
      <c r="A13" s="7"/>
      <c r="B13" s="37"/>
      <c r="C13" s="37" t="s">
        <v>75</v>
      </c>
      <c r="D13" s="37" t="s">
        <v>102</v>
      </c>
      <c r="E13" s="39" t="s">
        <v>103</v>
      </c>
      <c r="F13" s="19">
        <f t="shared" ref="F13:F16" si="11">INDEX($R13:$BZ13,MATCH(F$1,$R$1:$BZ$1,0))</f>
        <v>4039230</v>
      </c>
      <c r="G13" s="19">
        <f t="shared" si="0"/>
        <v>4196062</v>
      </c>
      <c r="H13" s="19">
        <f t="shared" si="0"/>
        <v>4465546</v>
      </c>
      <c r="I13" s="19">
        <f t="shared" si="0"/>
        <v>4776388</v>
      </c>
      <c r="J13" s="58">
        <f t="shared" ref="J13:P13" si="12">J29</f>
        <v>5103500</v>
      </c>
      <c r="K13" s="58">
        <f t="shared" si="12"/>
        <v>5375800</v>
      </c>
      <c r="L13" s="58">
        <f t="shared" si="12"/>
        <v>5632900</v>
      </c>
      <c r="M13" s="58">
        <f t="shared" si="12"/>
        <v>5872900</v>
      </c>
      <c r="N13" s="58">
        <f t="shared" si="12"/>
        <v>6096400</v>
      </c>
      <c r="O13" s="58">
        <f t="shared" si="12"/>
        <v>6317364.8263556212</v>
      </c>
      <c r="P13" s="58">
        <f t="shared" si="12"/>
        <v>6532636.064060756</v>
      </c>
      <c r="Q13" s="51"/>
      <c r="R13" s="52">
        <v>4039230</v>
      </c>
      <c r="S13" s="52">
        <v>4076950</v>
      </c>
      <c r="T13" s="52">
        <v>4100564</v>
      </c>
      <c r="U13" s="52">
        <v>4124482</v>
      </c>
      <c r="V13" s="52">
        <v>4155651</v>
      </c>
      <c r="W13" s="52">
        <v>4196062</v>
      </c>
      <c r="X13" s="52">
        <v>4241794</v>
      </c>
      <c r="Y13" s="52">
        <v>4290984</v>
      </c>
      <c r="Z13" s="52">
        <v>4349336</v>
      </c>
      <c r="AA13" s="52">
        <v>4410506</v>
      </c>
      <c r="AB13" s="52">
        <v>4465546</v>
      </c>
      <c r="AC13" s="52">
        <v>4502104</v>
      </c>
      <c r="AD13" s="52">
        <v>4566769</v>
      </c>
      <c r="AE13" s="52">
        <v>4630077</v>
      </c>
      <c r="AF13" s="52">
        <v>4707103</v>
      </c>
      <c r="AG13" s="52">
        <v>4776388</v>
      </c>
      <c r="AH13" s="52">
        <v>4859250</v>
      </c>
      <c r="AI13" s="52">
        <v>4924233</v>
      </c>
      <c r="AJ13" s="52">
        <v>5001170</v>
      </c>
      <c r="AK13" s="52">
        <v>5071336</v>
      </c>
    </row>
    <row r="14" spans="1:78" x14ac:dyDescent="0.25">
      <c r="A14" s="7"/>
      <c r="B14" s="37"/>
      <c r="C14" s="37" t="s">
        <v>114</v>
      </c>
      <c r="D14" s="37" t="s">
        <v>102</v>
      </c>
      <c r="E14" s="39" t="s">
        <v>103</v>
      </c>
      <c r="F14" s="19">
        <f t="shared" si="11"/>
        <v>30431</v>
      </c>
      <c r="G14" s="19">
        <f t="shared" si="0"/>
        <v>31902</v>
      </c>
      <c r="H14" s="19">
        <f t="shared" si="0"/>
        <v>34596</v>
      </c>
      <c r="I14" s="19">
        <f t="shared" si="0"/>
        <v>37690</v>
      </c>
      <c r="J14" s="58">
        <f t="shared" ref="J14:P14" si="13">J30</f>
        <v>41300</v>
      </c>
      <c r="K14" s="58">
        <f t="shared" si="13"/>
        <v>43500</v>
      </c>
      <c r="L14" s="58">
        <f t="shared" si="13"/>
        <v>45400</v>
      </c>
      <c r="M14" s="58">
        <f t="shared" si="13"/>
        <v>47000</v>
      </c>
      <c r="N14" s="58">
        <f t="shared" si="13"/>
        <v>48300</v>
      </c>
      <c r="O14" s="58">
        <f t="shared" si="13"/>
        <v>50050.63990436594</v>
      </c>
      <c r="P14" s="58">
        <f t="shared" si="13"/>
        <v>51756.171165627995</v>
      </c>
      <c r="Q14" s="51"/>
      <c r="R14" s="52">
        <v>30431</v>
      </c>
      <c r="S14" s="52">
        <v>30158</v>
      </c>
      <c r="T14" s="52">
        <v>30336</v>
      </c>
      <c r="U14" s="52">
        <v>30941</v>
      </c>
      <c r="V14" s="52">
        <v>31455</v>
      </c>
      <c r="W14" s="52">
        <v>31902</v>
      </c>
      <c r="X14" s="52">
        <v>32272</v>
      </c>
      <c r="Y14" s="52">
        <v>32554</v>
      </c>
      <c r="Z14" s="52">
        <v>33083</v>
      </c>
      <c r="AA14" s="52">
        <v>33731</v>
      </c>
      <c r="AB14" s="52">
        <v>34596</v>
      </c>
      <c r="AC14" s="52">
        <v>35411</v>
      </c>
      <c r="AD14" s="52">
        <v>36234</v>
      </c>
      <c r="AE14" s="52">
        <v>36521</v>
      </c>
      <c r="AF14" s="52">
        <v>37137</v>
      </c>
      <c r="AG14" s="52">
        <v>37690</v>
      </c>
      <c r="AH14" s="52">
        <v>38547</v>
      </c>
      <c r="AI14" s="52">
        <v>39690</v>
      </c>
      <c r="AJ14" s="52">
        <v>40612</v>
      </c>
      <c r="AK14" s="52">
        <v>40854</v>
      </c>
    </row>
    <row r="15" spans="1:78" x14ac:dyDescent="0.25">
      <c r="A15" s="7"/>
      <c r="B15" s="37"/>
      <c r="C15" s="37" t="s">
        <v>116</v>
      </c>
      <c r="D15" s="37" t="s">
        <v>102</v>
      </c>
      <c r="E15" s="39" t="s">
        <v>103</v>
      </c>
      <c r="F15" s="19">
        <f t="shared" si="11"/>
        <v>40480</v>
      </c>
      <c r="G15" s="19">
        <f t="shared" si="0"/>
        <v>43400</v>
      </c>
      <c r="H15" s="19">
        <f t="shared" si="0"/>
        <v>43285</v>
      </c>
      <c r="I15" s="19">
        <f t="shared" si="0"/>
        <v>44237</v>
      </c>
      <c r="J15" s="58">
        <f t="shared" ref="J15:P15" si="14">J31</f>
        <v>45100</v>
      </c>
      <c r="K15" s="58">
        <f t="shared" si="14"/>
        <v>46400</v>
      </c>
      <c r="L15" s="58">
        <f t="shared" si="14"/>
        <v>47400</v>
      </c>
      <c r="M15" s="58">
        <f t="shared" si="14"/>
        <v>48200</v>
      </c>
      <c r="N15" s="58">
        <f t="shared" si="14"/>
        <v>48600</v>
      </c>
      <c r="O15" s="58">
        <f t="shared" si="14"/>
        <v>50361.513444144613</v>
      </c>
      <c r="P15" s="58">
        <f t="shared" si="14"/>
        <v>52077.638067277854</v>
      </c>
      <c r="Q15" s="51"/>
      <c r="R15" s="52">
        <v>40480</v>
      </c>
      <c r="S15" s="52">
        <v>40845</v>
      </c>
      <c r="T15" s="52">
        <v>41699</v>
      </c>
      <c r="U15" s="52">
        <v>42600</v>
      </c>
      <c r="V15" s="52">
        <v>43306</v>
      </c>
      <c r="W15" s="52">
        <v>43400</v>
      </c>
      <c r="X15" s="52">
        <v>43179</v>
      </c>
      <c r="Y15" s="52">
        <v>43372</v>
      </c>
      <c r="Z15" s="52">
        <v>43360</v>
      </c>
      <c r="AA15" s="52">
        <v>43156</v>
      </c>
      <c r="AB15" s="52">
        <v>43285</v>
      </c>
      <c r="AC15" s="52">
        <v>43504</v>
      </c>
      <c r="AD15" s="52">
        <v>43648</v>
      </c>
      <c r="AE15" s="52">
        <v>43805</v>
      </c>
      <c r="AF15" s="52">
        <v>43884</v>
      </c>
      <c r="AG15" s="52">
        <v>44237</v>
      </c>
      <c r="AH15" s="52">
        <v>44649</v>
      </c>
      <c r="AI15" s="52">
        <v>44908</v>
      </c>
      <c r="AJ15" s="52">
        <v>44956</v>
      </c>
      <c r="AK15" s="52">
        <v>44826</v>
      </c>
    </row>
    <row r="16" spans="1:78" x14ac:dyDescent="0.25">
      <c r="A16" s="7"/>
      <c r="B16" s="37"/>
      <c r="C16" s="37" t="s">
        <v>115</v>
      </c>
      <c r="D16" s="37" t="s">
        <v>102</v>
      </c>
      <c r="E16" s="39" t="s">
        <v>103</v>
      </c>
      <c r="F16" s="19">
        <f t="shared" si="11"/>
        <v>27498</v>
      </c>
      <c r="G16" s="19">
        <f t="shared" si="0"/>
        <v>30339</v>
      </c>
      <c r="H16" s="19">
        <f t="shared" si="0"/>
        <v>33352</v>
      </c>
      <c r="I16" s="19">
        <f t="shared" si="0"/>
        <v>36488</v>
      </c>
      <c r="J16" s="58">
        <f t="shared" ref="J16:P16" si="15">J32</f>
        <v>39300</v>
      </c>
      <c r="K16" s="58">
        <f t="shared" si="15"/>
        <v>41600</v>
      </c>
      <c r="L16" s="58">
        <f t="shared" si="15"/>
        <v>43900</v>
      </c>
      <c r="M16" s="58">
        <f t="shared" si="15"/>
        <v>46400</v>
      </c>
      <c r="N16" s="58">
        <f t="shared" si="15"/>
        <v>48800</v>
      </c>
      <c r="O16" s="58">
        <f t="shared" si="15"/>
        <v>50568.762470663722</v>
      </c>
      <c r="P16" s="58">
        <f t="shared" si="15"/>
        <v>52291.949335044432</v>
      </c>
      <c r="Q16" s="51"/>
      <c r="R16" s="52">
        <v>27498</v>
      </c>
      <c r="S16" s="52">
        <v>28133</v>
      </c>
      <c r="T16" s="52">
        <v>28822</v>
      </c>
      <c r="U16" s="52">
        <v>29322</v>
      </c>
      <c r="V16" s="52">
        <v>29857</v>
      </c>
      <c r="W16" s="52">
        <v>30339</v>
      </c>
      <c r="X16" s="52">
        <v>30813</v>
      </c>
      <c r="Y16" s="52">
        <v>31395</v>
      </c>
      <c r="Z16" s="52">
        <v>31892</v>
      </c>
      <c r="AA16" s="52">
        <v>32597</v>
      </c>
      <c r="AB16" s="52">
        <v>33352</v>
      </c>
      <c r="AC16" s="52">
        <v>34192</v>
      </c>
      <c r="AD16" s="52">
        <v>34672</v>
      </c>
      <c r="AE16" s="52">
        <v>35337</v>
      </c>
      <c r="AF16" s="52">
        <v>35971</v>
      </c>
      <c r="AG16" s="52">
        <v>36488</v>
      </c>
      <c r="AH16" s="52">
        <v>36975</v>
      </c>
      <c r="AI16" s="52">
        <v>37559</v>
      </c>
      <c r="AJ16" s="52">
        <v>38139</v>
      </c>
      <c r="AK16" s="52">
        <v>38780</v>
      </c>
    </row>
    <row r="17" spans="1:78" x14ac:dyDescent="0.25">
      <c r="A17" s="7"/>
      <c r="B17" s="37"/>
      <c r="C17" s="37"/>
      <c r="D17" s="37"/>
      <c r="E17" s="39"/>
      <c r="F17" s="19"/>
      <c r="G17" s="19"/>
      <c r="H17" s="19"/>
      <c r="I17" s="19"/>
      <c r="Q17" s="51"/>
    </row>
    <row r="18" spans="1:78" x14ac:dyDescent="0.25">
      <c r="A18" s="7"/>
      <c r="B18" s="37"/>
      <c r="C18" s="37"/>
      <c r="D18" s="37"/>
      <c r="E18" s="39"/>
      <c r="F18" s="19"/>
      <c r="G18" s="19"/>
      <c r="H18" s="19"/>
      <c r="I18" s="19"/>
      <c r="Q18" s="51"/>
    </row>
    <row r="19" spans="1:78" x14ac:dyDescent="0.25">
      <c r="A19" s="7"/>
      <c r="B19" s="5" t="s">
        <v>120</v>
      </c>
      <c r="C19" s="37" t="s">
        <v>59</v>
      </c>
      <c r="D19" s="37" t="s">
        <v>102</v>
      </c>
      <c r="E19" s="55" t="s">
        <v>117</v>
      </c>
      <c r="F19" s="5"/>
      <c r="G19" s="5"/>
      <c r="H19" s="5"/>
      <c r="I19" s="5"/>
      <c r="J19" s="19">
        <f t="shared" ref="J19:P32" si="16">INDEX($R19:$BZ19,MATCH(J$1,$R$1:$BZ$1,0))</f>
        <v>37873700</v>
      </c>
      <c r="K19" s="19">
        <f t="shared" si="16"/>
        <v>39913500</v>
      </c>
      <c r="L19" s="19">
        <f t="shared" si="16"/>
        <v>41888100</v>
      </c>
      <c r="M19" s="19">
        <f t="shared" si="16"/>
        <v>43755500</v>
      </c>
      <c r="N19" s="19">
        <f t="shared" si="16"/>
        <v>45506800</v>
      </c>
      <c r="O19" s="19">
        <f t="shared" si="16"/>
        <v>47156200</v>
      </c>
      <c r="P19" s="19">
        <f t="shared" si="16"/>
        <v>48763100</v>
      </c>
      <c r="Q19" s="51"/>
      <c r="AJ19" s="52">
        <v>37058900</v>
      </c>
      <c r="AK19" s="52">
        <v>37466800</v>
      </c>
      <c r="AL19" s="52">
        <v>37873700</v>
      </c>
      <c r="AM19" s="52">
        <v>38284600</v>
      </c>
      <c r="AN19" s="52">
        <v>38694300</v>
      </c>
      <c r="AO19" s="52">
        <v>39102600</v>
      </c>
      <c r="AP19" s="52">
        <v>39509100</v>
      </c>
      <c r="AQ19" s="52">
        <v>39913500</v>
      </c>
      <c r="AR19" s="52">
        <v>40315200</v>
      </c>
      <c r="AS19" s="52">
        <v>40713900</v>
      </c>
      <c r="AT19" s="52">
        <v>41109200</v>
      </c>
      <c r="AU19" s="52">
        <v>41500700</v>
      </c>
      <c r="AV19" s="52">
        <v>41888100</v>
      </c>
      <c r="AW19" s="52">
        <v>42271000</v>
      </c>
      <c r="AX19" s="52">
        <v>42649300</v>
      </c>
      <c r="AY19" s="52">
        <v>43022800</v>
      </c>
      <c r="AZ19" s="52">
        <v>43391500</v>
      </c>
      <c r="BA19" s="52">
        <v>43755500</v>
      </c>
      <c r="BB19" s="52">
        <v>44114700</v>
      </c>
      <c r="BC19" s="52">
        <v>44469400</v>
      </c>
      <c r="BD19" s="52">
        <v>44819500</v>
      </c>
      <c r="BE19" s="52">
        <v>45165300</v>
      </c>
      <c r="BF19" s="52">
        <v>45506800</v>
      </c>
      <c r="BG19" s="52">
        <v>45843900</v>
      </c>
      <c r="BH19" s="52">
        <v>46176900</v>
      </c>
      <c r="BI19" s="52">
        <v>46505600</v>
      </c>
      <c r="BJ19" s="52">
        <v>46831800</v>
      </c>
      <c r="BK19" s="52">
        <v>47156200</v>
      </c>
      <c r="BL19" s="52">
        <v>47479100</v>
      </c>
      <c r="BM19" s="52">
        <v>47800800</v>
      </c>
      <c r="BN19" s="52">
        <v>48121700</v>
      </c>
      <c r="BO19" s="52">
        <v>48442300</v>
      </c>
      <c r="BP19" s="52">
        <v>48763100</v>
      </c>
      <c r="BQ19" s="52">
        <v>49084700</v>
      </c>
      <c r="BR19" s="52">
        <v>49407900</v>
      </c>
      <c r="BS19" s="52">
        <v>49733200</v>
      </c>
      <c r="BT19" s="52">
        <v>50061400</v>
      </c>
      <c r="BU19" s="52">
        <v>50393200</v>
      </c>
      <c r="BV19" s="52">
        <v>50729200</v>
      </c>
      <c r="BW19" s="52">
        <v>51070000</v>
      </c>
      <c r="BX19" s="52">
        <v>51416000</v>
      </c>
      <c r="BY19" s="52">
        <v>51767600</v>
      </c>
      <c r="BZ19" s="52">
        <v>52125000</v>
      </c>
    </row>
    <row r="20" spans="1:78" x14ac:dyDescent="0.25">
      <c r="A20" s="7"/>
      <c r="B20" s="5"/>
      <c r="C20" s="37" t="s">
        <v>106</v>
      </c>
      <c r="D20" s="37" t="s">
        <v>102</v>
      </c>
      <c r="E20" s="55" t="s">
        <v>117</v>
      </c>
      <c r="F20" s="5"/>
      <c r="G20" s="5"/>
      <c r="H20" s="5"/>
      <c r="I20" s="5"/>
      <c r="J20" s="19">
        <f t="shared" si="16"/>
        <v>522299.99999999994</v>
      </c>
      <c r="K20" s="19">
        <f t="shared" si="16"/>
        <v>513400</v>
      </c>
      <c r="L20" s="19">
        <f t="shared" si="16"/>
        <v>502000</v>
      </c>
      <c r="M20" s="19">
        <f t="shared" si="16"/>
        <v>487400</v>
      </c>
      <c r="N20" s="19">
        <f t="shared" si="16"/>
        <v>470100</v>
      </c>
      <c r="O20" s="56">
        <f>$N20*O$19/$N$19</f>
        <v>487138.83683317655</v>
      </c>
      <c r="P20" s="56">
        <f t="shared" ref="P20:P32" si="17">$N20*P$19/$N$19</f>
        <v>503738.63488533581</v>
      </c>
      <c r="Q20" s="51"/>
      <c r="AJ20" s="52">
        <v>525400</v>
      </c>
      <c r="AK20" s="52">
        <v>523900</v>
      </c>
      <c r="AL20" s="52">
        <v>522299.99999999994</v>
      </c>
      <c r="AM20" s="52">
        <v>520600</v>
      </c>
      <c r="AN20" s="52">
        <v>518900</v>
      </c>
      <c r="AO20" s="52">
        <v>517200.00000000006</v>
      </c>
      <c r="AP20" s="52">
        <v>515299.99999999994</v>
      </c>
      <c r="AQ20" s="52">
        <v>513400</v>
      </c>
      <c r="AR20" s="52">
        <v>511300</v>
      </c>
      <c r="AS20" s="52">
        <v>509200</v>
      </c>
      <c r="AT20" s="52">
        <v>506900</v>
      </c>
      <c r="AU20" s="52">
        <v>504500</v>
      </c>
      <c r="AV20" s="52">
        <v>502000</v>
      </c>
      <c r="AW20" s="52">
        <v>499300</v>
      </c>
      <c r="AX20" s="52">
        <v>496500</v>
      </c>
      <c r="AY20" s="52">
        <v>493600</v>
      </c>
      <c r="AZ20" s="52">
        <v>490600</v>
      </c>
      <c r="BA20" s="52">
        <v>487400</v>
      </c>
      <c r="BB20" s="52">
        <v>484200</v>
      </c>
      <c r="BC20" s="52">
        <v>480800</v>
      </c>
      <c r="BD20" s="52">
        <v>477300</v>
      </c>
      <c r="BE20" s="52">
        <v>473700</v>
      </c>
      <c r="BF20" s="52">
        <v>470100</v>
      </c>
      <c r="BG20" s="52">
        <v>466300</v>
      </c>
      <c r="BH20" s="52">
        <v>462500</v>
      </c>
      <c r="BQ20" s="52"/>
      <c r="BR20" s="52"/>
      <c r="BS20" s="52"/>
      <c r="BT20" s="52"/>
      <c r="BU20" s="52"/>
      <c r="BV20" s="52"/>
      <c r="BW20" s="52"/>
      <c r="BX20" s="52"/>
      <c r="BY20" s="52"/>
      <c r="BZ20" s="52"/>
    </row>
    <row r="21" spans="1:78" x14ac:dyDescent="0.25">
      <c r="A21" s="7"/>
      <c r="B21" s="5"/>
      <c r="C21" s="37" t="s">
        <v>107</v>
      </c>
      <c r="D21" s="37" t="s">
        <v>102</v>
      </c>
      <c r="E21" s="55" t="s">
        <v>117</v>
      </c>
      <c r="F21" s="5"/>
      <c r="G21" s="5"/>
      <c r="H21" s="5"/>
      <c r="I21" s="5"/>
      <c r="J21" s="19">
        <f t="shared" si="16"/>
        <v>157400</v>
      </c>
      <c r="K21" s="19">
        <f t="shared" si="16"/>
        <v>167800</v>
      </c>
      <c r="L21" s="19">
        <f t="shared" si="16"/>
        <v>177600</v>
      </c>
      <c r="M21" s="19">
        <f t="shared" si="16"/>
        <v>186300</v>
      </c>
      <c r="N21" s="19">
        <f t="shared" si="16"/>
        <v>193600</v>
      </c>
      <c r="O21" s="56">
        <f t="shared" ref="O21:O32" si="18">$N21*O$19/$N$19</f>
        <v>200617.05767050199</v>
      </c>
      <c r="P21" s="56">
        <f t="shared" si="17"/>
        <v>207453.30719804514</v>
      </c>
      <c r="Q21" s="51"/>
      <c r="AJ21" s="52">
        <v>153200</v>
      </c>
      <c r="AK21" s="52">
        <v>155300</v>
      </c>
      <c r="AL21" s="52">
        <v>157400</v>
      </c>
      <c r="AM21" s="52">
        <v>159500</v>
      </c>
      <c r="AN21" s="52">
        <v>161600</v>
      </c>
      <c r="AO21" s="52">
        <v>163700</v>
      </c>
      <c r="AP21" s="52">
        <v>165800</v>
      </c>
      <c r="AQ21" s="52">
        <v>167800</v>
      </c>
      <c r="AR21" s="52">
        <v>169900</v>
      </c>
      <c r="AS21" s="52">
        <v>171900</v>
      </c>
      <c r="AT21" s="52">
        <v>173800</v>
      </c>
      <c r="AU21" s="52">
        <v>175800</v>
      </c>
      <c r="AV21" s="52">
        <v>177600</v>
      </c>
      <c r="AW21" s="52">
        <v>179500</v>
      </c>
      <c r="AX21" s="52">
        <v>181200</v>
      </c>
      <c r="AY21" s="52">
        <v>183000</v>
      </c>
      <c r="AZ21" s="52">
        <v>184700</v>
      </c>
      <c r="BA21" s="52">
        <v>186300</v>
      </c>
      <c r="BB21" s="52">
        <v>187900</v>
      </c>
      <c r="BC21" s="52">
        <v>189400</v>
      </c>
      <c r="BD21" s="52">
        <v>190900</v>
      </c>
      <c r="BE21" s="52">
        <v>192300</v>
      </c>
      <c r="BF21" s="52">
        <v>193600</v>
      </c>
      <c r="BG21" s="52">
        <v>194900</v>
      </c>
      <c r="BH21" s="52">
        <v>196200</v>
      </c>
      <c r="BQ21" s="52"/>
      <c r="BR21" s="52"/>
      <c r="BS21" s="52"/>
      <c r="BT21" s="52"/>
      <c r="BU21" s="52"/>
      <c r="BV21" s="52"/>
      <c r="BW21" s="52"/>
      <c r="BX21" s="52"/>
      <c r="BY21" s="52"/>
      <c r="BZ21" s="52"/>
    </row>
    <row r="22" spans="1:78" x14ac:dyDescent="0.25">
      <c r="A22" s="7"/>
      <c r="B22" s="5"/>
      <c r="C22" s="37" t="s">
        <v>108</v>
      </c>
      <c r="D22" s="37" t="s">
        <v>102</v>
      </c>
      <c r="E22" s="55" t="s">
        <v>117</v>
      </c>
      <c r="F22" s="5"/>
      <c r="G22" s="5"/>
      <c r="H22" s="5"/>
      <c r="I22" s="5"/>
      <c r="J22" s="19">
        <f t="shared" si="16"/>
        <v>967100</v>
      </c>
      <c r="K22" s="19">
        <f t="shared" si="16"/>
        <v>983900</v>
      </c>
      <c r="L22" s="19">
        <f t="shared" si="16"/>
        <v>996100</v>
      </c>
      <c r="M22" s="19">
        <f t="shared" si="16"/>
        <v>1001200</v>
      </c>
      <c r="N22" s="19">
        <f t="shared" si="16"/>
        <v>998700</v>
      </c>
      <c r="O22" s="56">
        <f t="shared" si="18"/>
        <v>1034898.0139231939</v>
      </c>
      <c r="P22" s="56">
        <f t="shared" si="17"/>
        <v>1070163.3155923949</v>
      </c>
      <c r="Q22" s="51"/>
      <c r="AJ22" s="52">
        <v>959900</v>
      </c>
      <c r="AK22" s="52">
        <v>963500</v>
      </c>
      <c r="AL22" s="52">
        <v>967100</v>
      </c>
      <c r="AM22" s="52">
        <v>970600</v>
      </c>
      <c r="AN22" s="52">
        <v>974100</v>
      </c>
      <c r="AO22" s="52">
        <v>977500</v>
      </c>
      <c r="AP22" s="52">
        <v>980800</v>
      </c>
      <c r="AQ22" s="52">
        <v>983900</v>
      </c>
      <c r="AR22" s="52">
        <v>986800</v>
      </c>
      <c r="AS22" s="52">
        <v>989500</v>
      </c>
      <c r="AT22" s="52">
        <v>992000</v>
      </c>
      <c r="AU22" s="52">
        <v>994200</v>
      </c>
      <c r="AV22" s="52">
        <v>996100</v>
      </c>
      <c r="AW22" s="52">
        <v>997800</v>
      </c>
      <c r="AX22" s="52">
        <v>999100</v>
      </c>
      <c r="AY22" s="52">
        <v>1000100</v>
      </c>
      <c r="AZ22" s="52">
        <v>1000800</v>
      </c>
      <c r="BA22" s="52">
        <v>1001200</v>
      </c>
      <c r="BB22" s="52">
        <v>1001300</v>
      </c>
      <c r="BC22" s="52">
        <v>1001100</v>
      </c>
      <c r="BD22" s="52">
        <v>1000600</v>
      </c>
      <c r="BE22" s="52">
        <v>999800</v>
      </c>
      <c r="BF22" s="52">
        <v>998700</v>
      </c>
      <c r="BG22" s="52">
        <v>997400</v>
      </c>
      <c r="BH22" s="52">
        <v>995700</v>
      </c>
      <c r="BQ22" s="52"/>
      <c r="BR22" s="52"/>
      <c r="BS22" s="52"/>
      <c r="BT22" s="52"/>
      <c r="BU22" s="52"/>
      <c r="BV22" s="52"/>
      <c r="BW22" s="52"/>
      <c r="BX22" s="52"/>
      <c r="BY22" s="52"/>
      <c r="BZ22" s="52"/>
    </row>
    <row r="23" spans="1:78" x14ac:dyDescent="0.25">
      <c r="A23" s="7"/>
      <c r="B23" s="5"/>
      <c r="C23" s="37" t="s">
        <v>109</v>
      </c>
      <c r="D23" s="37" t="s">
        <v>102</v>
      </c>
      <c r="E23" s="55" t="s">
        <v>117</v>
      </c>
      <c r="F23" s="5"/>
      <c r="G23" s="5"/>
      <c r="H23" s="5"/>
      <c r="I23" s="5"/>
      <c r="J23" s="19">
        <f t="shared" si="16"/>
        <v>775600</v>
      </c>
      <c r="K23" s="19">
        <f t="shared" si="16"/>
        <v>787700</v>
      </c>
      <c r="L23" s="19">
        <f t="shared" si="16"/>
        <v>796600</v>
      </c>
      <c r="M23" s="19">
        <f t="shared" si="16"/>
        <v>800300</v>
      </c>
      <c r="N23" s="19">
        <f t="shared" si="16"/>
        <v>798100</v>
      </c>
      <c r="O23" s="56">
        <f t="shared" si="18"/>
        <v>827027.24032452295</v>
      </c>
      <c r="P23" s="56">
        <f t="shared" si="17"/>
        <v>855209.11402251967</v>
      </c>
      <c r="Q23" s="51"/>
      <c r="AJ23" s="52">
        <v>770600</v>
      </c>
      <c r="AK23" s="52">
        <v>773100</v>
      </c>
      <c r="AL23" s="52">
        <v>775600</v>
      </c>
      <c r="AM23" s="52">
        <v>778100</v>
      </c>
      <c r="AN23" s="52">
        <v>780600</v>
      </c>
      <c r="AO23" s="52">
        <v>783100</v>
      </c>
      <c r="AP23" s="52">
        <v>785500</v>
      </c>
      <c r="AQ23" s="52">
        <v>787700</v>
      </c>
      <c r="AR23" s="52">
        <v>789800</v>
      </c>
      <c r="AS23" s="52">
        <v>791800</v>
      </c>
      <c r="AT23" s="52">
        <v>793600</v>
      </c>
      <c r="AU23" s="52">
        <v>795200</v>
      </c>
      <c r="AV23" s="52">
        <v>796600</v>
      </c>
      <c r="AW23" s="52">
        <v>797800</v>
      </c>
      <c r="AX23" s="52">
        <v>798700</v>
      </c>
      <c r="AY23" s="52">
        <v>799500</v>
      </c>
      <c r="AZ23" s="52">
        <v>800000</v>
      </c>
      <c r="BA23" s="52">
        <v>800300</v>
      </c>
      <c r="BB23" s="52">
        <v>800300</v>
      </c>
      <c r="BC23" s="52">
        <v>800100</v>
      </c>
      <c r="BD23" s="52">
        <v>799700</v>
      </c>
      <c r="BE23" s="52">
        <v>799000</v>
      </c>
      <c r="BF23" s="52">
        <v>798100</v>
      </c>
      <c r="BG23" s="52">
        <v>797000</v>
      </c>
      <c r="BH23" s="52">
        <v>795600</v>
      </c>
      <c r="BQ23" s="52"/>
      <c r="BR23" s="52"/>
      <c r="BS23" s="52"/>
      <c r="BT23" s="52"/>
      <c r="BU23" s="52"/>
      <c r="BV23" s="52"/>
      <c r="BW23" s="52"/>
      <c r="BX23" s="52"/>
      <c r="BY23" s="52"/>
      <c r="BZ23" s="52"/>
    </row>
    <row r="24" spans="1:78" x14ac:dyDescent="0.25">
      <c r="A24" s="7"/>
      <c r="B24" s="5"/>
      <c r="C24" s="37" t="s">
        <v>110</v>
      </c>
      <c r="D24" s="37" t="s">
        <v>102</v>
      </c>
      <c r="E24" s="55" t="s">
        <v>117</v>
      </c>
      <c r="F24" s="5"/>
      <c r="G24" s="5"/>
      <c r="H24" s="5"/>
      <c r="I24" s="5"/>
      <c r="J24" s="19">
        <f t="shared" si="16"/>
        <v>8494500</v>
      </c>
      <c r="K24" s="19">
        <f t="shared" si="16"/>
        <v>8738500</v>
      </c>
      <c r="L24" s="19">
        <f t="shared" si="16"/>
        <v>8958900</v>
      </c>
      <c r="M24" s="19">
        <f t="shared" si="16"/>
        <v>9159100</v>
      </c>
      <c r="N24" s="19">
        <f t="shared" si="16"/>
        <v>9353100</v>
      </c>
      <c r="O24" s="56">
        <f t="shared" si="18"/>
        <v>9692104.3496796079</v>
      </c>
      <c r="P24" s="56">
        <f t="shared" si="17"/>
        <v>10022373.592737788</v>
      </c>
      <c r="Q24" s="51"/>
      <c r="AJ24" s="52">
        <v>8390500</v>
      </c>
      <c r="AK24" s="52">
        <v>8443200</v>
      </c>
      <c r="AL24" s="52">
        <v>8494500</v>
      </c>
      <c r="AM24" s="52">
        <v>8545300</v>
      </c>
      <c r="AN24" s="52">
        <v>8595000</v>
      </c>
      <c r="AO24" s="52">
        <v>8643800</v>
      </c>
      <c r="AP24" s="52">
        <v>8691600</v>
      </c>
      <c r="AQ24" s="52">
        <v>8738500</v>
      </c>
      <c r="AR24" s="52">
        <v>8784500</v>
      </c>
      <c r="AS24" s="52">
        <v>8829500</v>
      </c>
      <c r="AT24" s="52">
        <v>8873600</v>
      </c>
      <c r="AU24" s="52">
        <v>8916700</v>
      </c>
      <c r="AV24" s="52">
        <v>8958900</v>
      </c>
      <c r="AW24" s="52">
        <v>9000300</v>
      </c>
      <c r="AX24" s="52">
        <v>9040800</v>
      </c>
      <c r="AY24" s="52">
        <v>9080700</v>
      </c>
      <c r="AZ24" s="52">
        <v>9120100</v>
      </c>
      <c r="BA24" s="52">
        <v>9159100</v>
      </c>
      <c r="BB24" s="52">
        <v>9197800</v>
      </c>
      <c r="BC24" s="52">
        <v>9236500</v>
      </c>
      <c r="BD24" s="52">
        <v>9275200</v>
      </c>
      <c r="BE24" s="52">
        <v>9314000</v>
      </c>
      <c r="BF24" s="52">
        <v>9353100</v>
      </c>
      <c r="BG24" s="52">
        <v>9392500</v>
      </c>
      <c r="BH24" s="52">
        <v>9432200</v>
      </c>
      <c r="BQ24" s="52"/>
      <c r="BR24" s="52"/>
      <c r="BS24" s="52"/>
      <c r="BT24" s="52"/>
      <c r="BU24" s="52"/>
      <c r="BV24" s="52"/>
      <c r="BW24" s="52"/>
      <c r="BX24" s="52"/>
      <c r="BY24" s="52"/>
      <c r="BZ24" s="52"/>
    </row>
    <row r="25" spans="1:78" x14ac:dyDescent="0.25">
      <c r="A25" s="7"/>
      <c r="B25" s="5"/>
      <c r="C25" s="37" t="s">
        <v>111</v>
      </c>
      <c r="D25" s="37" t="s">
        <v>102</v>
      </c>
      <c r="E25" s="55" t="s">
        <v>117</v>
      </c>
      <c r="F25" s="5"/>
      <c r="G25" s="5"/>
      <c r="H25" s="5"/>
      <c r="I25" s="5"/>
      <c r="J25" s="19">
        <f t="shared" si="16"/>
        <v>14677900</v>
      </c>
      <c r="K25" s="19">
        <f t="shared" si="16"/>
        <v>15561600</v>
      </c>
      <c r="L25" s="19">
        <f t="shared" si="16"/>
        <v>16411599.999999998</v>
      </c>
      <c r="M25" s="19">
        <f t="shared" si="16"/>
        <v>17195100</v>
      </c>
      <c r="N25" s="19">
        <f t="shared" si="16"/>
        <v>17892000</v>
      </c>
      <c r="O25" s="56">
        <f t="shared" si="18"/>
        <v>18540497.912399907</v>
      </c>
      <c r="P25" s="56">
        <f t="shared" si="17"/>
        <v>19172286.014397848</v>
      </c>
      <c r="Q25" s="51"/>
      <c r="AJ25" s="52">
        <v>14322800</v>
      </c>
      <c r="AK25" s="52">
        <v>14501100</v>
      </c>
      <c r="AL25" s="52">
        <v>14677900</v>
      </c>
      <c r="AM25" s="52">
        <v>14856200</v>
      </c>
      <c r="AN25" s="52">
        <v>15033700</v>
      </c>
      <c r="AO25" s="52">
        <v>15210600</v>
      </c>
      <c r="AP25" s="52">
        <v>15386600</v>
      </c>
      <c r="AQ25" s="52">
        <v>15561600</v>
      </c>
      <c r="AR25" s="52">
        <v>15735300</v>
      </c>
      <c r="AS25" s="52">
        <v>15907500</v>
      </c>
      <c r="AT25" s="52">
        <v>16077800</v>
      </c>
      <c r="AU25" s="52">
        <v>16245900</v>
      </c>
      <c r="AV25" s="52">
        <v>16411599.999999998</v>
      </c>
      <c r="AW25" s="52">
        <v>16574500</v>
      </c>
      <c r="AX25" s="52">
        <v>16734500</v>
      </c>
      <c r="AY25" s="52">
        <v>16891400</v>
      </c>
      <c r="AZ25" s="52">
        <v>17044900</v>
      </c>
      <c r="BA25" s="52">
        <v>17195100</v>
      </c>
      <c r="BB25" s="52">
        <v>17341700</v>
      </c>
      <c r="BC25" s="52">
        <v>17484800</v>
      </c>
      <c r="BD25" s="52">
        <v>17624200</v>
      </c>
      <c r="BE25" s="52">
        <v>17759900</v>
      </c>
      <c r="BF25" s="52">
        <v>17892000</v>
      </c>
      <c r="BG25" s="52">
        <v>18020200</v>
      </c>
      <c r="BH25" s="52">
        <v>18144600</v>
      </c>
      <c r="BQ25" s="52"/>
      <c r="BR25" s="52"/>
      <c r="BS25" s="52"/>
      <c r="BT25" s="52"/>
      <c r="BU25" s="52"/>
      <c r="BV25" s="52"/>
      <c r="BW25" s="52"/>
      <c r="BX25" s="52"/>
      <c r="BY25" s="52"/>
      <c r="BZ25" s="52"/>
    </row>
    <row r="26" spans="1:78" x14ac:dyDescent="0.25">
      <c r="A26" s="7"/>
      <c r="B26" s="5"/>
      <c r="C26" s="37" t="s">
        <v>112</v>
      </c>
      <c r="D26" s="37" t="s">
        <v>102</v>
      </c>
      <c r="E26" s="55" t="s">
        <v>117</v>
      </c>
      <c r="F26" s="5"/>
      <c r="G26" s="5"/>
      <c r="H26" s="5"/>
      <c r="I26" s="5"/>
      <c r="J26" s="19">
        <f t="shared" si="16"/>
        <v>1381900</v>
      </c>
      <c r="K26" s="19">
        <f t="shared" si="16"/>
        <v>1457800</v>
      </c>
      <c r="L26" s="19">
        <f t="shared" si="16"/>
        <v>1534800</v>
      </c>
      <c r="M26" s="19">
        <f t="shared" si="16"/>
        <v>1612800</v>
      </c>
      <c r="N26" s="19">
        <f t="shared" si="16"/>
        <v>1692500</v>
      </c>
      <c r="O26" s="56">
        <f t="shared" si="18"/>
        <v>1753844.886917999</v>
      </c>
      <c r="P26" s="56">
        <f t="shared" si="17"/>
        <v>1813609.1034746456</v>
      </c>
      <c r="Q26" s="51"/>
      <c r="AJ26" s="52">
        <v>1352200</v>
      </c>
      <c r="AK26" s="52">
        <v>1367000</v>
      </c>
      <c r="AL26" s="52">
        <v>1381900</v>
      </c>
      <c r="AM26" s="52">
        <v>1397000</v>
      </c>
      <c r="AN26" s="52">
        <v>1412100</v>
      </c>
      <c r="AO26" s="52">
        <v>1427300</v>
      </c>
      <c r="AP26" s="52">
        <v>1442500</v>
      </c>
      <c r="AQ26" s="52">
        <v>1457800</v>
      </c>
      <c r="AR26" s="52">
        <v>1473100</v>
      </c>
      <c r="AS26" s="52">
        <v>1488500</v>
      </c>
      <c r="AT26" s="52">
        <v>1503900</v>
      </c>
      <c r="AU26" s="52">
        <v>1519300</v>
      </c>
      <c r="AV26" s="52">
        <v>1534800</v>
      </c>
      <c r="AW26" s="52">
        <v>1550300</v>
      </c>
      <c r="AX26" s="52">
        <v>1565900</v>
      </c>
      <c r="AY26" s="52">
        <v>1581500</v>
      </c>
      <c r="AZ26" s="52">
        <v>1597100</v>
      </c>
      <c r="BA26" s="52">
        <v>1612800</v>
      </c>
      <c r="BB26" s="52">
        <v>1628600</v>
      </c>
      <c r="BC26" s="52">
        <v>1644500</v>
      </c>
      <c r="BD26" s="52">
        <v>1660400</v>
      </c>
      <c r="BE26" s="52">
        <v>1676400</v>
      </c>
      <c r="BF26" s="52">
        <v>1692500</v>
      </c>
      <c r="BG26" s="52">
        <v>1708700</v>
      </c>
      <c r="BH26" s="52">
        <v>1725000</v>
      </c>
      <c r="BQ26" s="52"/>
      <c r="BR26" s="52"/>
      <c r="BS26" s="52"/>
      <c r="BT26" s="52"/>
      <c r="BU26" s="52"/>
      <c r="BV26" s="52"/>
      <c r="BW26" s="52"/>
      <c r="BX26" s="52"/>
      <c r="BY26" s="52"/>
      <c r="BZ26" s="52"/>
    </row>
    <row r="27" spans="1:78" x14ac:dyDescent="0.25">
      <c r="A27" s="7"/>
      <c r="B27" s="5"/>
      <c r="C27" s="37" t="s">
        <v>113</v>
      </c>
      <c r="D27" s="37" t="s">
        <v>102</v>
      </c>
      <c r="E27" s="55" t="s">
        <v>117</v>
      </c>
      <c r="F27" s="5"/>
      <c r="G27" s="5"/>
      <c r="H27" s="5"/>
      <c r="I27" s="5"/>
      <c r="J27" s="19">
        <f t="shared" si="16"/>
        <v>1195100</v>
      </c>
      <c r="K27" s="19">
        <f t="shared" si="16"/>
        <v>1287000</v>
      </c>
      <c r="L27" s="19">
        <f t="shared" si="16"/>
        <v>1380400</v>
      </c>
      <c r="M27" s="19">
        <f t="shared" si="16"/>
        <v>1468800</v>
      </c>
      <c r="N27" s="19">
        <f t="shared" si="16"/>
        <v>1548700</v>
      </c>
      <c r="O27" s="56">
        <f t="shared" si="18"/>
        <v>1604832.8368507563</v>
      </c>
      <c r="P27" s="56">
        <f t="shared" si="17"/>
        <v>1659519.3019504778</v>
      </c>
      <c r="Q27" s="51"/>
      <c r="AJ27" s="52">
        <v>1162100</v>
      </c>
      <c r="AK27" s="52">
        <v>1178200</v>
      </c>
      <c r="AL27" s="52">
        <v>1195100</v>
      </c>
      <c r="AM27" s="52">
        <v>1212900</v>
      </c>
      <c r="AN27" s="52">
        <v>1231100</v>
      </c>
      <c r="AO27" s="52">
        <v>1249500</v>
      </c>
      <c r="AP27" s="52">
        <v>1268200</v>
      </c>
      <c r="AQ27" s="52">
        <v>1287000</v>
      </c>
      <c r="AR27" s="52">
        <v>1305800</v>
      </c>
      <c r="AS27" s="52">
        <v>1324600</v>
      </c>
      <c r="AT27" s="52">
        <v>1343300</v>
      </c>
      <c r="AU27" s="52">
        <v>1361900</v>
      </c>
      <c r="AV27" s="52">
        <v>1380400</v>
      </c>
      <c r="AW27" s="52">
        <v>1398600</v>
      </c>
      <c r="AX27" s="52">
        <v>1416600</v>
      </c>
      <c r="AY27" s="52">
        <v>1434300</v>
      </c>
      <c r="AZ27" s="52">
        <v>1451700</v>
      </c>
      <c r="BA27" s="52">
        <v>1468800</v>
      </c>
      <c r="BB27" s="52">
        <v>1485600</v>
      </c>
      <c r="BC27" s="52">
        <v>1501900</v>
      </c>
      <c r="BD27" s="52">
        <v>1517900</v>
      </c>
      <c r="BE27" s="52">
        <v>1533500</v>
      </c>
      <c r="BF27" s="52">
        <v>1548700</v>
      </c>
      <c r="BG27" s="52">
        <v>1563400</v>
      </c>
      <c r="BH27" s="52">
        <v>1577500</v>
      </c>
      <c r="BQ27" s="52"/>
      <c r="BR27" s="52"/>
      <c r="BS27" s="52"/>
      <c r="BT27" s="52"/>
      <c r="BU27" s="52"/>
      <c r="BV27" s="52"/>
      <c r="BW27" s="52"/>
      <c r="BX27" s="52"/>
      <c r="BY27" s="52"/>
      <c r="BZ27" s="52"/>
    </row>
    <row r="28" spans="1:78" x14ac:dyDescent="0.25">
      <c r="A28" s="7"/>
      <c r="B28" s="5"/>
      <c r="C28" s="37" t="s">
        <v>5</v>
      </c>
      <c r="D28" s="37" t="s">
        <v>102</v>
      </c>
      <c r="E28" s="55" t="s">
        <v>117</v>
      </c>
      <c r="F28" s="5"/>
      <c r="G28" s="5"/>
      <c r="H28" s="5"/>
      <c r="I28" s="5"/>
      <c r="J28" s="19">
        <f t="shared" si="16"/>
        <v>4472800</v>
      </c>
      <c r="K28" s="19">
        <f t="shared" si="16"/>
        <v>4908500</v>
      </c>
      <c r="L28" s="19">
        <f t="shared" si="16"/>
        <v>5360500</v>
      </c>
      <c r="M28" s="19">
        <f t="shared" si="16"/>
        <v>5830000</v>
      </c>
      <c r="N28" s="19">
        <f t="shared" si="16"/>
        <v>6317800</v>
      </c>
      <c r="O28" s="56">
        <f t="shared" si="18"/>
        <v>6546789.4987122808</v>
      </c>
      <c r="P28" s="56">
        <f t="shared" si="17"/>
        <v>6769878.6374783553</v>
      </c>
      <c r="Q28" s="51"/>
      <c r="AJ28" s="52">
        <v>4307100</v>
      </c>
      <c r="AK28" s="52">
        <v>4389000</v>
      </c>
      <c r="AL28" s="52">
        <v>4472800</v>
      </c>
      <c r="AM28" s="52">
        <v>4558400</v>
      </c>
      <c r="AN28" s="52">
        <v>4644900</v>
      </c>
      <c r="AO28" s="52">
        <v>4732100</v>
      </c>
      <c r="AP28" s="52">
        <v>4820000</v>
      </c>
      <c r="AQ28" s="52">
        <v>4908500</v>
      </c>
      <c r="AR28" s="52">
        <v>4997600</v>
      </c>
      <c r="AS28" s="52">
        <v>5087300</v>
      </c>
      <c r="AT28" s="52">
        <v>5177700</v>
      </c>
      <c r="AU28" s="52">
        <v>5268700</v>
      </c>
      <c r="AV28" s="52">
        <v>5360500</v>
      </c>
      <c r="AW28" s="52">
        <v>5453000</v>
      </c>
      <c r="AX28" s="52">
        <v>5546200</v>
      </c>
      <c r="AY28" s="52">
        <v>5640100</v>
      </c>
      <c r="AZ28" s="52">
        <v>5734700</v>
      </c>
      <c r="BA28" s="52">
        <v>5830000</v>
      </c>
      <c r="BB28" s="52">
        <v>5926100</v>
      </c>
      <c r="BC28" s="52">
        <v>6022900</v>
      </c>
      <c r="BD28" s="52">
        <v>6120500</v>
      </c>
      <c r="BE28" s="52">
        <v>6218800</v>
      </c>
      <c r="BF28" s="52">
        <v>6317800</v>
      </c>
      <c r="BG28" s="52">
        <v>6417600</v>
      </c>
      <c r="BH28" s="52">
        <v>6518100</v>
      </c>
      <c r="BQ28" s="52"/>
      <c r="BR28" s="52"/>
      <c r="BS28" s="52"/>
      <c r="BT28" s="52"/>
      <c r="BU28" s="52"/>
      <c r="BV28" s="52"/>
      <c r="BW28" s="52"/>
      <c r="BX28" s="52"/>
      <c r="BY28" s="52"/>
      <c r="BZ28" s="52"/>
    </row>
    <row r="29" spans="1:78" x14ac:dyDescent="0.25">
      <c r="A29" s="7"/>
      <c r="B29" s="5"/>
      <c r="C29" s="37" t="s">
        <v>75</v>
      </c>
      <c r="D29" s="37" t="s">
        <v>102</v>
      </c>
      <c r="E29" s="55" t="s">
        <v>117</v>
      </c>
      <c r="F29" s="5"/>
      <c r="G29" s="5"/>
      <c r="H29" s="5"/>
      <c r="I29" s="5"/>
      <c r="J29" s="19">
        <f t="shared" si="16"/>
        <v>5103500</v>
      </c>
      <c r="K29" s="19">
        <f t="shared" si="16"/>
        <v>5375800</v>
      </c>
      <c r="L29" s="19">
        <f t="shared" si="16"/>
        <v>5632900</v>
      </c>
      <c r="M29" s="19">
        <f t="shared" si="16"/>
        <v>5872900</v>
      </c>
      <c r="N29" s="19">
        <f t="shared" si="16"/>
        <v>6096400</v>
      </c>
      <c r="O29" s="56">
        <f t="shared" si="18"/>
        <v>6317364.8263556212</v>
      </c>
      <c r="P29" s="56">
        <f t="shared" si="17"/>
        <v>6532636.064060756</v>
      </c>
      <c r="Q29" s="51"/>
      <c r="AJ29" s="52">
        <v>4991700</v>
      </c>
      <c r="AK29" s="52">
        <v>5048000</v>
      </c>
      <c r="AL29" s="52">
        <v>5103500</v>
      </c>
      <c r="AM29" s="52">
        <v>5159100</v>
      </c>
      <c r="AN29" s="52">
        <v>5214100</v>
      </c>
      <c r="AO29" s="52">
        <v>5268600</v>
      </c>
      <c r="AP29" s="52">
        <v>5322500</v>
      </c>
      <c r="AQ29" s="52">
        <v>5375800</v>
      </c>
      <c r="AR29" s="52">
        <v>5428500</v>
      </c>
      <c r="AS29" s="52">
        <v>5480600</v>
      </c>
      <c r="AT29" s="52">
        <v>5532000</v>
      </c>
      <c r="AU29" s="52">
        <v>5582800</v>
      </c>
      <c r="AV29" s="52">
        <v>5632900</v>
      </c>
      <c r="AW29" s="52">
        <v>5682300</v>
      </c>
      <c r="AX29" s="52">
        <v>5731000</v>
      </c>
      <c r="AY29" s="52">
        <v>5779000</v>
      </c>
      <c r="AZ29" s="52">
        <v>5826300</v>
      </c>
      <c r="BA29" s="52">
        <v>5872900</v>
      </c>
      <c r="BB29" s="52">
        <v>5918800</v>
      </c>
      <c r="BC29" s="52">
        <v>5964100</v>
      </c>
      <c r="BD29" s="52">
        <v>6008800</v>
      </c>
      <c r="BE29" s="52">
        <v>6052900</v>
      </c>
      <c r="BF29" s="52">
        <v>6096400</v>
      </c>
      <c r="BG29" s="52">
        <v>6139500</v>
      </c>
      <c r="BH29" s="52">
        <v>6182100</v>
      </c>
      <c r="BQ29" s="52"/>
      <c r="BR29" s="52"/>
      <c r="BS29" s="52"/>
      <c r="BT29" s="52"/>
      <c r="BU29" s="52"/>
      <c r="BV29" s="52"/>
      <c r="BW29" s="52"/>
      <c r="BX29" s="52"/>
      <c r="BY29" s="52"/>
      <c r="BZ29" s="52"/>
    </row>
    <row r="30" spans="1:78" x14ac:dyDescent="0.25">
      <c r="A30" s="7"/>
      <c r="B30" s="5"/>
      <c r="C30" s="37" t="s">
        <v>114</v>
      </c>
      <c r="D30" s="37" t="s">
        <v>102</v>
      </c>
      <c r="E30" s="55" t="s">
        <v>117</v>
      </c>
      <c r="F30" s="5"/>
      <c r="G30" s="5"/>
      <c r="H30" s="5"/>
      <c r="I30" s="5"/>
      <c r="J30" s="19">
        <f t="shared" si="16"/>
        <v>41300</v>
      </c>
      <c r="K30" s="19">
        <f t="shared" si="16"/>
        <v>43500</v>
      </c>
      <c r="L30" s="19">
        <f t="shared" si="16"/>
        <v>45400</v>
      </c>
      <c r="M30" s="19">
        <f t="shared" si="16"/>
        <v>47000</v>
      </c>
      <c r="N30" s="19">
        <f t="shared" si="16"/>
        <v>48300</v>
      </c>
      <c r="O30" s="56">
        <f t="shared" si="18"/>
        <v>50050.63990436594</v>
      </c>
      <c r="P30" s="56">
        <f t="shared" si="17"/>
        <v>51756.171165627995</v>
      </c>
      <c r="Q30" s="51"/>
      <c r="AJ30" s="52">
        <v>40500</v>
      </c>
      <c r="AK30" s="52">
        <v>40900</v>
      </c>
      <c r="AL30" s="52">
        <v>41300</v>
      </c>
      <c r="AM30" s="52">
        <v>41800</v>
      </c>
      <c r="AN30" s="52">
        <v>42200</v>
      </c>
      <c r="AO30" s="52">
        <v>42600</v>
      </c>
      <c r="AP30" s="52">
        <v>43100</v>
      </c>
      <c r="AQ30" s="52">
        <v>43500</v>
      </c>
      <c r="AR30" s="52">
        <v>43900</v>
      </c>
      <c r="AS30" s="52">
        <v>44300</v>
      </c>
      <c r="AT30" s="52">
        <v>44600</v>
      </c>
      <c r="AU30" s="52">
        <v>45000</v>
      </c>
      <c r="AV30" s="52">
        <v>45400</v>
      </c>
      <c r="AW30" s="52">
        <v>45700</v>
      </c>
      <c r="AX30" s="52">
        <v>46000</v>
      </c>
      <c r="AY30" s="52">
        <v>46400</v>
      </c>
      <c r="AZ30" s="52">
        <v>46700</v>
      </c>
      <c r="BA30" s="52">
        <v>47000</v>
      </c>
      <c r="BB30" s="52">
        <v>47300</v>
      </c>
      <c r="BC30" s="52">
        <v>47600</v>
      </c>
      <c r="BD30" s="52">
        <v>47800</v>
      </c>
      <c r="BE30" s="52">
        <v>48100</v>
      </c>
      <c r="BF30" s="52">
        <v>48300</v>
      </c>
      <c r="BG30" s="52">
        <v>48600</v>
      </c>
      <c r="BH30" s="52">
        <v>48800</v>
      </c>
      <c r="BQ30" s="52"/>
      <c r="BR30" s="52"/>
      <c r="BS30" s="52"/>
      <c r="BT30" s="52"/>
      <c r="BU30" s="52"/>
      <c r="BV30" s="52"/>
      <c r="BW30" s="52"/>
      <c r="BX30" s="52"/>
      <c r="BY30" s="52"/>
      <c r="BZ30" s="52"/>
    </row>
    <row r="31" spans="1:78" x14ac:dyDescent="0.25">
      <c r="A31" s="7"/>
      <c r="B31" s="5"/>
      <c r="C31" s="37" t="s">
        <v>116</v>
      </c>
      <c r="D31" s="37" t="s">
        <v>102</v>
      </c>
      <c r="E31" s="55" t="s">
        <v>117</v>
      </c>
      <c r="F31" s="5"/>
      <c r="G31" s="5"/>
      <c r="H31" s="5"/>
      <c r="I31" s="5"/>
      <c r="J31" s="19">
        <f t="shared" si="16"/>
        <v>45100</v>
      </c>
      <c r="K31" s="19">
        <f t="shared" si="16"/>
        <v>46400</v>
      </c>
      <c r="L31" s="19">
        <f t="shared" si="16"/>
        <v>47400</v>
      </c>
      <c r="M31" s="19">
        <f t="shared" si="16"/>
        <v>48200</v>
      </c>
      <c r="N31" s="19">
        <f t="shared" si="16"/>
        <v>48600</v>
      </c>
      <c r="O31" s="56">
        <f t="shared" si="18"/>
        <v>50361.513444144613</v>
      </c>
      <c r="P31" s="56">
        <f t="shared" si="17"/>
        <v>52077.638067277854</v>
      </c>
      <c r="Q31" s="51"/>
      <c r="AJ31" s="52">
        <v>44500</v>
      </c>
      <c r="AK31" s="52">
        <v>44800</v>
      </c>
      <c r="AL31" s="52">
        <v>45100</v>
      </c>
      <c r="AM31" s="52">
        <v>45300</v>
      </c>
      <c r="AN31" s="52">
        <v>45600</v>
      </c>
      <c r="AO31" s="52">
        <v>45900</v>
      </c>
      <c r="AP31" s="52">
        <v>46100</v>
      </c>
      <c r="AQ31" s="52">
        <v>46400</v>
      </c>
      <c r="AR31" s="52">
        <v>46600</v>
      </c>
      <c r="AS31" s="52">
        <v>46800</v>
      </c>
      <c r="AT31" s="52">
        <v>47000</v>
      </c>
      <c r="AU31" s="52">
        <v>47200</v>
      </c>
      <c r="AV31" s="52">
        <v>47400</v>
      </c>
      <c r="AW31" s="52">
        <v>47600</v>
      </c>
      <c r="AX31" s="52">
        <v>47800</v>
      </c>
      <c r="AY31" s="52">
        <v>47900</v>
      </c>
      <c r="AZ31" s="52">
        <v>48100</v>
      </c>
      <c r="BA31" s="52">
        <v>48200</v>
      </c>
      <c r="BB31" s="52">
        <v>48300</v>
      </c>
      <c r="BC31" s="52">
        <v>48400</v>
      </c>
      <c r="BD31" s="52">
        <v>48500</v>
      </c>
      <c r="BE31" s="52">
        <v>48500</v>
      </c>
      <c r="BF31" s="52">
        <v>48600</v>
      </c>
      <c r="BG31" s="52">
        <v>48600</v>
      </c>
      <c r="BH31" s="52">
        <v>48600</v>
      </c>
      <c r="BQ31" s="52"/>
      <c r="BR31" s="52"/>
      <c r="BS31" s="52"/>
      <c r="BT31" s="52"/>
      <c r="BU31" s="52"/>
      <c r="BV31" s="52"/>
      <c r="BW31" s="52"/>
      <c r="BX31" s="52"/>
      <c r="BY31" s="52"/>
      <c r="BZ31" s="52"/>
    </row>
    <row r="32" spans="1:78" x14ac:dyDescent="0.25">
      <c r="A32" s="7"/>
      <c r="B32" s="5"/>
      <c r="C32" s="37" t="s">
        <v>115</v>
      </c>
      <c r="D32" s="37" t="s">
        <v>102</v>
      </c>
      <c r="E32" s="55" t="s">
        <v>117</v>
      </c>
      <c r="F32" s="5"/>
      <c r="G32" s="5"/>
      <c r="H32" s="5"/>
      <c r="I32" s="5"/>
      <c r="J32" s="19">
        <f t="shared" si="16"/>
        <v>39300</v>
      </c>
      <c r="K32" s="19">
        <f t="shared" si="16"/>
        <v>41600</v>
      </c>
      <c r="L32" s="19">
        <f t="shared" si="16"/>
        <v>43900</v>
      </c>
      <c r="M32" s="19">
        <f t="shared" si="16"/>
        <v>46400</v>
      </c>
      <c r="N32" s="19">
        <f t="shared" si="16"/>
        <v>48800</v>
      </c>
      <c r="O32" s="56">
        <f t="shared" si="18"/>
        <v>50568.762470663722</v>
      </c>
      <c r="P32" s="56">
        <f t="shared" si="17"/>
        <v>52291.949335044432</v>
      </c>
      <c r="Q32" s="51"/>
      <c r="AJ32" s="52">
        <v>38400</v>
      </c>
      <c r="AK32" s="52">
        <v>38900</v>
      </c>
      <c r="AL32" s="52">
        <v>39300</v>
      </c>
      <c r="AM32" s="52">
        <v>39800</v>
      </c>
      <c r="AN32" s="52">
        <v>40200</v>
      </c>
      <c r="AO32" s="52">
        <v>40700</v>
      </c>
      <c r="AP32" s="52">
        <v>41200</v>
      </c>
      <c r="AQ32" s="52">
        <v>41600</v>
      </c>
      <c r="AR32" s="52">
        <v>42100</v>
      </c>
      <c r="AS32" s="52">
        <v>42500</v>
      </c>
      <c r="AT32" s="52">
        <v>43000</v>
      </c>
      <c r="AU32" s="52">
        <v>43400</v>
      </c>
      <c r="AV32" s="52">
        <v>43900</v>
      </c>
      <c r="AW32" s="52">
        <v>44400</v>
      </c>
      <c r="AX32" s="52">
        <v>44900</v>
      </c>
      <c r="AY32" s="52">
        <v>45400</v>
      </c>
      <c r="AZ32" s="52">
        <v>45900</v>
      </c>
      <c r="BA32" s="52">
        <v>46400</v>
      </c>
      <c r="BB32" s="52">
        <v>46800</v>
      </c>
      <c r="BC32" s="52">
        <v>47300</v>
      </c>
      <c r="BD32" s="52">
        <v>47800</v>
      </c>
      <c r="BE32" s="52">
        <v>48300</v>
      </c>
      <c r="BF32" s="52">
        <v>48800</v>
      </c>
      <c r="BG32" s="52">
        <v>49300</v>
      </c>
      <c r="BH32" s="52">
        <v>49800</v>
      </c>
      <c r="BQ32" s="52"/>
      <c r="BR32" s="52"/>
      <c r="BS32" s="52"/>
      <c r="BT32" s="52"/>
      <c r="BU32" s="52"/>
      <c r="BV32" s="52"/>
      <c r="BW32" s="52"/>
      <c r="BX32" s="52"/>
      <c r="BY32" s="52"/>
      <c r="BZ32" s="52"/>
    </row>
    <row r="33" spans="1:17" x14ac:dyDescent="0.25">
      <c r="A33" s="7"/>
      <c r="B33" s="5"/>
      <c r="C33" s="5"/>
      <c r="D33" s="5"/>
      <c r="E33" s="16"/>
      <c r="F33" s="5"/>
      <c r="G33" s="5"/>
      <c r="H33" s="5"/>
      <c r="I33" s="5"/>
      <c r="J33" s="46"/>
      <c r="K33" s="46"/>
      <c r="L33" s="46"/>
      <c r="M33" s="46"/>
      <c r="N33" s="46"/>
      <c r="O33" s="46"/>
      <c r="P33" s="46"/>
      <c r="Q33" s="51"/>
    </row>
    <row r="34" spans="1:17" x14ac:dyDescent="0.25">
      <c r="A34" s="7"/>
      <c r="B34" s="5"/>
      <c r="C34" s="5"/>
      <c r="D34" s="5"/>
      <c r="E34" s="16"/>
      <c r="F34" s="5"/>
      <c r="G34" s="5"/>
      <c r="H34" s="5"/>
      <c r="I34" s="5"/>
      <c r="J34" s="46"/>
      <c r="K34" s="46"/>
      <c r="L34" s="46"/>
      <c r="M34" s="46"/>
      <c r="N34" s="46"/>
      <c r="O34" s="46"/>
      <c r="P34" s="46"/>
      <c r="Q34" s="51"/>
    </row>
    <row r="35" spans="1:17" x14ac:dyDescent="0.25">
      <c r="A35" s="7"/>
      <c r="B35" s="5" t="s">
        <v>119</v>
      </c>
      <c r="C35" s="37" t="s">
        <v>59</v>
      </c>
      <c r="D35" s="37" t="s">
        <v>118</v>
      </c>
      <c r="E35" s="18" t="s">
        <v>104</v>
      </c>
      <c r="F35" s="42"/>
      <c r="G35" s="59">
        <f>(G3/F3)^(1/5)-1</f>
        <v>9.9545387219122095E-3</v>
      </c>
      <c r="H35" s="59">
        <f t="shared" ref="H35:P35" si="19">(H3/G3)^(1/5)-1</f>
        <v>1.069276116045037E-2</v>
      </c>
      <c r="I35" s="59">
        <f t="shared" si="19"/>
        <v>9.7932094088573063E-3</v>
      </c>
      <c r="J35" s="59">
        <f t="shared" si="19"/>
        <v>1.1874913081660665E-2</v>
      </c>
      <c r="K35" s="59">
        <f t="shared" si="19"/>
        <v>1.054676367092533E-2</v>
      </c>
      <c r="L35" s="59">
        <f t="shared" si="19"/>
        <v>9.7042163883949151E-3</v>
      </c>
      <c r="M35" s="59">
        <f t="shared" si="19"/>
        <v>8.7612656083213558E-3</v>
      </c>
      <c r="N35" s="59">
        <f t="shared" si="19"/>
        <v>7.8797725083630255E-3</v>
      </c>
      <c r="O35" s="59">
        <f t="shared" si="19"/>
        <v>7.1461588604009307E-3</v>
      </c>
      <c r="P35" s="59">
        <f t="shared" si="19"/>
        <v>6.7241832107722832E-3</v>
      </c>
      <c r="Q35" s="51"/>
    </row>
    <row r="36" spans="1:17" x14ac:dyDescent="0.25">
      <c r="A36" s="7"/>
      <c r="B36" s="5"/>
      <c r="C36" s="37" t="s">
        <v>106</v>
      </c>
      <c r="D36" s="37" t="s">
        <v>118</v>
      </c>
      <c r="E36" s="18" t="s">
        <v>104</v>
      </c>
      <c r="F36" s="42"/>
      <c r="G36" s="59">
        <f t="shared" ref="G36:P36" si="20">(G4/F4)^(1/5)-1</f>
        <v>-5.2189171537836421E-3</v>
      </c>
      <c r="H36" s="59">
        <f t="shared" si="20"/>
        <v>2.9675660871815168E-3</v>
      </c>
      <c r="I36" s="59">
        <f t="shared" si="20"/>
        <v>2.329312834649544E-3</v>
      </c>
      <c r="J36" s="59">
        <f t="shared" si="20"/>
        <v>-2.2126913065653175E-3</v>
      </c>
      <c r="K36" s="59">
        <f t="shared" si="20"/>
        <v>-3.4314723963486671E-3</v>
      </c>
      <c r="L36" s="59">
        <f t="shared" si="20"/>
        <v>-4.4809601548809752E-3</v>
      </c>
      <c r="M36" s="59">
        <f t="shared" si="20"/>
        <v>-5.8856072524747782E-3</v>
      </c>
      <c r="N36" s="59">
        <f t="shared" si="20"/>
        <v>-7.2018818907896298E-3</v>
      </c>
      <c r="O36" s="59">
        <f t="shared" si="20"/>
        <v>7.1461588604009307E-3</v>
      </c>
      <c r="P36" s="59">
        <f t="shared" si="20"/>
        <v>6.7241832107722832E-3</v>
      </c>
      <c r="Q36" s="51"/>
    </row>
    <row r="37" spans="1:17" x14ac:dyDescent="0.25">
      <c r="A37" s="7"/>
      <c r="B37" s="5"/>
      <c r="C37" s="37" t="s">
        <v>107</v>
      </c>
      <c r="D37" s="37" t="s">
        <v>118</v>
      </c>
      <c r="E37" s="18" t="s">
        <v>104</v>
      </c>
      <c r="F37" s="42"/>
      <c r="G37" s="59">
        <f t="shared" ref="G37:P37" si="21">(G5/F5)^(1/5)-1</f>
        <v>2.3252062119700767E-3</v>
      </c>
      <c r="H37" s="59">
        <f t="shared" si="21"/>
        <v>5.147225428461466E-3</v>
      </c>
      <c r="I37" s="59">
        <f t="shared" si="21"/>
        <v>4.0502464677787398E-3</v>
      </c>
      <c r="J37" s="59">
        <f t="shared" si="21"/>
        <v>1.7184491309354177E-2</v>
      </c>
      <c r="K37" s="59">
        <f t="shared" si="21"/>
        <v>1.2878717066848067E-2</v>
      </c>
      <c r="L37" s="59">
        <f t="shared" si="21"/>
        <v>1.1416888135353132E-2</v>
      </c>
      <c r="M37" s="59">
        <f t="shared" si="21"/>
        <v>9.6107791580339885E-3</v>
      </c>
      <c r="N37" s="59">
        <f t="shared" si="21"/>
        <v>7.7168016660342786E-3</v>
      </c>
      <c r="O37" s="59">
        <f t="shared" si="21"/>
        <v>7.1461588604009307E-3</v>
      </c>
      <c r="P37" s="59">
        <f t="shared" si="21"/>
        <v>6.7241832107722832E-3</v>
      </c>
      <c r="Q37" s="51"/>
    </row>
    <row r="38" spans="1:17" x14ac:dyDescent="0.25">
      <c r="A38" s="7"/>
      <c r="B38" s="5"/>
      <c r="C38" s="37" t="s">
        <v>108</v>
      </c>
      <c r="D38" s="37" t="s">
        <v>118</v>
      </c>
      <c r="E38" s="18" t="s">
        <v>104</v>
      </c>
      <c r="F38" s="42"/>
      <c r="G38" s="59">
        <f t="shared" ref="G38:P38" si="22">(G6/F6)^(1/5)-1</f>
        <v>8.7764162153214365E-4</v>
      </c>
      <c r="H38" s="59">
        <f t="shared" si="22"/>
        <v>8.8995609612352311E-4</v>
      </c>
      <c r="I38" s="59">
        <f t="shared" si="22"/>
        <v>-1.1878218937966256E-3</v>
      </c>
      <c r="J38" s="59">
        <f t="shared" si="22"/>
        <v>6.4458226834105403E-3</v>
      </c>
      <c r="K38" s="59">
        <f t="shared" si="22"/>
        <v>3.4504116425735365E-3</v>
      </c>
      <c r="L38" s="59">
        <f t="shared" si="22"/>
        <v>2.4677174707286031E-3</v>
      </c>
      <c r="M38" s="59">
        <f t="shared" si="22"/>
        <v>1.021902868589164E-3</v>
      </c>
      <c r="N38" s="59">
        <f t="shared" si="22"/>
        <v>-4.9990026990875958E-4</v>
      </c>
      <c r="O38" s="59">
        <f t="shared" si="22"/>
        <v>7.1461588604009307E-3</v>
      </c>
      <c r="P38" s="59">
        <f t="shared" si="22"/>
        <v>6.7241832107722832E-3</v>
      </c>
      <c r="Q38" s="51"/>
    </row>
    <row r="39" spans="1:17" x14ac:dyDescent="0.25">
      <c r="A39" s="7"/>
      <c r="B39" s="5"/>
      <c r="C39" s="37" t="s">
        <v>109</v>
      </c>
      <c r="D39" s="37" t="s">
        <v>118</v>
      </c>
      <c r="E39" s="18" t="s">
        <v>104</v>
      </c>
      <c r="F39" s="42"/>
      <c r="G39" s="59">
        <f t="shared" ref="G39:P39" si="23">(G7/F7)^(1/5)-1</f>
        <v>-6.5640928967547474E-4</v>
      </c>
      <c r="H39" s="59">
        <f t="shared" si="23"/>
        <v>1.3273860347549071E-3</v>
      </c>
      <c r="I39" s="59">
        <f t="shared" si="23"/>
        <v>1.5375567539832602E-3</v>
      </c>
      <c r="J39" s="59">
        <f t="shared" si="23"/>
        <v>4.3782237953629011E-3</v>
      </c>
      <c r="K39" s="59">
        <f t="shared" si="23"/>
        <v>3.1008744636937813E-3</v>
      </c>
      <c r="L39" s="59">
        <f t="shared" si="23"/>
        <v>2.2495993678550708E-3</v>
      </c>
      <c r="M39" s="59">
        <f t="shared" si="23"/>
        <v>9.2722693444224902E-4</v>
      </c>
      <c r="N39" s="59">
        <f t="shared" si="23"/>
        <v>-5.5039937287038043E-4</v>
      </c>
      <c r="O39" s="59">
        <f t="shared" si="23"/>
        <v>7.1461588604009307E-3</v>
      </c>
      <c r="P39" s="59">
        <f t="shared" si="23"/>
        <v>6.7241832107722832E-3</v>
      </c>
      <c r="Q39" s="51"/>
    </row>
    <row r="40" spans="1:17" x14ac:dyDescent="0.25">
      <c r="A40" s="7"/>
      <c r="B40" s="5"/>
      <c r="C40" s="37" t="s">
        <v>110</v>
      </c>
      <c r="D40" s="37" t="s">
        <v>118</v>
      </c>
      <c r="E40" s="18" t="s">
        <v>104</v>
      </c>
      <c r="F40" s="42"/>
      <c r="G40" s="59">
        <f t="shared" ref="G40:P40" si="24">(G8/F8)^(1/5)-1</f>
        <v>6.0305757544720784E-3</v>
      </c>
      <c r="H40" s="59">
        <f t="shared" si="24"/>
        <v>9.0097493833043441E-3</v>
      </c>
      <c r="I40" s="59">
        <f t="shared" si="24"/>
        <v>6.1305284421402373E-3</v>
      </c>
      <c r="J40" s="59">
        <f t="shared" si="24"/>
        <v>7.690401767234345E-3</v>
      </c>
      <c r="K40" s="59">
        <f t="shared" si="24"/>
        <v>5.680001380246269E-3</v>
      </c>
      <c r="L40" s="59">
        <f t="shared" si="24"/>
        <v>4.9942099732189771E-3</v>
      </c>
      <c r="M40" s="59">
        <f t="shared" si="24"/>
        <v>4.4298768213724138E-3</v>
      </c>
      <c r="N40" s="59">
        <f t="shared" si="24"/>
        <v>4.2007823676668554E-3</v>
      </c>
      <c r="O40" s="59">
        <f t="shared" si="24"/>
        <v>7.1461588604009307E-3</v>
      </c>
      <c r="P40" s="59">
        <f t="shared" si="24"/>
        <v>6.7241832107722832E-3</v>
      </c>
      <c r="Q40" s="51"/>
    </row>
    <row r="41" spans="1:17" x14ac:dyDescent="0.25">
      <c r="A41" s="7"/>
      <c r="B41" s="5"/>
      <c r="C41" s="37" t="s">
        <v>111</v>
      </c>
      <c r="D41" s="37" t="s">
        <v>118</v>
      </c>
      <c r="E41" s="18" t="s">
        <v>104</v>
      </c>
      <c r="F41" s="42"/>
      <c r="G41" s="59">
        <f t="shared" ref="G41:P41" si="25">(G9/F9)^(1/5)-1</f>
        <v>1.4069951710261597E-2</v>
      </c>
      <c r="H41" s="59">
        <f t="shared" si="25"/>
        <v>9.5090450166854801E-3</v>
      </c>
      <c r="I41" s="59">
        <f t="shared" si="25"/>
        <v>8.551478269280377E-3</v>
      </c>
      <c r="J41" s="59">
        <f t="shared" si="25"/>
        <v>1.377961592086363E-2</v>
      </c>
      <c r="K41" s="59">
        <f t="shared" si="25"/>
        <v>1.1761302560298281E-2</v>
      </c>
      <c r="L41" s="59">
        <f t="shared" si="25"/>
        <v>1.0693179850291612E-2</v>
      </c>
      <c r="M41" s="59">
        <f t="shared" si="25"/>
        <v>9.3708455208736385E-3</v>
      </c>
      <c r="N41" s="59">
        <f t="shared" si="25"/>
        <v>7.9774972183463966E-3</v>
      </c>
      <c r="O41" s="59">
        <f t="shared" si="25"/>
        <v>7.1461588604009307E-3</v>
      </c>
      <c r="P41" s="59">
        <f t="shared" si="25"/>
        <v>6.7241832107722832E-3</v>
      </c>
      <c r="Q41" s="51"/>
    </row>
    <row r="42" spans="1:17" x14ac:dyDescent="0.25">
      <c r="A42" s="7"/>
      <c r="B42" s="5"/>
      <c r="C42" s="37" t="s">
        <v>112</v>
      </c>
      <c r="D42" s="37" t="s">
        <v>118</v>
      </c>
      <c r="E42" s="18" t="s">
        <v>104</v>
      </c>
      <c r="F42" s="42"/>
      <c r="G42" s="59">
        <f t="shared" ref="G42:P42" si="26">(G10/F10)^(1/5)-1</f>
        <v>5.338093533967081E-3</v>
      </c>
      <c r="H42" s="59">
        <f t="shared" si="26"/>
        <v>7.1147564544709052E-3</v>
      </c>
      <c r="I42" s="59">
        <f t="shared" si="26"/>
        <v>1.14403636533007E-2</v>
      </c>
      <c r="J42" s="59">
        <f t="shared" si="26"/>
        <v>1.3508886965546418E-2</v>
      </c>
      <c r="K42" s="59">
        <f t="shared" si="26"/>
        <v>1.075120045736111E-2</v>
      </c>
      <c r="L42" s="59">
        <f t="shared" si="26"/>
        <v>1.0347494746893116E-2</v>
      </c>
      <c r="M42" s="59">
        <f t="shared" si="26"/>
        <v>9.9636538321570267E-3</v>
      </c>
      <c r="N42" s="59">
        <f t="shared" si="26"/>
        <v>9.6936675386265492E-3</v>
      </c>
      <c r="O42" s="59">
        <f t="shared" si="26"/>
        <v>7.1461588604009307E-3</v>
      </c>
      <c r="P42" s="59">
        <f t="shared" si="26"/>
        <v>6.7241832107722832E-3</v>
      </c>
      <c r="Q42" s="51"/>
    </row>
    <row r="43" spans="1:17" x14ac:dyDescent="0.25">
      <c r="A43" s="7"/>
      <c r="B43" s="5"/>
      <c r="C43" s="37" t="s">
        <v>113</v>
      </c>
      <c r="D43" s="37" t="s">
        <v>118</v>
      </c>
      <c r="E43" s="18" t="s">
        <v>104</v>
      </c>
      <c r="F43" s="42"/>
      <c r="G43" s="59">
        <f t="shared" ref="G43:P43" si="27">(G11/F11)^(1/5)-1</f>
        <v>-2.8076004725260395E-3</v>
      </c>
      <c r="H43" s="59">
        <f t="shared" si="27"/>
        <v>1.1401451378031835E-2</v>
      </c>
      <c r="I43" s="59">
        <f t="shared" si="27"/>
        <v>1.2887983164340922E-2</v>
      </c>
      <c r="J43" s="59">
        <f t="shared" si="27"/>
        <v>1.2890000636277321E-2</v>
      </c>
      <c r="K43" s="59">
        <f t="shared" si="27"/>
        <v>1.4927126073860153E-2</v>
      </c>
      <c r="L43" s="59">
        <f t="shared" si="27"/>
        <v>1.4110503179086908E-2</v>
      </c>
      <c r="M43" s="59">
        <f t="shared" si="27"/>
        <v>1.2491865334220531E-2</v>
      </c>
      <c r="N43" s="59">
        <f t="shared" si="27"/>
        <v>1.0650341074533554E-2</v>
      </c>
      <c r="O43" s="59">
        <f t="shared" si="27"/>
        <v>7.1461588604009307E-3</v>
      </c>
      <c r="P43" s="59">
        <f t="shared" si="27"/>
        <v>6.7241832107722832E-3</v>
      </c>
      <c r="Q43" s="51"/>
    </row>
    <row r="44" spans="1:17" x14ac:dyDescent="0.25">
      <c r="A44" s="7"/>
      <c r="B44" s="5"/>
      <c r="C44" s="37" t="s">
        <v>5</v>
      </c>
      <c r="D44" s="37" t="s">
        <v>118</v>
      </c>
      <c r="E44" s="18" t="s">
        <v>104</v>
      </c>
      <c r="F44" s="42"/>
      <c r="G44" s="59">
        <f t="shared" ref="G44:P44" si="28">(G12/F12)^(1/5)-1</f>
        <v>2.0300616049666598E-2</v>
      </c>
      <c r="H44" s="59">
        <f t="shared" si="28"/>
        <v>2.3567236532474389E-2</v>
      </c>
      <c r="I44" s="59">
        <f t="shared" si="28"/>
        <v>2.1184007253333803E-2</v>
      </c>
      <c r="J44" s="59">
        <f t="shared" si="28"/>
        <v>1.5363753015578352E-2</v>
      </c>
      <c r="K44" s="59">
        <f t="shared" si="28"/>
        <v>1.8764641082132716E-2</v>
      </c>
      <c r="L44" s="59">
        <f t="shared" si="28"/>
        <v>1.7773879984306573E-2</v>
      </c>
      <c r="M44" s="59">
        <f t="shared" si="28"/>
        <v>1.693372644913671E-2</v>
      </c>
      <c r="N44" s="59">
        <f t="shared" si="28"/>
        <v>1.6200639198488354E-2</v>
      </c>
      <c r="O44" s="59">
        <f t="shared" si="28"/>
        <v>7.1461588604009307E-3</v>
      </c>
      <c r="P44" s="59">
        <f t="shared" si="28"/>
        <v>6.7241832107722832E-3</v>
      </c>
      <c r="Q44" s="51"/>
    </row>
    <row r="45" spans="1:17" x14ac:dyDescent="0.25">
      <c r="A45" s="7"/>
      <c r="B45" s="5"/>
      <c r="C45" s="37" t="s">
        <v>75</v>
      </c>
      <c r="D45" s="37" t="s">
        <v>118</v>
      </c>
      <c r="E45" s="18" t="s">
        <v>104</v>
      </c>
      <c r="F45" s="42"/>
      <c r="G45" s="59">
        <f t="shared" ref="G45:P45" si="29">(G13/F13)^(1/5)-1</f>
        <v>7.6475717673321064E-3</v>
      </c>
      <c r="H45" s="59">
        <f t="shared" si="29"/>
        <v>1.2526816395749707E-2</v>
      </c>
      <c r="I45" s="59">
        <f t="shared" si="29"/>
        <v>1.3549599164150106E-2</v>
      </c>
      <c r="J45" s="59">
        <f t="shared" si="29"/>
        <v>1.3336542117141637E-2</v>
      </c>
      <c r="K45" s="59">
        <f t="shared" si="29"/>
        <v>1.0450392130632036E-2</v>
      </c>
      <c r="L45" s="59">
        <f t="shared" si="29"/>
        <v>9.3871872537927281E-3</v>
      </c>
      <c r="M45" s="59">
        <f t="shared" si="29"/>
        <v>8.3797435527874775E-3</v>
      </c>
      <c r="N45" s="59">
        <f t="shared" si="29"/>
        <v>7.4979466190987498E-3</v>
      </c>
      <c r="O45" s="59">
        <f t="shared" si="29"/>
        <v>7.1461588604009307E-3</v>
      </c>
      <c r="P45" s="59">
        <f t="shared" si="29"/>
        <v>6.7241832107722832E-3</v>
      </c>
      <c r="Q45" s="51"/>
    </row>
    <row r="46" spans="1:17" x14ac:dyDescent="0.25">
      <c r="A46" s="7"/>
      <c r="B46" s="5"/>
      <c r="C46" s="37" t="s">
        <v>114</v>
      </c>
      <c r="D46" s="37" t="s">
        <v>118</v>
      </c>
      <c r="E46" s="18" t="s">
        <v>104</v>
      </c>
      <c r="F46" s="42"/>
      <c r="G46" s="59">
        <f t="shared" ref="G46:P46" si="30">(G14/F14)^(1/5)-1</f>
        <v>9.4860860000329783E-3</v>
      </c>
      <c r="H46" s="59">
        <f t="shared" si="30"/>
        <v>1.6346031075593404E-2</v>
      </c>
      <c r="I46" s="59">
        <f t="shared" si="30"/>
        <v>1.7278930866397202E-2</v>
      </c>
      <c r="J46" s="59">
        <f t="shared" si="30"/>
        <v>1.8461890330144337E-2</v>
      </c>
      <c r="K46" s="59">
        <f t="shared" si="30"/>
        <v>1.043374344876602E-2</v>
      </c>
      <c r="L46" s="59">
        <f t="shared" si="30"/>
        <v>8.5868910387139064E-3</v>
      </c>
      <c r="M46" s="59">
        <f t="shared" si="30"/>
        <v>6.9511471803411773E-3</v>
      </c>
      <c r="N46" s="59">
        <f t="shared" si="30"/>
        <v>5.4717071957588459E-3</v>
      </c>
      <c r="O46" s="59">
        <f t="shared" si="30"/>
        <v>7.1461588604009307E-3</v>
      </c>
      <c r="P46" s="59">
        <f t="shared" si="30"/>
        <v>6.7241832107722832E-3</v>
      </c>
      <c r="Q46" s="51"/>
    </row>
    <row r="47" spans="1:17" x14ac:dyDescent="0.25">
      <c r="A47" s="7"/>
      <c r="B47" s="5"/>
      <c r="C47" s="37" t="s">
        <v>116</v>
      </c>
      <c r="D47" s="37" t="s">
        <v>118</v>
      </c>
      <c r="E47" s="18" t="s">
        <v>104</v>
      </c>
      <c r="F47" s="42"/>
      <c r="G47" s="59">
        <f t="shared" ref="G47:P47" si="31">(G15/F15)^(1/5)-1</f>
        <v>1.4027761729257904E-2</v>
      </c>
      <c r="H47" s="59">
        <f t="shared" si="31"/>
        <v>-5.3051651404789624E-4</v>
      </c>
      <c r="I47" s="59">
        <f t="shared" si="31"/>
        <v>4.3605573447920154E-3</v>
      </c>
      <c r="J47" s="59">
        <f t="shared" si="31"/>
        <v>3.8716161230409885E-3</v>
      </c>
      <c r="K47" s="59">
        <f t="shared" si="31"/>
        <v>5.6996239451236885E-3</v>
      </c>
      <c r="L47" s="59">
        <f t="shared" si="31"/>
        <v>4.2736600436747985E-3</v>
      </c>
      <c r="M47" s="59">
        <f t="shared" si="31"/>
        <v>3.3529671317917842E-3</v>
      </c>
      <c r="N47" s="59">
        <f t="shared" si="31"/>
        <v>1.6542687653957611E-3</v>
      </c>
      <c r="O47" s="59">
        <f t="shared" si="31"/>
        <v>7.1461588604009307E-3</v>
      </c>
      <c r="P47" s="59">
        <f t="shared" si="31"/>
        <v>6.7241832107722832E-3</v>
      </c>
      <c r="Q47" s="51"/>
    </row>
    <row r="48" spans="1:17" x14ac:dyDescent="0.25">
      <c r="A48" s="7"/>
      <c r="B48" s="5"/>
      <c r="C48" s="37" t="s">
        <v>115</v>
      </c>
      <c r="D48" s="37" t="s">
        <v>118</v>
      </c>
      <c r="E48" s="18" t="s">
        <v>104</v>
      </c>
      <c r="F48" s="42"/>
      <c r="G48" s="59">
        <f t="shared" ref="G48:P48" si="32">(G16/F16)^(1/5)-1</f>
        <v>1.98587606594538E-2</v>
      </c>
      <c r="H48" s="59">
        <f t="shared" si="32"/>
        <v>1.9117182726834603E-2</v>
      </c>
      <c r="I48" s="59">
        <f t="shared" si="32"/>
        <v>1.8135628661466674E-2</v>
      </c>
      <c r="J48" s="59">
        <f t="shared" si="32"/>
        <v>1.4958998278574498E-2</v>
      </c>
      <c r="K48" s="59">
        <f t="shared" si="32"/>
        <v>1.1440072476652574E-2</v>
      </c>
      <c r="L48" s="59">
        <f t="shared" si="32"/>
        <v>1.0820958175685957E-2</v>
      </c>
      <c r="M48" s="59">
        <f t="shared" si="32"/>
        <v>1.1138605257920542E-2</v>
      </c>
      <c r="N48" s="59">
        <f t="shared" si="32"/>
        <v>1.013720758985226E-2</v>
      </c>
      <c r="O48" s="59">
        <f t="shared" si="32"/>
        <v>7.1461588604009307E-3</v>
      </c>
      <c r="P48" s="59">
        <f t="shared" si="32"/>
        <v>6.7241832107722832E-3</v>
      </c>
      <c r="Q48" s="51"/>
    </row>
    <row r="49" spans="1:68" x14ac:dyDescent="0.25">
      <c r="A49" s="7"/>
      <c r="B49" s="37"/>
      <c r="C49" s="37"/>
      <c r="D49" s="37"/>
      <c r="E49" s="18"/>
      <c r="F49" s="42"/>
      <c r="G49" s="42"/>
      <c r="H49" s="42"/>
      <c r="I49" s="42"/>
      <c r="J49" s="19"/>
      <c r="K49" s="19"/>
      <c r="L49" s="19"/>
      <c r="M49" s="19"/>
      <c r="N49" s="19"/>
      <c r="O49" s="19"/>
      <c r="P49" s="19"/>
      <c r="Q49" s="51"/>
    </row>
    <row r="50" spans="1:68" s="66" customFormat="1" ht="15.75" thickBot="1" x14ac:dyDescent="0.3">
      <c r="A50" s="60"/>
      <c r="B50" s="61"/>
      <c r="C50" s="61"/>
      <c r="D50" s="61"/>
      <c r="E50" s="62"/>
      <c r="F50" s="63"/>
      <c r="G50" s="63"/>
      <c r="H50" s="63"/>
      <c r="I50" s="63"/>
      <c r="J50" s="64"/>
      <c r="K50" s="64"/>
      <c r="L50" s="64"/>
      <c r="M50" s="64"/>
      <c r="N50" s="64"/>
      <c r="O50" s="64"/>
      <c r="P50" s="64"/>
      <c r="Q50" s="60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65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5"/>
      <c r="AV50" s="65"/>
      <c r="AW50" s="65"/>
      <c r="AX50" s="65"/>
      <c r="AY50" s="65"/>
      <c r="AZ50" s="65"/>
      <c r="BA50" s="65"/>
      <c r="BB50" s="65"/>
      <c r="BC50" s="65"/>
      <c r="BD50" s="65"/>
      <c r="BE50" s="65"/>
      <c r="BF50" s="65"/>
      <c r="BG50" s="65"/>
      <c r="BH50" s="65"/>
      <c r="BI50" s="65"/>
      <c r="BJ50" s="65"/>
      <c r="BK50" s="65"/>
      <c r="BL50" s="65"/>
      <c r="BM50" s="65"/>
      <c r="BN50" s="65"/>
      <c r="BO50" s="65"/>
      <c r="BP50" s="65"/>
    </row>
    <row r="51" spans="1:68" x14ac:dyDescent="0.25">
      <c r="A51" s="7"/>
      <c r="B51" s="37"/>
      <c r="C51" s="37"/>
      <c r="D51" s="37"/>
      <c r="E51" s="18"/>
      <c r="F51" s="42"/>
      <c r="G51" s="42"/>
      <c r="H51" s="42"/>
      <c r="I51" s="42"/>
      <c r="J51" s="19"/>
      <c r="K51" s="19"/>
      <c r="L51" s="19"/>
      <c r="M51" s="19"/>
      <c r="N51" s="19"/>
      <c r="O51" s="19"/>
      <c r="P51" s="19"/>
      <c r="Q51" s="51"/>
    </row>
    <row r="52" spans="1:68" x14ac:dyDescent="0.25">
      <c r="A52" s="7"/>
      <c r="B52" s="37" t="s">
        <v>53</v>
      </c>
      <c r="C52" s="37" t="s">
        <v>59</v>
      </c>
      <c r="D52" s="37" t="s">
        <v>121</v>
      </c>
      <c r="E52" s="39" t="s">
        <v>103</v>
      </c>
      <c r="F52" s="19">
        <f t="shared" ref="F52:I65" si="33">INDEX($R52:$BZ52,MATCH(F$1,$R$1:$BZ$1,0))</f>
        <v>1459303</v>
      </c>
      <c r="G52" s="19">
        <f t="shared" si="33"/>
        <v>1650884</v>
      </c>
      <c r="H52" s="19">
        <f t="shared" si="33"/>
        <v>1739847</v>
      </c>
      <c r="I52" s="19">
        <f t="shared" si="33"/>
        <v>1932903</v>
      </c>
      <c r="J52" s="56">
        <f>J$69*$I52/$I$69</f>
        <v>2141643.4253889425</v>
      </c>
      <c r="K52" s="56">
        <f t="shared" ref="K52:P52" si="34">K$69*$I52/$I$69</f>
        <v>2316572.3239389705</v>
      </c>
      <c r="L52" s="56">
        <f t="shared" si="34"/>
        <v>2525561.0785171753</v>
      </c>
      <c r="M52" s="56">
        <f t="shared" si="34"/>
        <v>2770764.330310679</v>
      </c>
      <c r="N52" s="56">
        <f t="shared" si="34"/>
        <v>3048468.9778990773</v>
      </c>
      <c r="O52" s="56">
        <f t="shared" si="34"/>
        <v>3358311.465306255</v>
      </c>
      <c r="P52" s="56">
        <f t="shared" si="34"/>
        <v>3698121.897248189</v>
      </c>
      <c r="Q52" s="51"/>
      <c r="R52" s="52">
        <v>1459303</v>
      </c>
      <c r="S52" s="52">
        <v>1480882</v>
      </c>
      <c r="T52" s="52">
        <v>1523798</v>
      </c>
      <c r="U52" s="52">
        <v>1552248</v>
      </c>
      <c r="V52" s="52">
        <v>1599109</v>
      </c>
      <c r="W52" s="52">
        <v>1650884</v>
      </c>
      <c r="X52" s="52">
        <v>1690842</v>
      </c>
      <c r="Y52" s="52">
        <v>1728715</v>
      </c>
      <c r="Z52" s="52">
        <v>1745965</v>
      </c>
      <c r="AA52" s="52">
        <v>1690588</v>
      </c>
      <c r="AB52" s="52">
        <v>1739847</v>
      </c>
      <c r="AC52" s="52">
        <v>1794205</v>
      </c>
      <c r="AD52" s="52">
        <v>1822826</v>
      </c>
      <c r="AE52" s="52">
        <v>1866725</v>
      </c>
      <c r="AF52" s="52">
        <v>1921118</v>
      </c>
      <c r="AG52" s="52">
        <v>1932903</v>
      </c>
      <c r="AH52" s="52">
        <v>1948574</v>
      </c>
      <c r="AI52" s="52">
        <v>2016000</v>
      </c>
    </row>
    <row r="53" spans="1:68" x14ac:dyDescent="0.25">
      <c r="A53" s="7"/>
      <c r="B53" s="37"/>
      <c r="C53" s="37" t="s">
        <v>106</v>
      </c>
      <c r="D53" s="37" t="s">
        <v>121</v>
      </c>
      <c r="E53" s="39" t="s">
        <v>103</v>
      </c>
      <c r="F53" s="19">
        <f t="shared" si="33"/>
        <v>24966</v>
      </c>
      <c r="G53" s="19">
        <f t="shared" si="33"/>
        <v>30675</v>
      </c>
      <c r="H53" s="19">
        <f t="shared" si="33"/>
        <v>31709</v>
      </c>
      <c r="I53" s="19">
        <f t="shared" si="33"/>
        <v>32777</v>
      </c>
      <c r="J53" s="56">
        <f>$I53/SUM($I$53:$I$65)*J$52</f>
        <v>36329.493481584082</v>
      </c>
      <c r="K53" s="56">
        <f t="shared" ref="K53:P65" si="35">$I53/SUM($I$53:$I$65)*K$52</f>
        <v>39296.877409401008</v>
      </c>
      <c r="L53" s="56">
        <f t="shared" si="35"/>
        <v>42842.031335197222</v>
      </c>
      <c r="M53" s="56">
        <f t="shared" si="35"/>
        <v>47001.505238317914</v>
      </c>
      <c r="N53" s="56">
        <f t="shared" si="35"/>
        <v>51712.312399195354</v>
      </c>
      <c r="O53" s="56">
        <f t="shared" si="35"/>
        <v>56968.285682671616</v>
      </c>
      <c r="P53" s="56">
        <f t="shared" si="35"/>
        <v>62732.616348485775</v>
      </c>
      <c r="Q53" s="51"/>
      <c r="R53" s="52">
        <v>24966</v>
      </c>
      <c r="S53" s="52">
        <v>25392</v>
      </c>
      <c r="T53" s="52">
        <v>28283</v>
      </c>
      <c r="U53" s="52">
        <v>30138</v>
      </c>
      <c r="V53" s="52">
        <v>29901</v>
      </c>
      <c r="W53" s="52">
        <v>30675</v>
      </c>
      <c r="X53" s="52">
        <v>31308</v>
      </c>
      <c r="Y53" s="52">
        <v>33976</v>
      </c>
      <c r="Z53" s="52">
        <v>33515</v>
      </c>
      <c r="AA53" s="52">
        <v>30298</v>
      </c>
      <c r="AB53" s="52">
        <v>31709</v>
      </c>
      <c r="AC53" s="52">
        <v>32998</v>
      </c>
      <c r="AD53" s="52">
        <v>32034</v>
      </c>
      <c r="AE53" s="52">
        <v>33546</v>
      </c>
      <c r="AF53" s="52">
        <v>33278</v>
      </c>
      <c r="AG53" s="52">
        <v>32777</v>
      </c>
      <c r="AH53" s="52">
        <v>34182</v>
      </c>
      <c r="AI53" s="52">
        <v>34531</v>
      </c>
    </row>
    <row r="54" spans="1:68" x14ac:dyDescent="0.25">
      <c r="A54" s="7"/>
      <c r="B54" s="37"/>
      <c r="C54" s="37" t="s">
        <v>107</v>
      </c>
      <c r="D54" s="37" t="s">
        <v>121</v>
      </c>
      <c r="E54" s="39" t="s">
        <v>103</v>
      </c>
      <c r="F54" s="19">
        <f t="shared" si="33"/>
        <v>4547</v>
      </c>
      <c r="G54" s="19">
        <f t="shared" si="33"/>
        <v>5096</v>
      </c>
      <c r="H54" s="19">
        <f t="shared" si="33"/>
        <v>5416</v>
      </c>
      <c r="I54" s="19">
        <f t="shared" si="33"/>
        <v>5846</v>
      </c>
      <c r="J54" s="56">
        <f t="shared" ref="J54:J65" si="36">$I54/SUM($I$53:$I$65)*J$52</f>
        <v>6479.6112790475208</v>
      </c>
      <c r="K54" s="56">
        <f t="shared" si="35"/>
        <v>7008.8643053164815</v>
      </c>
      <c r="L54" s="56">
        <f t="shared" si="35"/>
        <v>7641.1665248669187</v>
      </c>
      <c r="M54" s="56">
        <f t="shared" si="35"/>
        <v>8383.0368741253496</v>
      </c>
      <c r="N54" s="56">
        <f t="shared" si="35"/>
        <v>9223.2412449490821</v>
      </c>
      <c r="O54" s="56">
        <f t="shared" si="35"/>
        <v>10160.67968700303</v>
      </c>
      <c r="P54" s="56">
        <f t="shared" si="35"/>
        <v>11188.787112098358</v>
      </c>
      <c r="Q54" s="51"/>
      <c r="R54" s="52">
        <v>4547</v>
      </c>
      <c r="S54" s="52">
        <v>4481</v>
      </c>
      <c r="T54" s="52">
        <v>4663</v>
      </c>
      <c r="U54" s="52">
        <v>4784</v>
      </c>
      <c r="V54" s="52">
        <v>4939</v>
      </c>
      <c r="W54" s="52">
        <v>5096</v>
      </c>
      <c r="X54" s="52">
        <v>5234</v>
      </c>
      <c r="Y54" s="52">
        <v>5226</v>
      </c>
      <c r="Z54" s="52">
        <v>5240</v>
      </c>
      <c r="AA54" s="52">
        <v>5303</v>
      </c>
      <c r="AB54" s="52">
        <v>5416</v>
      </c>
      <c r="AC54" s="52">
        <v>5525</v>
      </c>
      <c r="AD54" s="52">
        <v>5572</v>
      </c>
      <c r="AE54" s="52">
        <v>5717</v>
      </c>
      <c r="AF54" s="52">
        <v>5735</v>
      </c>
      <c r="AG54" s="52">
        <v>5846</v>
      </c>
      <c r="AH54" s="52">
        <v>5944</v>
      </c>
      <c r="AI54" s="52">
        <v>6151</v>
      </c>
    </row>
    <row r="55" spans="1:68" x14ac:dyDescent="0.25">
      <c r="A55" s="7"/>
      <c r="B55" s="37"/>
      <c r="C55" s="37" t="s">
        <v>108</v>
      </c>
      <c r="D55" s="37" t="s">
        <v>121</v>
      </c>
      <c r="E55" s="39" t="s">
        <v>103</v>
      </c>
      <c r="F55" s="19">
        <f t="shared" si="33"/>
        <v>32641</v>
      </c>
      <c r="G55" s="19">
        <f t="shared" si="33"/>
        <v>35996</v>
      </c>
      <c r="H55" s="19">
        <f t="shared" si="33"/>
        <v>38443</v>
      </c>
      <c r="I55" s="19">
        <f t="shared" si="33"/>
        <v>38279</v>
      </c>
      <c r="J55" s="56">
        <f t="shared" si="36"/>
        <v>42427.820757896006</v>
      </c>
      <c r="K55" s="56">
        <f t="shared" si="35"/>
        <v>45893.314530141906</v>
      </c>
      <c r="L55" s="56">
        <f t="shared" si="35"/>
        <v>50033.563702596781</v>
      </c>
      <c r="M55" s="56">
        <f t="shared" si="35"/>
        <v>54891.253592994224</v>
      </c>
      <c r="N55" s="56">
        <f t="shared" si="35"/>
        <v>60392.8244295939</v>
      </c>
      <c r="O55" s="56">
        <f t="shared" si="35"/>
        <v>66531.073851999477</v>
      </c>
      <c r="P55" s="56">
        <f t="shared" si="35"/>
        <v>73263.014345537638</v>
      </c>
      <c r="Q55" s="51"/>
      <c r="R55" s="52">
        <v>32641</v>
      </c>
      <c r="S55" s="52">
        <v>33660</v>
      </c>
      <c r="T55" s="52">
        <v>34864</v>
      </c>
      <c r="U55" s="52">
        <v>35289</v>
      </c>
      <c r="V55" s="52">
        <v>35586</v>
      </c>
      <c r="W55" s="52">
        <v>35996</v>
      </c>
      <c r="X55" s="52">
        <v>36113</v>
      </c>
      <c r="Y55" s="52">
        <v>36436</v>
      </c>
      <c r="Z55" s="52">
        <v>37137</v>
      </c>
      <c r="AA55" s="52">
        <v>37295</v>
      </c>
      <c r="AB55" s="52">
        <v>38443</v>
      </c>
      <c r="AC55" s="52">
        <v>38670</v>
      </c>
      <c r="AD55" s="52">
        <v>37835</v>
      </c>
      <c r="AE55" s="52">
        <v>37674</v>
      </c>
      <c r="AF55" s="52">
        <v>37947</v>
      </c>
      <c r="AG55" s="52">
        <v>38279</v>
      </c>
      <c r="AH55" s="52">
        <v>38778</v>
      </c>
      <c r="AI55" s="52">
        <v>39360</v>
      </c>
    </row>
    <row r="56" spans="1:68" x14ac:dyDescent="0.25">
      <c r="A56" s="7"/>
      <c r="B56" s="37"/>
      <c r="C56" s="37" t="s">
        <v>109</v>
      </c>
      <c r="D56" s="37" t="s">
        <v>121</v>
      </c>
      <c r="E56" s="39" t="s">
        <v>103</v>
      </c>
      <c r="F56" s="19">
        <f t="shared" si="33"/>
        <v>27011</v>
      </c>
      <c r="G56" s="19">
        <f t="shared" si="33"/>
        <v>30221</v>
      </c>
      <c r="H56" s="19">
        <f t="shared" si="33"/>
        <v>31836</v>
      </c>
      <c r="I56" s="19">
        <f t="shared" si="33"/>
        <v>31882</v>
      </c>
      <c r="J56" s="56">
        <f t="shared" si="36"/>
        <v>35337.490044234182</v>
      </c>
      <c r="K56" s="56">
        <f t="shared" si="35"/>
        <v>38223.847379763945</v>
      </c>
      <c r="L56" s="56">
        <f t="shared" si="35"/>
        <v>41672.198280158584</v>
      </c>
      <c r="M56" s="56">
        <f t="shared" si="35"/>
        <v>45718.094700797868</v>
      </c>
      <c r="N56" s="56">
        <f t="shared" si="35"/>
        <v>50300.26982064089</v>
      </c>
      <c r="O56" s="56">
        <f t="shared" si="35"/>
        <v>55412.724902673719</v>
      </c>
      <c r="P56" s="56">
        <f t="shared" si="35"/>
        <v>61019.656296257235</v>
      </c>
      <c r="Q56" s="51"/>
      <c r="R56" s="52">
        <v>27011</v>
      </c>
      <c r="S56" s="52">
        <v>27561</v>
      </c>
      <c r="T56" s="52">
        <v>28649</v>
      </c>
      <c r="U56" s="52">
        <v>29349</v>
      </c>
      <c r="V56" s="52">
        <v>30072</v>
      </c>
      <c r="W56" s="52">
        <v>30221</v>
      </c>
      <c r="X56" s="52">
        <v>30599</v>
      </c>
      <c r="Y56" s="52">
        <v>30983</v>
      </c>
      <c r="Z56" s="52">
        <v>31275</v>
      </c>
      <c r="AA56" s="52">
        <v>31227</v>
      </c>
      <c r="AB56" s="52">
        <v>31836</v>
      </c>
      <c r="AC56" s="52">
        <v>32008</v>
      </c>
      <c r="AD56" s="52">
        <v>31723</v>
      </c>
      <c r="AE56" s="52">
        <v>31643</v>
      </c>
      <c r="AF56" s="52">
        <v>31709</v>
      </c>
      <c r="AG56" s="52">
        <v>31882</v>
      </c>
      <c r="AH56" s="52">
        <v>32069</v>
      </c>
      <c r="AI56" s="52">
        <v>32608</v>
      </c>
    </row>
    <row r="57" spans="1:68" x14ac:dyDescent="0.25">
      <c r="A57" s="7"/>
      <c r="B57" s="37"/>
      <c r="C57" s="37" t="s">
        <v>110</v>
      </c>
      <c r="D57" s="37" t="s">
        <v>121</v>
      </c>
      <c r="E57" s="39" t="s">
        <v>103</v>
      </c>
      <c r="F57" s="19">
        <f t="shared" si="33"/>
        <v>294335</v>
      </c>
      <c r="G57" s="19">
        <f t="shared" si="33"/>
        <v>323424</v>
      </c>
      <c r="H57" s="19">
        <f t="shared" si="33"/>
        <v>342996</v>
      </c>
      <c r="I57" s="19">
        <f t="shared" si="33"/>
        <v>367812</v>
      </c>
      <c r="J57" s="56">
        <f t="shared" si="36"/>
        <v>407676.83608775685</v>
      </c>
      <c r="K57" s="56">
        <f t="shared" si="35"/>
        <v>440975.77794510184</v>
      </c>
      <c r="L57" s="56">
        <f t="shared" si="35"/>
        <v>480758.25211158925</v>
      </c>
      <c r="M57" s="56">
        <f t="shared" si="35"/>
        <v>527434.40963834978</v>
      </c>
      <c r="N57" s="56">
        <f t="shared" si="35"/>
        <v>580297.43564611906</v>
      </c>
      <c r="O57" s="56">
        <f t="shared" si="35"/>
        <v>639278.12470680091</v>
      </c>
      <c r="P57" s="56">
        <f t="shared" si="35"/>
        <v>703963.42204500875</v>
      </c>
      <c r="Q57" s="51"/>
      <c r="R57" s="52">
        <v>294335</v>
      </c>
      <c r="S57" s="52">
        <v>299187</v>
      </c>
      <c r="T57" s="52">
        <v>307772</v>
      </c>
      <c r="U57" s="52">
        <v>311268</v>
      </c>
      <c r="V57" s="52">
        <v>318850</v>
      </c>
      <c r="W57" s="52">
        <v>323424</v>
      </c>
      <c r="X57" s="52">
        <v>327491</v>
      </c>
      <c r="Y57" s="52">
        <v>333711</v>
      </c>
      <c r="Z57" s="52">
        <v>340158</v>
      </c>
      <c r="AA57" s="52">
        <v>338182</v>
      </c>
      <c r="AB57" s="52">
        <v>342996</v>
      </c>
      <c r="AC57" s="52">
        <v>350583</v>
      </c>
      <c r="AD57" s="52">
        <v>354049</v>
      </c>
      <c r="AE57" s="52">
        <v>358453</v>
      </c>
      <c r="AF57" s="52">
        <v>364157</v>
      </c>
      <c r="AG57" s="52">
        <v>367812</v>
      </c>
      <c r="AH57" s="52">
        <v>371936</v>
      </c>
      <c r="AI57" s="52">
        <v>382478</v>
      </c>
    </row>
    <row r="58" spans="1:68" x14ac:dyDescent="0.25">
      <c r="A58" s="7"/>
      <c r="B58" s="37"/>
      <c r="C58" s="37" t="s">
        <v>111</v>
      </c>
      <c r="D58" s="37" t="s">
        <v>121</v>
      </c>
      <c r="E58" s="39" t="s">
        <v>103</v>
      </c>
      <c r="F58" s="19">
        <f t="shared" si="33"/>
        <v>575390</v>
      </c>
      <c r="G58" s="19">
        <f t="shared" si="33"/>
        <v>645906</v>
      </c>
      <c r="H58" s="19">
        <f t="shared" si="33"/>
        <v>656803</v>
      </c>
      <c r="I58" s="19">
        <f t="shared" si="33"/>
        <v>722653</v>
      </c>
      <c r="J58" s="56">
        <f t="shared" si="36"/>
        <v>800976.82682817779</v>
      </c>
      <c r="K58" s="56">
        <f t="shared" si="35"/>
        <v>866400.41341598879</v>
      </c>
      <c r="L58" s="56">
        <f t="shared" si="35"/>
        <v>944562.4209193727</v>
      </c>
      <c r="M58" s="56">
        <f t="shared" si="35"/>
        <v>1036268.6873413112</v>
      </c>
      <c r="N58" s="56">
        <f t="shared" si="35"/>
        <v>1140130.5089610312</v>
      </c>
      <c r="O58" s="56">
        <f t="shared" si="35"/>
        <v>1256011.9154724255</v>
      </c>
      <c r="P58" s="56">
        <f t="shared" si="35"/>
        <v>1383101.363824703</v>
      </c>
      <c r="Q58" s="51"/>
      <c r="R58" s="52">
        <v>575390</v>
      </c>
      <c r="S58" s="52">
        <v>584145</v>
      </c>
      <c r="T58" s="52">
        <v>603328</v>
      </c>
      <c r="U58" s="52">
        <v>610627</v>
      </c>
      <c r="V58" s="52">
        <v>626495</v>
      </c>
      <c r="W58" s="52">
        <v>645906</v>
      </c>
      <c r="X58" s="52">
        <v>656283</v>
      </c>
      <c r="Y58" s="52">
        <v>662132</v>
      </c>
      <c r="Z58" s="52">
        <v>662169</v>
      </c>
      <c r="AA58" s="52">
        <v>637620</v>
      </c>
      <c r="AB58" s="52">
        <v>656803</v>
      </c>
      <c r="AC58" s="52">
        <v>672653</v>
      </c>
      <c r="AD58" s="52">
        <v>680096</v>
      </c>
      <c r="AE58" s="52">
        <v>688834</v>
      </c>
      <c r="AF58" s="52">
        <v>706541</v>
      </c>
      <c r="AG58" s="52">
        <v>722653</v>
      </c>
      <c r="AH58" s="52">
        <v>737256</v>
      </c>
      <c r="AI58" s="52">
        <v>759808</v>
      </c>
    </row>
    <row r="59" spans="1:68" x14ac:dyDescent="0.25">
      <c r="A59" s="7"/>
      <c r="B59" s="37"/>
      <c r="C59" s="37" t="s">
        <v>112</v>
      </c>
      <c r="D59" s="37" t="s">
        <v>121</v>
      </c>
      <c r="E59" s="39" t="s">
        <v>103</v>
      </c>
      <c r="F59" s="19">
        <f t="shared" si="33"/>
        <v>46947</v>
      </c>
      <c r="G59" s="19">
        <f t="shared" si="33"/>
        <v>51205</v>
      </c>
      <c r="H59" s="19">
        <f t="shared" si="33"/>
        <v>56641</v>
      </c>
      <c r="I59" s="19">
        <f t="shared" si="33"/>
        <v>63310</v>
      </c>
      <c r="J59" s="56">
        <f t="shared" si="36"/>
        <v>70171.773875555678</v>
      </c>
      <c r="K59" s="56">
        <f t="shared" si="35"/>
        <v>75903.386789186872</v>
      </c>
      <c r="L59" s="56">
        <f t="shared" si="35"/>
        <v>82750.984038543393</v>
      </c>
      <c r="M59" s="56">
        <f t="shared" si="35"/>
        <v>90785.163274183345</v>
      </c>
      <c r="N59" s="56">
        <f t="shared" si="35"/>
        <v>99884.263294171484</v>
      </c>
      <c r="O59" s="56">
        <f t="shared" si="35"/>
        <v>110036.37204655522</v>
      </c>
      <c r="P59" s="56">
        <f t="shared" si="35"/>
        <v>121170.39207440079</v>
      </c>
      <c r="Q59" s="51"/>
      <c r="R59" s="52">
        <v>46947</v>
      </c>
      <c r="S59" s="52">
        <v>47374</v>
      </c>
      <c r="T59" s="52">
        <v>48393</v>
      </c>
      <c r="U59" s="52">
        <v>49121</v>
      </c>
      <c r="V59" s="52">
        <v>50039</v>
      </c>
      <c r="W59" s="52">
        <v>51205</v>
      </c>
      <c r="X59" s="52">
        <v>53330</v>
      </c>
      <c r="Y59" s="52">
        <v>54114</v>
      </c>
      <c r="Z59" s="52">
        <v>56171</v>
      </c>
      <c r="AA59" s="52">
        <v>54952</v>
      </c>
      <c r="AB59" s="52">
        <v>56641</v>
      </c>
      <c r="AC59" s="52">
        <v>58242</v>
      </c>
      <c r="AD59" s="52">
        <v>59782</v>
      </c>
      <c r="AE59" s="52">
        <v>61155</v>
      </c>
      <c r="AF59" s="52">
        <v>62487</v>
      </c>
      <c r="AG59" s="52">
        <v>63310</v>
      </c>
      <c r="AH59" s="52">
        <v>64146</v>
      </c>
      <c r="AI59" s="52">
        <v>66489</v>
      </c>
    </row>
    <row r="60" spans="1:68" x14ac:dyDescent="0.25">
      <c r="A60" s="7"/>
      <c r="B60" s="37"/>
      <c r="C60" s="37" t="s">
        <v>113</v>
      </c>
      <c r="D60" s="37" t="s">
        <v>121</v>
      </c>
      <c r="E60" s="39" t="s">
        <v>103</v>
      </c>
      <c r="F60" s="19">
        <f t="shared" si="33"/>
        <v>63257</v>
      </c>
      <c r="G60" s="19">
        <f t="shared" si="33"/>
        <v>70293</v>
      </c>
      <c r="H60" s="19">
        <f t="shared" si="33"/>
        <v>74199</v>
      </c>
      <c r="I60" s="19">
        <f t="shared" si="33"/>
        <v>82793</v>
      </c>
      <c r="J60" s="56">
        <f t="shared" si="36"/>
        <v>91766.414065374847</v>
      </c>
      <c r="K60" s="56">
        <f t="shared" si="35"/>
        <v>99261.87178071629</v>
      </c>
      <c r="L60" s="56">
        <f t="shared" si="35"/>
        <v>108216.74650928956</v>
      </c>
      <c r="M60" s="56">
        <f t="shared" si="35"/>
        <v>118723.3616010024</v>
      </c>
      <c r="N60" s="56">
        <f t="shared" si="35"/>
        <v>130622.61587291643</v>
      </c>
      <c r="O60" s="56">
        <f t="shared" si="35"/>
        <v>143898.93146186142</v>
      </c>
      <c r="P60" s="56">
        <f t="shared" si="35"/>
        <v>158459.33140129308</v>
      </c>
      <c r="Q60" s="51"/>
      <c r="R60" s="52">
        <v>63257</v>
      </c>
      <c r="S60" s="52">
        <v>61834</v>
      </c>
      <c r="T60" s="52">
        <v>61856</v>
      </c>
      <c r="U60" s="52">
        <v>64989</v>
      </c>
      <c r="V60" s="52">
        <v>68181</v>
      </c>
      <c r="W60" s="52">
        <v>70293</v>
      </c>
      <c r="X60" s="52">
        <v>68205</v>
      </c>
      <c r="Y60" s="52">
        <v>70671</v>
      </c>
      <c r="Z60" s="52">
        <v>73059</v>
      </c>
      <c r="AA60" s="52">
        <v>71130</v>
      </c>
      <c r="AB60" s="52">
        <v>74199</v>
      </c>
      <c r="AC60" s="52">
        <v>77129</v>
      </c>
      <c r="AD60" s="52">
        <v>77958</v>
      </c>
      <c r="AE60" s="52">
        <v>82323</v>
      </c>
      <c r="AF60" s="52">
        <v>83677</v>
      </c>
      <c r="AG60" s="52">
        <v>82793</v>
      </c>
      <c r="AH60" s="52">
        <v>81835</v>
      </c>
      <c r="AI60" s="52">
        <v>84223</v>
      </c>
    </row>
    <row r="61" spans="1:68" x14ac:dyDescent="0.25">
      <c r="A61" s="7"/>
      <c r="B61" s="15"/>
      <c r="C61" s="37" t="s">
        <v>5</v>
      </c>
      <c r="D61" s="37" t="s">
        <v>121</v>
      </c>
      <c r="E61" s="39" t="s">
        <v>103</v>
      </c>
      <c r="F61" s="19">
        <f t="shared" si="33"/>
        <v>217724</v>
      </c>
      <c r="G61" s="19">
        <f t="shared" si="33"/>
        <v>263911</v>
      </c>
      <c r="H61" s="19">
        <f t="shared" si="33"/>
        <v>283544</v>
      </c>
      <c r="I61" s="19">
        <f t="shared" si="33"/>
        <v>337590</v>
      </c>
      <c r="J61" s="56">
        <f t="shared" si="36"/>
        <v>374179.26303346775</v>
      </c>
      <c r="K61" s="56">
        <f t="shared" si="35"/>
        <v>404742.13151416194</v>
      </c>
      <c r="L61" s="56">
        <f t="shared" si="35"/>
        <v>441255.80005641858</v>
      </c>
      <c r="M61" s="56">
        <f t="shared" si="35"/>
        <v>484096.7188395444</v>
      </c>
      <c r="N61" s="56">
        <f t="shared" si="35"/>
        <v>532616.14982592559</v>
      </c>
      <c r="O61" s="56">
        <f t="shared" si="35"/>
        <v>586750.57398825744</v>
      </c>
      <c r="P61" s="56">
        <f t="shared" si="35"/>
        <v>646120.87601322006</v>
      </c>
      <c r="Q61" s="51"/>
      <c r="R61" s="52">
        <v>217724</v>
      </c>
      <c r="S61" s="52">
        <v>223717</v>
      </c>
      <c r="T61" s="52">
        <v>228975</v>
      </c>
      <c r="U61" s="52">
        <v>237326</v>
      </c>
      <c r="V61" s="52">
        <v>250886</v>
      </c>
      <c r="W61" s="52">
        <v>263911</v>
      </c>
      <c r="X61" s="52">
        <v>281029</v>
      </c>
      <c r="Y61" s="52">
        <v>284721</v>
      </c>
      <c r="Z61" s="52">
        <v>288433</v>
      </c>
      <c r="AA61" s="52">
        <v>271625</v>
      </c>
      <c r="AB61" s="52">
        <v>283544</v>
      </c>
      <c r="AC61" s="52">
        <v>300516</v>
      </c>
      <c r="AD61" s="52">
        <v>312486</v>
      </c>
      <c r="AE61" s="52">
        <v>330595</v>
      </c>
      <c r="AF61" s="52">
        <v>349946</v>
      </c>
      <c r="AG61" s="52">
        <v>337590</v>
      </c>
      <c r="AH61" s="52">
        <v>324642</v>
      </c>
      <c r="AI61" s="52">
        <v>342361</v>
      </c>
    </row>
    <row r="62" spans="1:68" x14ac:dyDescent="0.25">
      <c r="A62" s="7"/>
      <c r="B62" s="15"/>
      <c r="C62" s="37" t="s">
        <v>75</v>
      </c>
      <c r="D62" s="37" t="s">
        <v>121</v>
      </c>
      <c r="E62" s="39" t="s">
        <v>103</v>
      </c>
      <c r="F62" s="19">
        <f t="shared" si="33"/>
        <v>164117</v>
      </c>
      <c r="G62" s="19">
        <f t="shared" si="33"/>
        <v>191715</v>
      </c>
      <c r="H62" s="19">
        <f t="shared" si="33"/>
        <v>208500</v>
      </c>
      <c r="I62" s="19">
        <f t="shared" si="33"/>
        <v>239696</v>
      </c>
      <c r="J62" s="56">
        <f t="shared" si="36"/>
        <v>265675.14627823717</v>
      </c>
      <c r="K62" s="56">
        <f t="shared" si="35"/>
        <v>287375.42568031803</v>
      </c>
      <c r="L62" s="56">
        <f t="shared" si="35"/>
        <v>313300.89827993512</v>
      </c>
      <c r="M62" s="56">
        <f t="shared" si="35"/>
        <v>343718.85162168142</v>
      </c>
      <c r="N62" s="56">
        <f t="shared" si="35"/>
        <v>378168.66805496329</v>
      </c>
      <c r="O62" s="56">
        <f t="shared" si="35"/>
        <v>416605.24773449847</v>
      </c>
      <c r="P62" s="56">
        <f t="shared" si="35"/>
        <v>458759.41081449331</v>
      </c>
      <c r="Q62" s="51"/>
      <c r="R62" s="52">
        <v>164117</v>
      </c>
      <c r="S62" s="52">
        <v>166728</v>
      </c>
      <c r="T62" s="52">
        <v>172134</v>
      </c>
      <c r="U62" s="52">
        <v>176096</v>
      </c>
      <c r="V62" s="52">
        <v>183030</v>
      </c>
      <c r="W62" s="52">
        <v>191715</v>
      </c>
      <c r="X62" s="52">
        <v>200462</v>
      </c>
      <c r="Y62" s="52">
        <v>206871</v>
      </c>
      <c r="Z62" s="52">
        <v>208881</v>
      </c>
      <c r="AA62" s="52">
        <v>203259</v>
      </c>
      <c r="AB62" s="52">
        <v>208500</v>
      </c>
      <c r="AC62" s="52">
        <v>216411</v>
      </c>
      <c r="AD62" s="52">
        <v>221415</v>
      </c>
      <c r="AE62" s="52">
        <v>226476</v>
      </c>
      <c r="AF62" s="52">
        <v>235155</v>
      </c>
      <c r="AG62" s="52">
        <v>239696</v>
      </c>
      <c r="AH62" s="52">
        <v>247245</v>
      </c>
      <c r="AI62" s="52">
        <v>256856</v>
      </c>
    </row>
    <row r="63" spans="1:68" x14ac:dyDescent="0.25">
      <c r="A63" s="7"/>
      <c r="B63" s="37"/>
      <c r="C63" s="37" t="s">
        <v>114</v>
      </c>
      <c r="D63" s="37" t="s">
        <v>121</v>
      </c>
      <c r="E63" s="39" t="s">
        <v>103</v>
      </c>
      <c r="F63" s="19">
        <f t="shared" si="33"/>
        <v>1505</v>
      </c>
      <c r="G63" s="19">
        <f t="shared" si="33"/>
        <v>1655</v>
      </c>
      <c r="H63" s="19">
        <f t="shared" si="33"/>
        <v>2327</v>
      </c>
      <c r="I63" s="19">
        <f t="shared" si="33"/>
        <v>2431</v>
      </c>
      <c r="J63" s="56">
        <f t="shared" si="36"/>
        <v>2694.4808449135344</v>
      </c>
      <c r="K63" s="56">
        <f t="shared" si="35"/>
        <v>2914.5653654164157</v>
      </c>
      <c r="L63" s="56">
        <f t="shared" si="35"/>
        <v>3177.5018511719945</v>
      </c>
      <c r="M63" s="56">
        <f t="shared" si="35"/>
        <v>3486.0011359902028</v>
      </c>
      <c r="N63" s="56">
        <f t="shared" si="35"/>
        <v>3835.3916295708555</v>
      </c>
      <c r="O63" s="56">
        <f t="shared" si="35"/>
        <v>4225.2159286870283</v>
      </c>
      <c r="P63" s="56">
        <f t="shared" si="35"/>
        <v>4652.7440077849997</v>
      </c>
      <c r="Q63" s="51"/>
      <c r="R63" s="52">
        <v>1505</v>
      </c>
      <c r="S63" s="52">
        <v>1552</v>
      </c>
      <c r="T63" s="52">
        <v>1557</v>
      </c>
      <c r="U63" s="52">
        <v>1548</v>
      </c>
      <c r="V63" s="52">
        <v>1625</v>
      </c>
      <c r="W63" s="52">
        <v>1655</v>
      </c>
      <c r="X63" s="52">
        <v>1764</v>
      </c>
      <c r="Y63" s="52">
        <v>1907</v>
      </c>
      <c r="Z63" s="52">
        <v>2101</v>
      </c>
      <c r="AA63" s="52">
        <v>2247</v>
      </c>
      <c r="AB63" s="52">
        <v>2327</v>
      </c>
      <c r="AC63" s="52">
        <v>2433</v>
      </c>
      <c r="AD63" s="52">
        <v>2554</v>
      </c>
      <c r="AE63" s="52">
        <v>2614</v>
      </c>
      <c r="AF63" s="52">
        <v>2642</v>
      </c>
      <c r="AG63" s="52">
        <v>2431</v>
      </c>
      <c r="AH63" s="52">
        <v>2605</v>
      </c>
      <c r="AI63" s="52">
        <v>2663</v>
      </c>
    </row>
    <row r="64" spans="1:68" x14ac:dyDescent="0.25">
      <c r="A64" s="7"/>
      <c r="B64" s="37"/>
      <c r="C64" s="37" t="s">
        <v>116</v>
      </c>
      <c r="D64" s="37" t="s">
        <v>121</v>
      </c>
      <c r="E64" s="39" t="s">
        <v>103</v>
      </c>
      <c r="F64" s="19">
        <f t="shared" si="33"/>
        <v>3337</v>
      </c>
      <c r="G64" s="19">
        <f t="shared" si="33"/>
        <v>5086</v>
      </c>
      <c r="H64" s="19">
        <f t="shared" si="33"/>
        <v>4789</v>
      </c>
      <c r="I64" s="19">
        <f t="shared" si="33"/>
        <v>4809</v>
      </c>
      <c r="J64" s="56">
        <f t="shared" si="36"/>
        <v>5330.2173521962923</v>
      </c>
      <c r="K64" s="56">
        <f t="shared" si="35"/>
        <v>5765.5881704185695</v>
      </c>
      <c r="L64" s="56">
        <f t="shared" si="35"/>
        <v>6285.7286722690751</v>
      </c>
      <c r="M64" s="56">
        <f t="shared" si="35"/>
        <v>6896.0014245071507</v>
      </c>
      <c r="N64" s="56">
        <f t="shared" si="35"/>
        <v>7587.1650952720047</v>
      </c>
      <c r="O64" s="56">
        <f t="shared" si="35"/>
        <v>8358.3148502903805</v>
      </c>
      <c r="P64" s="56">
        <f t="shared" si="35"/>
        <v>9204.0501577285322</v>
      </c>
      <c r="Q64" s="51"/>
      <c r="R64" s="52">
        <v>3337</v>
      </c>
      <c r="S64" s="52">
        <v>4045</v>
      </c>
      <c r="T64" s="52">
        <v>4382</v>
      </c>
      <c r="U64" s="52">
        <v>4962</v>
      </c>
      <c r="V64" s="52">
        <v>5084</v>
      </c>
      <c r="W64" s="52">
        <v>5086</v>
      </c>
      <c r="X64" s="52">
        <v>5034</v>
      </c>
      <c r="Y64" s="52">
        <v>5751</v>
      </c>
      <c r="Z64" s="52">
        <v>5299</v>
      </c>
      <c r="AA64" s="52">
        <v>4707</v>
      </c>
      <c r="AB64" s="52">
        <v>4789</v>
      </c>
      <c r="AC64" s="52">
        <v>4386</v>
      </c>
      <c r="AD64" s="52">
        <v>4392</v>
      </c>
      <c r="AE64" s="52">
        <v>4553</v>
      </c>
      <c r="AF64" s="52">
        <v>4777</v>
      </c>
      <c r="AG64" s="52">
        <v>4809</v>
      </c>
      <c r="AH64" s="52">
        <v>4727</v>
      </c>
      <c r="AI64" s="52">
        <v>4911</v>
      </c>
    </row>
    <row r="65" spans="1:78" x14ac:dyDescent="0.25">
      <c r="A65" s="7"/>
      <c r="B65" s="37"/>
      <c r="C65" s="37" t="s">
        <v>115</v>
      </c>
      <c r="D65" s="37" t="s">
        <v>121</v>
      </c>
      <c r="E65" s="39" t="s">
        <v>103</v>
      </c>
      <c r="F65" s="19">
        <f t="shared" si="33"/>
        <v>1374</v>
      </c>
      <c r="G65" s="19">
        <f t="shared" si="33"/>
        <v>1561</v>
      </c>
      <c r="H65" s="19">
        <f t="shared" si="33"/>
        <v>2153</v>
      </c>
      <c r="I65" s="19">
        <f t="shared" si="33"/>
        <v>2344</v>
      </c>
      <c r="J65" s="56">
        <f t="shared" si="36"/>
        <v>2598.0514605007502</v>
      </c>
      <c r="K65" s="56">
        <f t="shared" si="35"/>
        <v>2810.259653038288</v>
      </c>
      <c r="L65" s="56">
        <f t="shared" si="35"/>
        <v>3063.7862357660033</v>
      </c>
      <c r="M65" s="56">
        <f t="shared" si="35"/>
        <v>3361.2450278737283</v>
      </c>
      <c r="N65" s="56">
        <f t="shared" si="35"/>
        <v>3698.1316247281302</v>
      </c>
      <c r="O65" s="56">
        <f t="shared" si="35"/>
        <v>4074.0049925308072</v>
      </c>
      <c r="P65" s="56">
        <f t="shared" si="35"/>
        <v>4486.232807177309</v>
      </c>
      <c r="Q65" s="51"/>
      <c r="R65" s="52">
        <v>1374</v>
      </c>
      <c r="S65" s="52">
        <v>1458</v>
      </c>
      <c r="T65" s="52">
        <v>1493</v>
      </c>
      <c r="U65" s="52">
        <v>1491</v>
      </c>
      <c r="V65" s="52">
        <v>1579</v>
      </c>
      <c r="W65" s="52">
        <v>1561</v>
      </c>
      <c r="X65" s="52">
        <v>1592</v>
      </c>
      <c r="Y65" s="52">
        <v>1801</v>
      </c>
      <c r="Z65" s="52">
        <v>2058</v>
      </c>
      <c r="AA65" s="52">
        <v>1936</v>
      </c>
      <c r="AB65" s="52">
        <v>2153</v>
      </c>
      <c r="AC65" s="52">
        <v>2212</v>
      </c>
      <c r="AD65" s="52">
        <v>2198</v>
      </c>
      <c r="AE65" s="52">
        <v>2441</v>
      </c>
      <c r="AF65" s="52">
        <v>2379</v>
      </c>
      <c r="AG65" s="52">
        <v>2344</v>
      </c>
      <c r="AH65" s="52">
        <v>2476</v>
      </c>
      <c r="AI65" s="52">
        <v>2802</v>
      </c>
    </row>
    <row r="66" spans="1:78" x14ac:dyDescent="0.25">
      <c r="A66" s="7"/>
      <c r="B66" s="37"/>
      <c r="C66" s="37"/>
      <c r="D66" s="37"/>
      <c r="E66" s="18"/>
      <c r="F66" s="42"/>
      <c r="G66" s="42"/>
      <c r="H66" s="42"/>
      <c r="I66" s="42"/>
      <c r="Q66" s="51"/>
    </row>
    <row r="67" spans="1:78" x14ac:dyDescent="0.25">
      <c r="A67" s="7"/>
      <c r="B67" s="37"/>
      <c r="C67" s="37"/>
      <c r="D67" s="37"/>
      <c r="E67" s="18"/>
      <c r="F67" s="42"/>
      <c r="G67" s="42"/>
      <c r="H67" s="42"/>
      <c r="I67" s="42"/>
      <c r="Q67" s="51"/>
    </row>
    <row r="68" spans="1:78" x14ac:dyDescent="0.25">
      <c r="A68" s="7"/>
      <c r="B68" s="37" t="s">
        <v>53</v>
      </c>
      <c r="C68" s="37" t="s">
        <v>59</v>
      </c>
      <c r="D68" s="37" t="s">
        <v>123</v>
      </c>
      <c r="E68" s="55" t="s">
        <v>122</v>
      </c>
      <c r="F68" s="19">
        <f t="shared" ref="F68:P68" si="37">INDEX($R68:$BZ68,MATCH(F$1,$R$1:$BZ$1,0))</f>
        <v>1132705.89645008</v>
      </c>
      <c r="G68" s="19">
        <f t="shared" si="37"/>
        <v>1286063.4678481901</v>
      </c>
      <c r="H68" s="19">
        <f t="shared" si="37"/>
        <v>1361085.7914598</v>
      </c>
      <c r="I68" s="19">
        <f t="shared" si="37"/>
        <v>1520564.3540934401</v>
      </c>
      <c r="J68" s="19">
        <f t="shared" si="37"/>
        <v>1684775</v>
      </c>
      <c r="K68" s="19">
        <f t="shared" si="37"/>
        <v>1822387</v>
      </c>
      <c r="L68" s="19">
        <f t="shared" si="37"/>
        <v>1986793</v>
      </c>
      <c r="M68" s="19">
        <f t="shared" si="37"/>
        <v>2179688</v>
      </c>
      <c r="N68" s="19">
        <f t="shared" si="37"/>
        <v>2398151</v>
      </c>
      <c r="O68" s="19">
        <f t="shared" si="37"/>
        <v>2641896</v>
      </c>
      <c r="P68" s="19">
        <f t="shared" si="37"/>
        <v>2909216</v>
      </c>
      <c r="Q68" s="51"/>
      <c r="R68" s="52">
        <v>1132705.89645008</v>
      </c>
      <c r="S68" s="52">
        <v>1152763.6406050599</v>
      </c>
      <c r="T68" s="52">
        <v>1187462.2410732401</v>
      </c>
      <c r="U68" s="52">
        <v>1208863.5600324799</v>
      </c>
      <c r="V68" s="52">
        <v>1246168.8411499001</v>
      </c>
      <c r="W68" s="52">
        <v>1286063.4678481901</v>
      </c>
      <c r="X68" s="52">
        <v>1319802.0051478599</v>
      </c>
      <c r="Y68" s="52">
        <v>1347026.40898272</v>
      </c>
      <c r="Z68" s="52">
        <v>1360501.5354522199</v>
      </c>
      <c r="AA68" s="52">
        <v>1320372.56431132</v>
      </c>
      <c r="AB68" s="52">
        <v>1361085.7914598</v>
      </c>
      <c r="AC68" s="52">
        <v>1403840.49042381</v>
      </c>
      <c r="AD68" s="52">
        <v>1428344.7866189501</v>
      </c>
      <c r="AE68" s="52">
        <v>1463696.5553417699</v>
      </c>
      <c r="AF68" s="52">
        <v>1505495.47140106</v>
      </c>
      <c r="AG68" s="52">
        <v>1520564.3540934401</v>
      </c>
      <c r="AH68" s="52">
        <v>1542066.2592517899</v>
      </c>
      <c r="AI68" s="52">
        <v>1588338.69301313</v>
      </c>
      <c r="AJ68" s="52">
        <v>1621635.5389815201</v>
      </c>
      <c r="AK68" s="52">
        <v>1657928.8942838099</v>
      </c>
      <c r="AL68" s="52">
        <v>1684775</v>
      </c>
      <c r="AM68" s="52">
        <v>1710503</v>
      </c>
      <c r="AN68" s="52">
        <v>1736864</v>
      </c>
      <c r="AO68" s="52">
        <v>1764255</v>
      </c>
      <c r="AP68" s="52">
        <v>1792774</v>
      </c>
      <c r="AQ68" s="52">
        <v>1822387</v>
      </c>
      <c r="AR68" s="52">
        <v>1852965</v>
      </c>
      <c r="AS68" s="52">
        <v>1884677</v>
      </c>
      <c r="AT68" s="52">
        <v>1917532</v>
      </c>
      <c r="AU68" s="52">
        <v>1951559</v>
      </c>
      <c r="AV68" s="52">
        <v>1986793</v>
      </c>
      <c r="AW68" s="52">
        <v>2023273</v>
      </c>
      <c r="AX68" s="52">
        <v>2060808</v>
      </c>
      <c r="AY68" s="52">
        <v>2099401</v>
      </c>
      <c r="AZ68" s="52">
        <v>2139034</v>
      </c>
      <c r="BA68" s="52">
        <v>2179688</v>
      </c>
      <c r="BB68" s="52">
        <v>2221353</v>
      </c>
      <c r="BC68" s="52">
        <v>2264030</v>
      </c>
      <c r="BD68" s="52">
        <v>2307720</v>
      </c>
      <c r="BE68" s="52">
        <v>2352425</v>
      </c>
      <c r="BF68" s="52">
        <v>2398151</v>
      </c>
      <c r="BG68" s="52">
        <v>2444905</v>
      </c>
      <c r="BH68" s="52">
        <v>2492690</v>
      </c>
      <c r="BI68" s="52">
        <v>2541479</v>
      </c>
      <c r="BJ68" s="52">
        <v>2591227</v>
      </c>
      <c r="BK68" s="52">
        <v>2641896</v>
      </c>
      <c r="BL68" s="52">
        <v>2693479</v>
      </c>
      <c r="BM68" s="52">
        <v>2745988</v>
      </c>
      <c r="BN68" s="52">
        <v>2799434</v>
      </c>
      <c r="BO68" s="52">
        <v>2853831</v>
      </c>
      <c r="BP68" s="52">
        <v>2909216</v>
      </c>
      <c r="BQ68">
        <v>2965657</v>
      </c>
      <c r="BR68">
        <v>3023227</v>
      </c>
      <c r="BS68">
        <v>3081985</v>
      </c>
      <c r="BT68">
        <v>3141981</v>
      </c>
      <c r="BU68">
        <v>3203277</v>
      </c>
      <c r="BV68">
        <v>3265966</v>
      </c>
      <c r="BW68">
        <v>3330145</v>
      </c>
      <c r="BX68">
        <v>3395881</v>
      </c>
      <c r="BY68">
        <v>3463205</v>
      </c>
      <c r="BZ68">
        <v>3532133</v>
      </c>
    </row>
    <row r="69" spans="1:78" x14ac:dyDescent="0.25">
      <c r="A69" s="7"/>
      <c r="B69" s="15"/>
      <c r="C69" s="15"/>
      <c r="D69" s="37" t="s">
        <v>124</v>
      </c>
      <c r="E69" s="11" t="s">
        <v>104</v>
      </c>
      <c r="F69" s="69">
        <f>F68*F72</f>
        <v>1390475.7773052247</v>
      </c>
      <c r="G69" s="69">
        <f t="shared" ref="G69:I69" si="38">G68*G72</f>
        <v>1560823.2113731487</v>
      </c>
      <c r="H69" s="69">
        <f t="shared" si="38"/>
        <v>1662703.763933083</v>
      </c>
      <c r="I69" s="69">
        <f t="shared" si="38"/>
        <v>1897670.3961660294</v>
      </c>
      <c r="J69" s="70">
        <f t="shared" ref="J69" si="39">J68*J72</f>
        <v>2102605.9390999996</v>
      </c>
      <c r="K69" s="70">
        <f t="shared" ref="K69" si="40">K68*K72</f>
        <v>2274346.2655479996</v>
      </c>
      <c r="L69" s="70">
        <f t="shared" ref="L69" si="41">L68*L72</f>
        <v>2479525.6111719999</v>
      </c>
      <c r="M69" s="70">
        <f t="shared" ref="M69" si="42">M68*M72</f>
        <v>2720259.3427519999</v>
      </c>
      <c r="N69" s="70">
        <f t="shared" ref="N69" si="43">N68*N72</f>
        <v>2992902.0406039995</v>
      </c>
      <c r="O69" s="70">
        <f t="shared" ref="O69" si="44">O68*O72</f>
        <v>3297096.7755839997</v>
      </c>
      <c r="P69" s="70">
        <f t="shared" ref="P69" si="45">P68*P72</f>
        <v>3630713.2048639995</v>
      </c>
      <c r="Q69" s="51"/>
    </row>
    <row r="70" spans="1:78" x14ac:dyDescent="0.25">
      <c r="A70" s="7"/>
      <c r="B70" s="15"/>
      <c r="C70" s="15"/>
      <c r="D70" s="15"/>
      <c r="E70" s="11"/>
      <c r="F70" s="68">
        <f>F52/F69</f>
        <v>1.0494990447285346</v>
      </c>
      <c r="G70" s="68">
        <f t="shared" ref="G70:I70" si="46">G52/G69</f>
        <v>1.0577008260580771</v>
      </c>
      <c r="H70" s="68">
        <f t="shared" si="46"/>
        <v>1.0463962599594028</v>
      </c>
      <c r="I70" s="68">
        <f t="shared" si="46"/>
        <v>1.0185662399040176</v>
      </c>
      <c r="J70" s="41"/>
      <c r="K70" s="41"/>
      <c r="L70" s="41"/>
      <c r="M70" s="41"/>
      <c r="N70" s="41"/>
      <c r="O70" s="41"/>
      <c r="P70" s="41"/>
      <c r="Q70" s="51"/>
    </row>
    <row r="71" spans="1:78" x14ac:dyDescent="0.25">
      <c r="A71" s="7"/>
      <c r="B71" s="37"/>
      <c r="C71" s="37"/>
      <c r="D71" s="37"/>
      <c r="E71" s="18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51"/>
    </row>
    <row r="72" spans="1:78" x14ac:dyDescent="0.25">
      <c r="A72" s="7"/>
      <c r="B72" s="37" t="s">
        <v>125</v>
      </c>
      <c r="C72" s="37" t="s">
        <v>59</v>
      </c>
      <c r="D72" s="37" t="s">
        <v>126</v>
      </c>
      <c r="E72" s="55" t="s">
        <v>127</v>
      </c>
      <c r="F72" s="46">
        <f t="shared" ref="F72:I72" si="47">INDEX($R72:$BZ72,MATCH(F$1,$R$1:$BZ$1,0))</f>
        <v>1.2275700000000001</v>
      </c>
      <c r="G72" s="46">
        <f t="shared" si="47"/>
        <v>1.2136439999999999</v>
      </c>
      <c r="H72" s="46">
        <f t="shared" si="47"/>
        <v>1.2216009999999999</v>
      </c>
      <c r="I72" s="46">
        <f t="shared" si="47"/>
        <v>1.2480039999999999</v>
      </c>
      <c r="J72" s="67">
        <f>I72</f>
        <v>1.2480039999999999</v>
      </c>
      <c r="K72" s="67">
        <f t="shared" ref="K72:P72" si="48">J72</f>
        <v>1.2480039999999999</v>
      </c>
      <c r="L72" s="67">
        <f t="shared" si="48"/>
        <v>1.2480039999999999</v>
      </c>
      <c r="M72" s="67">
        <f t="shared" si="48"/>
        <v>1.2480039999999999</v>
      </c>
      <c r="N72" s="67">
        <f t="shared" si="48"/>
        <v>1.2480039999999999</v>
      </c>
      <c r="O72" s="67">
        <f t="shared" si="48"/>
        <v>1.2480039999999999</v>
      </c>
      <c r="P72" s="67">
        <f t="shared" si="48"/>
        <v>1.2480039999999999</v>
      </c>
      <c r="Q72" s="51"/>
      <c r="R72" s="54">
        <v>1.2275700000000001</v>
      </c>
      <c r="S72" s="54">
        <v>1.221141</v>
      </c>
      <c r="T72" s="54">
        <v>1.229333</v>
      </c>
      <c r="U72" s="54">
        <v>1.2261249999999999</v>
      </c>
      <c r="V72" s="54">
        <v>1.2331460000000001</v>
      </c>
      <c r="W72" s="54">
        <v>1.2136439999999999</v>
      </c>
      <c r="X72" s="54">
        <v>1.2056549999999999</v>
      </c>
      <c r="Y72" s="54">
        <v>1.2130810000000001</v>
      </c>
      <c r="Z72" s="54">
        <v>1.2343900000000001</v>
      </c>
      <c r="AA72" s="54">
        <v>1.2013100000000001</v>
      </c>
      <c r="AB72" s="54">
        <v>1.2216009999999999</v>
      </c>
      <c r="AC72" s="54">
        <v>1.2399039999999999</v>
      </c>
      <c r="AD72" s="54">
        <v>1.244607</v>
      </c>
      <c r="AE72" s="54">
        <v>1.224</v>
      </c>
      <c r="AF72" s="54">
        <v>1.2303580000000001</v>
      </c>
      <c r="AG72" s="54">
        <v>1.2480039999999999</v>
      </c>
      <c r="AH72" s="54">
        <v>1.2451639999999999</v>
      </c>
      <c r="AI72" s="54">
        <v>1.252006</v>
      </c>
      <c r="AJ72" s="54">
        <v>1.244715</v>
      </c>
    </row>
    <row r="73" spans="1:78" x14ac:dyDescent="0.25">
      <c r="A73" s="7"/>
      <c r="B73" s="37"/>
      <c r="C73" s="37"/>
      <c r="D73" s="37"/>
      <c r="E73" s="18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51"/>
    </row>
    <row r="74" spans="1:78" x14ac:dyDescent="0.25">
      <c r="A74" s="7"/>
      <c r="B74" s="37" t="s">
        <v>136</v>
      </c>
      <c r="C74" s="37" t="s">
        <v>59</v>
      </c>
      <c r="D74" s="93"/>
      <c r="E74" s="89"/>
      <c r="F74" s="94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51"/>
    </row>
    <row r="75" spans="1:78" x14ac:dyDescent="0.25">
      <c r="A75" s="7"/>
      <c r="B75" s="37"/>
      <c r="C75" s="37"/>
      <c r="D75" s="37"/>
      <c r="E75" s="18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51"/>
    </row>
    <row r="76" spans="1:78" x14ac:dyDescent="0.25">
      <c r="A76" s="7"/>
      <c r="B76" s="37"/>
      <c r="C76" s="37"/>
      <c r="D76" s="37"/>
      <c r="E76" s="18"/>
      <c r="G76" s="41"/>
      <c r="H76" s="41"/>
      <c r="I76" s="41"/>
      <c r="J76" s="41"/>
      <c r="K76" s="41"/>
      <c r="L76" s="41"/>
      <c r="M76" s="41"/>
      <c r="N76" s="41"/>
      <c r="O76" s="41"/>
      <c r="P76" s="41"/>
      <c r="Q76" s="51"/>
    </row>
    <row r="77" spans="1:78" x14ac:dyDescent="0.25">
      <c r="A77" s="7"/>
      <c r="B77" s="37"/>
      <c r="C77" s="37"/>
      <c r="D77" s="37"/>
      <c r="E77" s="18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51"/>
    </row>
    <row r="78" spans="1:78" x14ac:dyDescent="0.25">
      <c r="A78" s="7"/>
      <c r="B78" s="37"/>
      <c r="C78" s="37"/>
      <c r="D78" s="37"/>
      <c r="E78" s="18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51"/>
    </row>
    <row r="79" spans="1:78" x14ac:dyDescent="0.25">
      <c r="A79" s="7"/>
      <c r="B79" s="37"/>
      <c r="C79" s="37"/>
      <c r="D79" s="37"/>
      <c r="E79" s="18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51"/>
    </row>
    <row r="80" spans="1:78" x14ac:dyDescent="0.25">
      <c r="A80" s="7"/>
      <c r="B80" s="37"/>
      <c r="C80" s="37"/>
      <c r="D80" s="37"/>
      <c r="E80" s="18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51"/>
    </row>
    <row r="81" spans="1:17" x14ac:dyDescent="0.25">
      <c r="A81" s="7"/>
      <c r="B81" s="37"/>
      <c r="C81" s="37"/>
      <c r="D81" s="37"/>
      <c r="E81" s="18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51"/>
    </row>
    <row r="82" spans="1:17" x14ac:dyDescent="0.25">
      <c r="A82" s="7"/>
      <c r="B82" s="37"/>
      <c r="C82" s="37"/>
      <c r="D82" s="37"/>
      <c r="E82" s="18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51"/>
    </row>
    <row r="83" spans="1:17" x14ac:dyDescent="0.25">
      <c r="A83" s="7"/>
      <c r="B83" s="37"/>
      <c r="C83" s="37"/>
      <c r="D83" s="37"/>
      <c r="E83" s="18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51"/>
    </row>
    <row r="84" spans="1:17" x14ac:dyDescent="0.25">
      <c r="A84" s="7"/>
      <c r="B84" s="37"/>
      <c r="C84" s="37"/>
      <c r="D84" s="37"/>
      <c r="E84" s="18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51"/>
    </row>
    <row r="85" spans="1:17" x14ac:dyDescent="0.25">
      <c r="A85" s="7"/>
      <c r="B85" s="37"/>
      <c r="C85" s="37"/>
      <c r="D85" s="37"/>
      <c r="E85" s="18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51"/>
    </row>
    <row r="86" spans="1:17" x14ac:dyDescent="0.25">
      <c r="A86" s="7"/>
      <c r="B86" s="37"/>
      <c r="C86" s="37"/>
      <c r="D86" s="37"/>
      <c r="E86" s="18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51"/>
    </row>
    <row r="87" spans="1:17" x14ac:dyDescent="0.25">
      <c r="A87" s="7"/>
      <c r="B87" s="37"/>
      <c r="C87" s="37"/>
      <c r="D87" s="37"/>
      <c r="E87" s="18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51"/>
    </row>
    <row r="88" spans="1:17" x14ac:dyDescent="0.25">
      <c r="A88" s="7"/>
      <c r="B88" s="37"/>
      <c r="C88" s="37"/>
      <c r="D88" s="37"/>
      <c r="E88" s="18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51"/>
    </row>
    <row r="89" spans="1:17" x14ac:dyDescent="0.25">
      <c r="A89" s="7"/>
      <c r="B89" s="37"/>
      <c r="C89" s="37"/>
      <c r="D89" s="37"/>
      <c r="E89" s="18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51"/>
    </row>
    <row r="90" spans="1:17" x14ac:dyDescent="0.25">
      <c r="A90" s="7"/>
      <c r="B90" s="37"/>
      <c r="C90" s="37"/>
      <c r="D90" s="37"/>
      <c r="E90" s="18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51"/>
    </row>
    <row r="91" spans="1:17" x14ac:dyDescent="0.25">
      <c r="A91" s="7"/>
      <c r="B91" s="37"/>
      <c r="C91" s="37"/>
      <c r="D91" s="37"/>
      <c r="E91" s="18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51"/>
    </row>
    <row r="92" spans="1:17" x14ac:dyDescent="0.25">
      <c r="A92" s="7"/>
      <c r="B92" s="37"/>
      <c r="C92" s="37"/>
      <c r="D92" s="37"/>
      <c r="E92" s="18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51"/>
    </row>
    <row r="93" spans="1:17" x14ac:dyDescent="0.25">
      <c r="A93" s="7"/>
      <c r="B93" s="37"/>
      <c r="C93" s="37"/>
      <c r="D93" s="37"/>
      <c r="E93" s="18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51"/>
    </row>
    <row r="94" spans="1:17" x14ac:dyDescent="0.25">
      <c r="A94" s="7"/>
      <c r="B94" s="37"/>
      <c r="C94" s="37"/>
      <c r="D94" s="37"/>
      <c r="E94" s="18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51"/>
    </row>
    <row r="95" spans="1:17" x14ac:dyDescent="0.25">
      <c r="A95" s="7"/>
      <c r="B95" s="37"/>
      <c r="C95" s="37"/>
      <c r="D95" s="37"/>
      <c r="E95" s="18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51"/>
    </row>
    <row r="96" spans="1:17" x14ac:dyDescent="0.25">
      <c r="A96" s="7"/>
      <c r="B96" s="37"/>
      <c r="C96" s="37"/>
      <c r="D96" s="37"/>
      <c r="E96" s="18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51"/>
    </row>
    <row r="97" spans="1:17" x14ac:dyDescent="0.25">
      <c r="A97" s="7"/>
      <c r="B97" s="37"/>
      <c r="C97" s="37"/>
      <c r="D97" s="37"/>
      <c r="E97" s="18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51"/>
    </row>
    <row r="98" spans="1:17" x14ac:dyDescent="0.25">
      <c r="A98" s="7"/>
      <c r="B98" s="37"/>
      <c r="C98" s="37"/>
      <c r="D98" s="37"/>
      <c r="E98" s="18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51"/>
    </row>
    <row r="99" spans="1:17" x14ac:dyDescent="0.25">
      <c r="A99" s="7"/>
      <c r="B99" s="37"/>
      <c r="C99" s="37"/>
      <c r="D99" s="37"/>
      <c r="E99" s="18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51"/>
    </row>
    <row r="100" spans="1:17" x14ac:dyDescent="0.25">
      <c r="A100" s="7"/>
      <c r="B100" s="37"/>
      <c r="C100" s="37"/>
      <c r="D100" s="37"/>
      <c r="E100" s="18"/>
      <c r="G100" s="41"/>
      <c r="H100" s="41"/>
      <c r="I100" s="41"/>
      <c r="J100" s="41"/>
      <c r="K100" s="41"/>
      <c r="L100" s="41"/>
      <c r="M100" s="41"/>
      <c r="N100" s="41"/>
      <c r="O100" s="41"/>
      <c r="P100" s="41"/>
      <c r="Q100" s="51"/>
    </row>
    <row r="101" spans="1:17" x14ac:dyDescent="0.25">
      <c r="A101" s="7"/>
      <c r="B101" s="37"/>
      <c r="C101" s="37"/>
      <c r="D101" s="37"/>
      <c r="E101" s="18"/>
      <c r="G101" s="41"/>
      <c r="H101" s="41"/>
      <c r="I101" s="41"/>
      <c r="J101" s="41"/>
      <c r="K101" s="41"/>
      <c r="L101" s="41"/>
      <c r="M101" s="41"/>
      <c r="N101" s="41"/>
      <c r="O101" s="41"/>
      <c r="P101" s="41"/>
      <c r="Q101" s="51"/>
    </row>
    <row r="102" spans="1:17" x14ac:dyDescent="0.25">
      <c r="A102" s="7"/>
      <c r="B102" s="37"/>
      <c r="C102" s="37"/>
      <c r="D102" s="37"/>
      <c r="E102" s="18"/>
      <c r="G102" s="41"/>
      <c r="H102" s="41"/>
      <c r="I102" s="41"/>
      <c r="J102" s="41"/>
      <c r="K102" s="41"/>
      <c r="L102" s="41"/>
      <c r="M102" s="41"/>
      <c r="N102" s="41"/>
      <c r="O102" s="41"/>
      <c r="P102" s="41"/>
      <c r="Q102" s="51"/>
    </row>
    <row r="103" spans="1:17" x14ac:dyDescent="0.25">
      <c r="A103" s="7"/>
      <c r="B103" s="37"/>
      <c r="C103" s="37"/>
      <c r="D103" s="37"/>
      <c r="E103" s="18"/>
      <c r="G103" s="41"/>
      <c r="H103" s="41"/>
      <c r="I103" s="41"/>
      <c r="J103" s="41"/>
      <c r="K103" s="41"/>
      <c r="L103" s="41"/>
      <c r="M103" s="41"/>
      <c r="N103" s="41"/>
      <c r="O103" s="41"/>
      <c r="P103" s="41"/>
      <c r="Q103" s="51"/>
    </row>
    <row r="104" spans="1:17" x14ac:dyDescent="0.25">
      <c r="A104" s="7"/>
      <c r="B104" s="37"/>
      <c r="C104" s="37"/>
      <c r="D104" s="37"/>
      <c r="E104" s="18"/>
      <c r="G104" s="41"/>
      <c r="H104" s="41"/>
      <c r="I104" s="41"/>
      <c r="J104" s="41"/>
      <c r="K104" s="41"/>
      <c r="L104" s="41"/>
      <c r="M104" s="41"/>
      <c r="N104" s="41"/>
      <c r="O104" s="41"/>
      <c r="P104" s="41"/>
      <c r="Q104" s="51"/>
    </row>
    <row r="105" spans="1:17" x14ac:dyDescent="0.25">
      <c r="A105" s="7"/>
      <c r="B105" s="37"/>
      <c r="C105" s="37"/>
      <c r="D105" s="37"/>
      <c r="E105" s="18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51"/>
    </row>
    <row r="106" spans="1:17" x14ac:dyDescent="0.25">
      <c r="A106" s="7"/>
      <c r="B106" s="37"/>
      <c r="C106" s="37"/>
      <c r="D106" s="37"/>
      <c r="E106" s="18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51"/>
    </row>
    <row r="107" spans="1:17" x14ac:dyDescent="0.25">
      <c r="A107" s="7"/>
      <c r="B107" s="37"/>
      <c r="C107" s="37"/>
      <c r="D107" s="37"/>
      <c r="E107" s="18"/>
      <c r="G107" s="41"/>
      <c r="H107" s="41"/>
      <c r="I107" s="41"/>
      <c r="J107" s="41"/>
      <c r="K107" s="41"/>
      <c r="L107" s="41"/>
      <c r="M107" s="41"/>
      <c r="N107" s="41"/>
      <c r="O107" s="41"/>
      <c r="P107" s="41"/>
      <c r="Q107" s="51"/>
    </row>
    <row r="108" spans="1:17" x14ac:dyDescent="0.25">
      <c r="A108" s="7"/>
      <c r="B108" s="37"/>
      <c r="C108" s="37"/>
      <c r="D108" s="37"/>
      <c r="E108" s="18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51"/>
    </row>
    <row r="109" spans="1:17" x14ac:dyDescent="0.25">
      <c r="A109" s="7"/>
      <c r="B109" s="37"/>
      <c r="C109" s="37"/>
      <c r="D109" s="37"/>
      <c r="E109" s="18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51"/>
    </row>
    <row r="110" spans="1:17" x14ac:dyDescent="0.25">
      <c r="A110" s="7"/>
      <c r="B110" s="37"/>
      <c r="C110" s="37"/>
      <c r="D110" s="37"/>
      <c r="E110" s="18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51"/>
    </row>
    <row r="111" spans="1:17" x14ac:dyDescent="0.25">
      <c r="A111" s="7"/>
      <c r="B111" s="37"/>
      <c r="C111" s="37"/>
      <c r="D111" s="37"/>
      <c r="E111" s="18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51"/>
    </row>
    <row r="112" spans="1:17" x14ac:dyDescent="0.25">
      <c r="A112" s="7"/>
      <c r="B112" s="37"/>
      <c r="C112" s="37"/>
      <c r="D112" s="37"/>
      <c r="E112" s="18"/>
      <c r="G112" s="41"/>
      <c r="H112" s="41"/>
      <c r="I112" s="41"/>
      <c r="J112" s="41"/>
      <c r="K112" s="41"/>
      <c r="L112" s="41"/>
      <c r="M112" s="41"/>
      <c r="N112" s="41"/>
      <c r="O112" s="41"/>
      <c r="P112" s="41"/>
      <c r="Q112" s="51"/>
    </row>
    <row r="113" spans="1:17" x14ac:dyDescent="0.25">
      <c r="A113" s="7"/>
      <c r="B113" s="37"/>
      <c r="C113" s="37"/>
      <c r="D113" s="37"/>
      <c r="E113" s="18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51"/>
    </row>
    <row r="114" spans="1:17" x14ac:dyDescent="0.25">
      <c r="A114" s="7"/>
      <c r="B114" s="37"/>
      <c r="C114" s="37"/>
      <c r="D114" s="37"/>
      <c r="E114" s="18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51"/>
    </row>
    <row r="115" spans="1:17" x14ac:dyDescent="0.25">
      <c r="A115" s="7"/>
      <c r="B115" s="37"/>
      <c r="C115" s="37"/>
      <c r="D115" s="37"/>
      <c r="E115" s="18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51"/>
    </row>
    <row r="116" spans="1:17" x14ac:dyDescent="0.25">
      <c r="A116" s="7"/>
      <c r="B116" s="37"/>
      <c r="C116" s="37"/>
      <c r="D116" s="37"/>
      <c r="E116" s="18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51"/>
    </row>
    <row r="117" spans="1:17" x14ac:dyDescent="0.25">
      <c r="A117" s="7"/>
      <c r="B117" s="37"/>
      <c r="C117" s="37"/>
      <c r="D117" s="37"/>
      <c r="E117" s="18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51"/>
    </row>
    <row r="118" spans="1:17" x14ac:dyDescent="0.25">
      <c r="A118" s="7"/>
      <c r="B118" s="37"/>
      <c r="C118" s="37"/>
      <c r="D118" s="37"/>
      <c r="E118" s="18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51"/>
    </row>
    <row r="119" spans="1:17" x14ac:dyDescent="0.25">
      <c r="A119" s="7"/>
      <c r="B119" s="37"/>
      <c r="C119" s="37"/>
      <c r="D119" s="37"/>
      <c r="E119" s="18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51"/>
    </row>
    <row r="120" spans="1:17" x14ac:dyDescent="0.25">
      <c r="A120" s="7"/>
      <c r="B120" s="37"/>
      <c r="C120" s="37"/>
      <c r="D120" s="37"/>
      <c r="E120" s="18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51"/>
    </row>
    <row r="121" spans="1:17" x14ac:dyDescent="0.25">
      <c r="A121" s="7"/>
      <c r="B121" s="37"/>
      <c r="C121" s="37"/>
      <c r="D121" s="37"/>
      <c r="E121" s="18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51"/>
    </row>
    <row r="122" spans="1:17" x14ac:dyDescent="0.25">
      <c r="A122" s="7"/>
      <c r="B122" s="37"/>
      <c r="C122" s="37"/>
      <c r="D122" s="37"/>
      <c r="E122" s="18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51"/>
    </row>
    <row r="123" spans="1:17" x14ac:dyDescent="0.25">
      <c r="A123" s="7"/>
      <c r="B123" s="37"/>
      <c r="C123" s="37"/>
      <c r="D123" s="37"/>
      <c r="E123" s="18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51"/>
    </row>
    <row r="124" spans="1:17" x14ac:dyDescent="0.25">
      <c r="A124" s="7"/>
      <c r="B124" s="37"/>
      <c r="C124" s="37"/>
      <c r="D124" s="37"/>
      <c r="E124" s="18"/>
      <c r="G124" s="41"/>
      <c r="H124" s="41"/>
      <c r="I124" s="41"/>
      <c r="J124" s="41"/>
      <c r="K124" s="41"/>
      <c r="L124" s="41"/>
      <c r="M124" s="41"/>
      <c r="N124" s="41"/>
      <c r="O124" s="41"/>
      <c r="P124" s="41"/>
      <c r="Q124" s="51"/>
    </row>
    <row r="125" spans="1:17" x14ac:dyDescent="0.25">
      <c r="A125" s="7"/>
      <c r="B125" s="37"/>
      <c r="C125" s="37"/>
      <c r="D125" s="37"/>
      <c r="E125" s="18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51"/>
    </row>
    <row r="126" spans="1:17" x14ac:dyDescent="0.25">
      <c r="A126" s="7"/>
      <c r="B126" s="37"/>
      <c r="C126" s="37"/>
      <c r="D126" s="37"/>
      <c r="E126" s="18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51"/>
    </row>
    <row r="127" spans="1:17" x14ac:dyDescent="0.25">
      <c r="A127" s="7"/>
      <c r="B127" s="37"/>
      <c r="C127" s="37"/>
      <c r="D127" s="37"/>
      <c r="E127" s="18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51"/>
    </row>
    <row r="128" spans="1:17" x14ac:dyDescent="0.25">
      <c r="A128" s="7"/>
      <c r="B128" s="37"/>
      <c r="C128" s="37"/>
      <c r="D128" s="37"/>
      <c r="E128" s="18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51"/>
    </row>
    <row r="129" spans="1:17" x14ac:dyDescent="0.25">
      <c r="A129" s="7"/>
      <c r="B129" s="37"/>
      <c r="C129" s="37"/>
      <c r="D129" s="37"/>
      <c r="E129" s="18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51"/>
    </row>
    <row r="130" spans="1:17" x14ac:dyDescent="0.25">
      <c r="A130" s="7"/>
      <c r="B130" s="37"/>
      <c r="C130" s="37"/>
      <c r="D130" s="37"/>
      <c r="E130" s="18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51"/>
    </row>
    <row r="131" spans="1:17" x14ac:dyDescent="0.25">
      <c r="A131" s="7"/>
      <c r="B131" s="37"/>
      <c r="C131" s="37"/>
      <c r="D131" s="37"/>
      <c r="E131" s="18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51"/>
    </row>
    <row r="132" spans="1:17" x14ac:dyDescent="0.25">
      <c r="A132" s="7"/>
      <c r="B132" s="37"/>
      <c r="C132" s="37"/>
      <c r="D132" s="37"/>
      <c r="E132" s="18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51"/>
    </row>
    <row r="133" spans="1:17" x14ac:dyDescent="0.25">
      <c r="A133" s="7"/>
      <c r="B133" s="37"/>
      <c r="C133" s="37"/>
      <c r="D133" s="37"/>
      <c r="E133" s="18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51"/>
    </row>
    <row r="134" spans="1:17" x14ac:dyDescent="0.25">
      <c r="A134" s="7"/>
      <c r="B134" s="37"/>
      <c r="C134" s="37"/>
      <c r="D134" s="37"/>
      <c r="E134" s="18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51"/>
    </row>
    <row r="135" spans="1:17" x14ac:dyDescent="0.25">
      <c r="A135" s="7"/>
      <c r="B135" s="37"/>
      <c r="C135" s="37"/>
      <c r="D135" s="37"/>
      <c r="E135" s="18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51"/>
    </row>
    <row r="136" spans="1:17" x14ac:dyDescent="0.25">
      <c r="A136" s="7"/>
      <c r="B136" s="37"/>
      <c r="C136" s="37"/>
      <c r="D136" s="37"/>
      <c r="E136" s="18"/>
      <c r="G136" s="41"/>
      <c r="H136" s="41"/>
      <c r="I136" s="41"/>
      <c r="J136" s="41"/>
      <c r="K136" s="41"/>
      <c r="L136" s="41"/>
      <c r="M136" s="41"/>
      <c r="N136" s="41"/>
      <c r="O136" s="41"/>
      <c r="P136" s="41"/>
      <c r="Q136" s="51"/>
    </row>
    <row r="137" spans="1:17" x14ac:dyDescent="0.25">
      <c r="A137" s="7"/>
      <c r="B137" s="15"/>
      <c r="C137" s="15"/>
      <c r="D137" s="15"/>
      <c r="E137" s="11"/>
      <c r="F137" s="41"/>
      <c r="G137" s="41"/>
      <c r="H137" s="41"/>
      <c r="I137" s="41"/>
      <c r="J137" s="41"/>
      <c r="K137" s="41"/>
      <c r="L137" s="41"/>
      <c r="M137" s="41"/>
      <c r="N137" s="41"/>
      <c r="O137" s="41"/>
      <c r="P137" s="41"/>
      <c r="Q137" s="51"/>
    </row>
    <row r="138" spans="1:17" x14ac:dyDescent="0.25">
      <c r="A138" s="7"/>
      <c r="B138" s="15"/>
      <c r="C138" s="15"/>
      <c r="D138" s="15"/>
      <c r="E138" s="1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51"/>
    </row>
    <row r="139" spans="1:17" x14ac:dyDescent="0.25">
      <c r="A139" s="7"/>
      <c r="B139" s="37"/>
      <c r="C139" s="37"/>
      <c r="D139" s="37"/>
      <c r="E139" s="18"/>
      <c r="G139" s="41"/>
      <c r="H139" s="41"/>
      <c r="I139" s="41"/>
      <c r="J139" s="41"/>
      <c r="K139" s="41"/>
      <c r="L139" s="41"/>
      <c r="M139" s="41"/>
      <c r="N139" s="41"/>
      <c r="O139" s="41"/>
      <c r="P139" s="41"/>
      <c r="Q139" s="51"/>
    </row>
    <row r="140" spans="1:17" x14ac:dyDescent="0.25">
      <c r="A140" s="7"/>
      <c r="B140" s="37"/>
      <c r="C140" s="37"/>
      <c r="D140" s="37"/>
      <c r="E140" s="18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51"/>
    </row>
    <row r="141" spans="1:17" x14ac:dyDescent="0.25">
      <c r="A141" s="7"/>
      <c r="B141" s="37"/>
      <c r="C141" s="37"/>
      <c r="D141" s="37"/>
      <c r="E141" s="18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51"/>
    </row>
    <row r="142" spans="1:17" x14ac:dyDescent="0.25">
      <c r="A142" s="7"/>
      <c r="B142" s="37"/>
      <c r="C142" s="37"/>
      <c r="D142" s="37"/>
      <c r="E142" s="18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51"/>
    </row>
    <row r="143" spans="1:17" x14ac:dyDescent="0.25">
      <c r="A143" s="7"/>
      <c r="B143" s="37"/>
      <c r="C143" s="37"/>
      <c r="D143" s="37"/>
      <c r="E143" s="18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51"/>
    </row>
    <row r="144" spans="1:17" x14ac:dyDescent="0.25">
      <c r="A144" s="7"/>
      <c r="B144" s="37"/>
      <c r="C144" s="37"/>
      <c r="D144" s="37"/>
      <c r="E144" s="18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51"/>
    </row>
    <row r="145" spans="1:17" x14ac:dyDescent="0.25">
      <c r="A145" s="7"/>
      <c r="B145" s="37"/>
      <c r="C145" s="37"/>
      <c r="D145" s="37"/>
      <c r="E145" s="18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51"/>
    </row>
    <row r="146" spans="1:17" x14ac:dyDescent="0.25">
      <c r="A146" s="7"/>
      <c r="B146" s="37"/>
      <c r="C146" s="37"/>
      <c r="D146" s="37"/>
      <c r="E146" s="18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51"/>
    </row>
    <row r="147" spans="1:17" x14ac:dyDescent="0.25">
      <c r="A147" s="7"/>
      <c r="B147" s="37"/>
      <c r="C147" s="37"/>
      <c r="D147" s="37"/>
      <c r="E147" s="18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51"/>
    </row>
    <row r="148" spans="1:17" x14ac:dyDescent="0.25">
      <c r="A148" s="7"/>
      <c r="B148" s="37"/>
      <c r="C148" s="37"/>
      <c r="D148" s="37"/>
      <c r="E148" s="18"/>
      <c r="G148" s="41"/>
      <c r="H148" s="41"/>
      <c r="I148" s="41"/>
      <c r="J148" s="41"/>
      <c r="K148" s="41"/>
      <c r="L148" s="41"/>
      <c r="M148" s="41"/>
      <c r="N148" s="41"/>
      <c r="O148" s="41"/>
      <c r="P148" s="41"/>
      <c r="Q148" s="51"/>
    </row>
    <row r="149" spans="1:17" x14ac:dyDescent="0.25">
      <c r="A149" s="7"/>
      <c r="B149" s="37"/>
      <c r="C149" s="37"/>
      <c r="D149" s="37"/>
      <c r="E149" s="18"/>
      <c r="G149" s="41"/>
      <c r="H149" s="41"/>
      <c r="I149" s="41"/>
      <c r="J149" s="41"/>
      <c r="K149" s="41"/>
      <c r="L149" s="41"/>
      <c r="M149" s="41"/>
      <c r="N149" s="41"/>
      <c r="O149" s="41"/>
      <c r="P149" s="41"/>
      <c r="Q149" s="51"/>
    </row>
    <row r="150" spans="1:17" x14ac:dyDescent="0.25">
      <c r="A150" s="7"/>
      <c r="B150" s="37"/>
      <c r="C150" s="37"/>
      <c r="D150" s="37"/>
      <c r="E150" s="18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51"/>
    </row>
    <row r="151" spans="1:17" x14ac:dyDescent="0.25">
      <c r="A151" s="7"/>
      <c r="B151" s="37"/>
      <c r="C151" s="37"/>
      <c r="D151" s="37"/>
      <c r="E151" s="18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51"/>
    </row>
    <row r="152" spans="1:17" x14ac:dyDescent="0.25">
      <c r="A152" s="7"/>
      <c r="B152" s="37"/>
      <c r="C152" s="37"/>
      <c r="D152" s="37"/>
      <c r="E152" s="18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51"/>
    </row>
    <row r="153" spans="1:17" x14ac:dyDescent="0.25">
      <c r="A153" s="7"/>
      <c r="B153" s="37"/>
      <c r="C153" s="37"/>
      <c r="D153" s="37"/>
      <c r="E153" s="18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51"/>
    </row>
    <row r="154" spans="1:17" x14ac:dyDescent="0.25">
      <c r="A154" s="7"/>
      <c r="B154" s="37"/>
      <c r="C154" s="37"/>
      <c r="D154" s="37"/>
      <c r="E154" s="18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51"/>
    </row>
    <row r="155" spans="1:17" x14ac:dyDescent="0.25">
      <c r="A155" s="7"/>
      <c r="B155" s="37"/>
      <c r="C155" s="37"/>
      <c r="D155" s="37"/>
      <c r="E155" s="18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51"/>
    </row>
    <row r="156" spans="1:17" x14ac:dyDescent="0.25">
      <c r="A156" s="7"/>
      <c r="B156" s="37"/>
      <c r="C156" s="37"/>
      <c r="D156" s="37"/>
      <c r="E156" s="18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51"/>
    </row>
    <row r="157" spans="1:17" x14ac:dyDescent="0.25">
      <c r="A157" s="7"/>
      <c r="B157" s="37"/>
      <c r="C157" s="37"/>
      <c r="D157" s="37"/>
      <c r="E157" s="18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51"/>
    </row>
    <row r="158" spans="1:17" x14ac:dyDescent="0.25">
      <c r="A158" s="7"/>
      <c r="B158" s="37"/>
      <c r="C158" s="37"/>
      <c r="D158" s="37"/>
      <c r="E158" s="18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51"/>
    </row>
    <row r="159" spans="1:17" x14ac:dyDescent="0.25">
      <c r="A159" s="7"/>
      <c r="B159" s="37"/>
      <c r="C159" s="37"/>
      <c r="D159" s="37"/>
      <c r="E159" s="18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51"/>
    </row>
    <row r="160" spans="1:17" x14ac:dyDescent="0.25">
      <c r="A160" s="7"/>
      <c r="B160" s="37"/>
      <c r="C160" s="37"/>
      <c r="D160" s="37"/>
      <c r="E160" s="18"/>
      <c r="G160" s="41"/>
      <c r="H160" s="41"/>
      <c r="I160" s="41"/>
      <c r="J160" s="41"/>
      <c r="K160" s="41"/>
      <c r="L160" s="41"/>
      <c r="M160" s="41"/>
      <c r="N160" s="41"/>
      <c r="O160" s="41"/>
      <c r="P160" s="41"/>
      <c r="Q160" s="51"/>
    </row>
    <row r="161" spans="1:17" x14ac:dyDescent="0.25">
      <c r="A161" s="7"/>
      <c r="B161" s="37"/>
      <c r="C161" s="37"/>
      <c r="D161" s="37"/>
      <c r="E161" s="18"/>
      <c r="G161" s="41"/>
      <c r="H161" s="41"/>
      <c r="I161" s="41"/>
      <c r="J161" s="41"/>
      <c r="K161" s="41"/>
      <c r="L161" s="41"/>
      <c r="M161" s="41"/>
      <c r="N161" s="41"/>
      <c r="O161" s="41"/>
      <c r="P161" s="41"/>
      <c r="Q161" s="51"/>
    </row>
    <row r="162" spans="1:17" x14ac:dyDescent="0.25">
      <c r="A162" s="7"/>
      <c r="B162" s="37"/>
      <c r="C162" s="37"/>
      <c r="D162" s="37"/>
      <c r="E162" s="18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51"/>
    </row>
    <row r="163" spans="1:17" x14ac:dyDescent="0.25">
      <c r="A163" s="7"/>
      <c r="B163" s="37"/>
      <c r="C163" s="37"/>
      <c r="D163" s="37"/>
      <c r="E163" s="18"/>
      <c r="G163" s="41"/>
      <c r="H163" s="41"/>
      <c r="I163" s="41"/>
      <c r="J163" s="41"/>
      <c r="K163" s="41"/>
      <c r="L163" s="41"/>
      <c r="M163" s="41"/>
      <c r="N163" s="41"/>
      <c r="O163" s="41"/>
      <c r="P163" s="41"/>
      <c r="Q163" s="51"/>
    </row>
    <row r="164" spans="1:17" x14ac:dyDescent="0.25">
      <c r="A164" s="7"/>
      <c r="B164" s="37"/>
      <c r="C164" s="37"/>
      <c r="D164" s="37"/>
      <c r="E164" s="18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51"/>
    </row>
    <row r="165" spans="1:17" x14ac:dyDescent="0.25">
      <c r="A165" s="7"/>
      <c r="B165" s="15"/>
      <c r="C165" s="15"/>
      <c r="D165" s="15"/>
      <c r="E165" s="1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51"/>
    </row>
    <row r="166" spans="1:17" x14ac:dyDescent="0.25">
      <c r="A166" s="7"/>
      <c r="B166" s="15"/>
      <c r="C166" s="15"/>
      <c r="D166" s="15"/>
      <c r="E166" s="1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51"/>
    </row>
    <row r="167" spans="1:17" x14ac:dyDescent="0.25">
      <c r="A167" s="7"/>
      <c r="B167" s="37"/>
      <c r="C167" s="37"/>
      <c r="D167" s="37"/>
      <c r="E167" s="18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51"/>
    </row>
    <row r="168" spans="1:17" x14ac:dyDescent="0.25">
      <c r="A168" s="7"/>
      <c r="B168" s="37"/>
      <c r="C168" s="37"/>
      <c r="D168" s="37"/>
      <c r="E168" s="18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51"/>
    </row>
    <row r="169" spans="1:17" x14ac:dyDescent="0.25">
      <c r="A169" s="7"/>
      <c r="B169" s="37"/>
      <c r="C169" s="37"/>
      <c r="D169" s="37"/>
      <c r="E169" s="18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51"/>
    </row>
    <row r="170" spans="1:17" x14ac:dyDescent="0.25">
      <c r="A170" s="7"/>
      <c r="B170" s="37"/>
      <c r="C170" s="37"/>
      <c r="D170" s="37"/>
      <c r="E170" s="18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51"/>
    </row>
    <row r="171" spans="1:17" x14ac:dyDescent="0.25">
      <c r="A171" s="7"/>
      <c r="B171" s="37"/>
      <c r="C171" s="37"/>
      <c r="D171" s="37"/>
      <c r="E171" s="18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51"/>
    </row>
    <row r="172" spans="1:17" x14ac:dyDescent="0.25">
      <c r="A172" s="7"/>
      <c r="B172" s="37"/>
      <c r="C172" s="37"/>
      <c r="D172" s="37"/>
      <c r="E172" s="18"/>
      <c r="G172" s="41"/>
      <c r="H172" s="41"/>
      <c r="I172" s="41"/>
      <c r="J172" s="41"/>
      <c r="K172" s="41"/>
      <c r="L172" s="41"/>
      <c r="M172" s="41"/>
      <c r="N172" s="41"/>
      <c r="O172" s="41"/>
      <c r="P172" s="41"/>
      <c r="Q172" s="51"/>
    </row>
    <row r="173" spans="1:17" x14ac:dyDescent="0.25">
      <c r="A173" s="7"/>
      <c r="B173" s="37"/>
      <c r="C173" s="37"/>
      <c r="D173" s="37"/>
      <c r="E173" s="18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51"/>
    </row>
    <row r="174" spans="1:17" x14ac:dyDescent="0.25">
      <c r="A174" s="7"/>
      <c r="B174" s="37"/>
      <c r="C174" s="37"/>
      <c r="D174" s="37"/>
      <c r="E174" s="18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51"/>
    </row>
    <row r="175" spans="1:17" x14ac:dyDescent="0.25">
      <c r="A175" s="7"/>
      <c r="B175" s="37"/>
      <c r="C175" s="37"/>
      <c r="D175" s="37"/>
      <c r="E175" s="18"/>
      <c r="G175" s="41"/>
      <c r="H175" s="41"/>
      <c r="I175" s="41"/>
      <c r="J175" s="41"/>
      <c r="K175" s="41"/>
      <c r="L175" s="41"/>
      <c r="M175" s="41"/>
      <c r="N175" s="41"/>
      <c r="O175" s="41"/>
      <c r="P175" s="41"/>
      <c r="Q175" s="51"/>
    </row>
    <row r="176" spans="1:17" x14ac:dyDescent="0.25">
      <c r="A176" s="7"/>
      <c r="B176" s="37"/>
      <c r="C176" s="37"/>
      <c r="D176" s="37"/>
      <c r="E176" s="18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51"/>
    </row>
    <row r="177" spans="1:17" x14ac:dyDescent="0.25">
      <c r="A177" s="7"/>
      <c r="B177" s="37"/>
      <c r="C177" s="37"/>
      <c r="D177" s="37"/>
      <c r="E177" s="18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51"/>
    </row>
    <row r="178" spans="1:17" x14ac:dyDescent="0.25">
      <c r="A178" s="7"/>
      <c r="B178" s="37"/>
      <c r="C178" s="37"/>
      <c r="D178" s="37"/>
      <c r="E178" s="18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51"/>
    </row>
    <row r="179" spans="1:17" x14ac:dyDescent="0.25">
      <c r="A179" s="7"/>
      <c r="B179" s="37"/>
      <c r="C179" s="37"/>
      <c r="D179" s="37"/>
      <c r="E179" s="18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51"/>
    </row>
    <row r="180" spans="1:17" x14ac:dyDescent="0.25">
      <c r="A180" s="7"/>
      <c r="B180" s="37"/>
      <c r="C180" s="37"/>
      <c r="D180" s="37"/>
      <c r="E180" s="18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51"/>
    </row>
    <row r="181" spans="1:17" x14ac:dyDescent="0.25">
      <c r="A181" s="7"/>
      <c r="B181" s="37"/>
      <c r="C181" s="37"/>
      <c r="D181" s="37"/>
      <c r="E181" s="18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51"/>
    </row>
    <row r="182" spans="1:17" x14ac:dyDescent="0.25">
      <c r="A182" s="7"/>
      <c r="B182" s="37"/>
      <c r="C182" s="37"/>
      <c r="D182" s="37"/>
      <c r="E182" s="18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51"/>
    </row>
    <row r="183" spans="1:17" x14ac:dyDescent="0.25">
      <c r="A183" s="7"/>
      <c r="B183" s="37"/>
      <c r="C183" s="37"/>
      <c r="D183" s="37"/>
      <c r="E183" s="18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51"/>
    </row>
    <row r="184" spans="1:17" x14ac:dyDescent="0.25">
      <c r="A184" s="7"/>
      <c r="B184" s="37"/>
      <c r="C184" s="37"/>
      <c r="D184" s="37"/>
      <c r="E184" s="18"/>
      <c r="G184" s="41"/>
      <c r="H184" s="41"/>
      <c r="I184" s="41"/>
      <c r="J184" s="41"/>
      <c r="K184" s="41"/>
      <c r="L184" s="41"/>
      <c r="M184" s="41"/>
      <c r="N184" s="41"/>
      <c r="O184" s="41"/>
      <c r="P184" s="41"/>
      <c r="Q184" s="51"/>
    </row>
    <row r="185" spans="1:17" x14ac:dyDescent="0.25">
      <c r="A185" s="7"/>
      <c r="B185" s="37"/>
      <c r="C185" s="37"/>
      <c r="D185" s="37"/>
      <c r="E185" s="18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51"/>
    </row>
    <row r="186" spans="1:17" x14ac:dyDescent="0.25">
      <c r="A186" s="7"/>
      <c r="B186" s="37"/>
      <c r="C186" s="37"/>
      <c r="D186" s="37"/>
      <c r="E186" s="18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51"/>
    </row>
    <row r="187" spans="1:17" x14ac:dyDescent="0.25">
      <c r="A187" s="7"/>
      <c r="B187" s="37"/>
      <c r="C187" s="37"/>
      <c r="D187" s="37"/>
      <c r="E187" s="18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51"/>
    </row>
    <row r="188" spans="1:17" x14ac:dyDescent="0.25">
      <c r="A188" s="7"/>
      <c r="B188" s="37"/>
      <c r="C188" s="37"/>
      <c r="D188" s="37"/>
      <c r="E188" s="18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51"/>
    </row>
    <row r="189" spans="1:17" x14ac:dyDescent="0.25">
      <c r="A189" s="7"/>
      <c r="B189" s="37"/>
      <c r="C189" s="37"/>
      <c r="D189" s="37"/>
      <c r="E189" s="18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51"/>
    </row>
    <row r="190" spans="1:17" x14ac:dyDescent="0.25">
      <c r="A190" s="7"/>
      <c r="B190" s="37"/>
      <c r="C190" s="37"/>
      <c r="D190" s="37"/>
      <c r="E190" s="18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51"/>
    </row>
    <row r="191" spans="1:17" x14ac:dyDescent="0.25">
      <c r="A191" s="7"/>
      <c r="B191" s="37"/>
      <c r="C191" s="37"/>
      <c r="D191" s="37"/>
      <c r="E191" s="18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51"/>
    </row>
    <row r="192" spans="1:17" x14ac:dyDescent="0.25">
      <c r="A192" s="7"/>
      <c r="B192" s="37"/>
      <c r="C192" s="37"/>
      <c r="D192" s="37"/>
      <c r="E192" s="18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51"/>
    </row>
    <row r="193" spans="1:17" x14ac:dyDescent="0.25">
      <c r="A193" s="7"/>
      <c r="B193" s="37"/>
      <c r="C193" s="37"/>
      <c r="D193" s="37"/>
      <c r="E193" s="18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51"/>
    </row>
    <row r="194" spans="1:17" x14ac:dyDescent="0.25">
      <c r="A194" s="7"/>
      <c r="B194" s="37"/>
      <c r="C194" s="37"/>
      <c r="D194" s="37"/>
      <c r="E194" s="18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51"/>
    </row>
    <row r="195" spans="1:17" x14ac:dyDescent="0.25">
      <c r="A195" s="7"/>
      <c r="B195" s="37"/>
      <c r="C195" s="37"/>
      <c r="D195" s="37"/>
      <c r="E195" s="18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51"/>
    </row>
    <row r="196" spans="1:17" x14ac:dyDescent="0.25">
      <c r="A196" s="7"/>
      <c r="B196" s="37"/>
      <c r="C196" s="37"/>
      <c r="D196" s="37"/>
      <c r="E196" s="18"/>
      <c r="G196" s="41"/>
      <c r="H196" s="41"/>
      <c r="I196" s="41"/>
      <c r="J196" s="41"/>
      <c r="K196" s="41"/>
      <c r="L196" s="41"/>
      <c r="M196" s="41"/>
      <c r="N196" s="41"/>
      <c r="O196" s="41"/>
      <c r="P196" s="41"/>
      <c r="Q196" s="51"/>
    </row>
    <row r="197" spans="1:17" x14ac:dyDescent="0.25">
      <c r="A197" s="7"/>
      <c r="B197" s="37"/>
      <c r="C197" s="37"/>
      <c r="D197" s="37"/>
      <c r="E197" s="18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51"/>
    </row>
    <row r="198" spans="1:17" x14ac:dyDescent="0.25">
      <c r="A198" s="7"/>
      <c r="B198" s="37"/>
      <c r="C198" s="37"/>
      <c r="D198" s="37"/>
      <c r="E198" s="18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51"/>
    </row>
    <row r="199" spans="1:17" x14ac:dyDescent="0.25">
      <c r="A199" s="7"/>
      <c r="B199" s="37"/>
      <c r="C199" s="37"/>
      <c r="D199" s="37"/>
      <c r="E199" s="18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51"/>
    </row>
    <row r="200" spans="1:17" x14ac:dyDescent="0.25">
      <c r="A200" s="7"/>
      <c r="B200" s="37"/>
      <c r="C200" s="37"/>
      <c r="D200" s="37"/>
      <c r="E200" s="18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51"/>
    </row>
    <row r="201" spans="1:17" x14ac:dyDescent="0.25">
      <c r="A201" s="7"/>
      <c r="B201" s="37"/>
      <c r="C201" s="37"/>
      <c r="D201" s="37"/>
      <c r="E201" s="18"/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51"/>
    </row>
    <row r="202" spans="1:17" x14ac:dyDescent="0.25">
      <c r="A202" s="7"/>
      <c r="B202" s="37"/>
      <c r="C202" s="37"/>
      <c r="D202" s="37"/>
      <c r="E202" s="18"/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51"/>
    </row>
    <row r="203" spans="1:17" x14ac:dyDescent="0.25">
      <c r="A203" s="7"/>
      <c r="B203" s="37"/>
      <c r="C203" s="37"/>
      <c r="D203" s="37"/>
      <c r="E203" s="18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51"/>
    </row>
    <row r="204" spans="1:17" x14ac:dyDescent="0.25">
      <c r="A204" s="7"/>
      <c r="B204" s="37"/>
      <c r="C204" s="37"/>
      <c r="D204" s="37"/>
      <c r="E204" s="18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51"/>
    </row>
    <row r="205" spans="1:17" x14ac:dyDescent="0.25">
      <c r="A205" s="7"/>
      <c r="B205" s="37"/>
      <c r="C205" s="37"/>
      <c r="D205" s="37"/>
      <c r="E205" s="18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51"/>
    </row>
    <row r="206" spans="1:17" x14ac:dyDescent="0.25">
      <c r="A206" s="7"/>
      <c r="B206" s="37"/>
      <c r="C206" s="37"/>
      <c r="D206" s="37"/>
      <c r="E206" s="18"/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51"/>
    </row>
    <row r="207" spans="1:17" x14ac:dyDescent="0.25">
      <c r="A207" s="7"/>
      <c r="B207" s="37"/>
      <c r="C207" s="37"/>
      <c r="D207" s="37"/>
      <c r="E207" s="18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51"/>
    </row>
    <row r="208" spans="1:17" x14ac:dyDescent="0.25">
      <c r="A208" s="7"/>
      <c r="B208" s="37"/>
      <c r="C208" s="37"/>
      <c r="D208" s="37"/>
      <c r="E208" s="18"/>
      <c r="G208" s="41"/>
      <c r="H208" s="41"/>
      <c r="I208" s="41"/>
      <c r="J208" s="41"/>
      <c r="K208" s="41"/>
      <c r="L208" s="41"/>
      <c r="M208" s="41"/>
      <c r="N208" s="41"/>
      <c r="O208" s="41"/>
      <c r="P208" s="41"/>
      <c r="Q208" s="51"/>
    </row>
    <row r="209" spans="1:17" x14ac:dyDescent="0.25">
      <c r="A209" s="7"/>
      <c r="B209" s="37"/>
      <c r="C209" s="37"/>
      <c r="D209" s="37"/>
      <c r="E209" s="18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51"/>
    </row>
    <row r="210" spans="1:17" x14ac:dyDescent="0.25">
      <c r="A210" s="7"/>
      <c r="B210" s="37"/>
      <c r="C210" s="37"/>
      <c r="D210" s="37"/>
      <c r="E210" s="18"/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51"/>
    </row>
    <row r="211" spans="1:17" x14ac:dyDescent="0.25">
      <c r="A211" s="7"/>
      <c r="B211" s="37"/>
      <c r="C211" s="37"/>
      <c r="D211" s="37"/>
      <c r="E211" s="18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51"/>
    </row>
    <row r="212" spans="1:17" x14ac:dyDescent="0.25">
      <c r="A212" s="7"/>
      <c r="B212" s="37"/>
      <c r="C212" s="37"/>
      <c r="D212" s="37"/>
      <c r="E212" s="18"/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51"/>
    </row>
    <row r="213" spans="1:17" x14ac:dyDescent="0.25">
      <c r="A213" s="7"/>
      <c r="B213" s="37"/>
      <c r="C213" s="37"/>
      <c r="D213" s="37"/>
      <c r="E213" s="18"/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51"/>
    </row>
    <row r="214" spans="1:17" x14ac:dyDescent="0.25">
      <c r="A214" s="7"/>
      <c r="B214" s="37"/>
      <c r="C214" s="37"/>
      <c r="D214" s="37"/>
      <c r="E214" s="18"/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51"/>
    </row>
    <row r="215" spans="1:17" x14ac:dyDescent="0.25">
      <c r="A215" s="7"/>
      <c r="B215" s="37"/>
      <c r="C215" s="37"/>
      <c r="D215" s="37"/>
      <c r="E215" s="18"/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51"/>
    </row>
    <row r="216" spans="1:17" x14ac:dyDescent="0.25">
      <c r="A216" s="7"/>
      <c r="B216" s="37"/>
      <c r="C216" s="37"/>
      <c r="D216" s="37"/>
      <c r="E216" s="18"/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51"/>
    </row>
    <row r="217" spans="1:17" x14ac:dyDescent="0.25">
      <c r="A217" s="7"/>
      <c r="B217" s="37"/>
      <c r="C217" s="37"/>
      <c r="D217" s="37"/>
      <c r="E217" s="18"/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51"/>
    </row>
    <row r="218" spans="1:17" x14ac:dyDescent="0.25">
      <c r="A218" s="7"/>
      <c r="B218" s="37"/>
      <c r="C218" s="37"/>
      <c r="D218" s="37"/>
      <c r="E218" s="18"/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51"/>
    </row>
    <row r="219" spans="1:17" x14ac:dyDescent="0.25">
      <c r="A219" s="7"/>
      <c r="B219" s="37"/>
      <c r="C219" s="37"/>
      <c r="D219" s="37"/>
      <c r="E219" s="18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51"/>
    </row>
    <row r="220" spans="1:17" x14ac:dyDescent="0.25">
      <c r="A220" s="7"/>
      <c r="B220" s="37"/>
      <c r="C220" s="37"/>
      <c r="D220" s="37"/>
      <c r="E220" s="18"/>
      <c r="G220" s="41"/>
      <c r="H220" s="41"/>
      <c r="I220" s="41"/>
      <c r="J220" s="41"/>
      <c r="K220" s="41"/>
      <c r="L220" s="41"/>
      <c r="M220" s="41"/>
      <c r="N220" s="41"/>
      <c r="O220" s="41"/>
      <c r="P220" s="41"/>
      <c r="Q220" s="51"/>
    </row>
    <row r="221" spans="1:17" x14ac:dyDescent="0.25">
      <c r="A221" s="7"/>
      <c r="B221" s="37"/>
      <c r="C221" s="37"/>
      <c r="D221" s="37"/>
      <c r="E221" s="18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51"/>
    </row>
    <row r="222" spans="1:17" x14ac:dyDescent="0.25">
      <c r="A222" s="7"/>
      <c r="B222" s="37"/>
      <c r="C222" s="37"/>
      <c r="D222" s="37"/>
      <c r="E222" s="18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51"/>
    </row>
    <row r="223" spans="1:17" x14ac:dyDescent="0.25">
      <c r="A223" s="7"/>
      <c r="B223" s="15"/>
      <c r="C223" s="15"/>
      <c r="D223" s="15"/>
      <c r="E223" s="11"/>
      <c r="F223" s="41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51"/>
    </row>
    <row r="224" spans="1:17" x14ac:dyDescent="0.25">
      <c r="A224" s="7"/>
      <c r="B224" s="15"/>
      <c r="C224" s="15"/>
      <c r="D224" s="15"/>
      <c r="E224" s="11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51"/>
    </row>
    <row r="225" spans="1:17" x14ac:dyDescent="0.25">
      <c r="A225" s="7"/>
      <c r="B225" s="15"/>
      <c r="C225" s="15"/>
      <c r="D225" s="15"/>
      <c r="E225" s="11"/>
      <c r="F225" s="41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51"/>
    </row>
    <row r="226" spans="1:17" x14ac:dyDescent="0.25">
      <c r="A226" s="7"/>
      <c r="B226" s="15"/>
      <c r="C226" s="15"/>
      <c r="D226" s="15"/>
      <c r="E226" s="11"/>
      <c r="F226" s="41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51"/>
    </row>
    <row r="227" spans="1:17" x14ac:dyDescent="0.25">
      <c r="A227" s="7"/>
      <c r="B227" s="15"/>
      <c r="C227" s="15"/>
      <c r="D227" s="15"/>
      <c r="E227" s="11"/>
      <c r="F227" s="41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51"/>
    </row>
    <row r="228" spans="1:17" x14ac:dyDescent="0.25">
      <c r="A228" s="7"/>
      <c r="B228" s="15"/>
      <c r="C228" s="15"/>
      <c r="D228" s="15"/>
      <c r="E228" s="11"/>
      <c r="F228" s="41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51"/>
    </row>
    <row r="229" spans="1:17" x14ac:dyDescent="0.25">
      <c r="A229" s="7"/>
      <c r="B229" s="15"/>
      <c r="C229" s="15"/>
      <c r="D229" s="15"/>
      <c r="E229" s="11"/>
      <c r="F229" s="41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51"/>
    </row>
    <row r="230" spans="1:17" x14ac:dyDescent="0.25">
      <c r="A230" s="7"/>
      <c r="B230" s="15"/>
      <c r="C230" s="15"/>
      <c r="D230" s="15"/>
      <c r="E230" s="11"/>
      <c r="F230" s="41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51"/>
    </row>
    <row r="231" spans="1:17" x14ac:dyDescent="0.25">
      <c r="A231" s="7"/>
      <c r="B231" s="15"/>
      <c r="C231" s="15"/>
      <c r="D231" s="15"/>
      <c r="E231" s="11"/>
      <c r="F231" s="41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51"/>
    </row>
    <row r="232" spans="1:17" x14ac:dyDescent="0.25">
      <c r="A232" s="7"/>
      <c r="B232" s="15"/>
      <c r="C232" s="15"/>
      <c r="D232" s="15"/>
      <c r="E232" s="11"/>
      <c r="F232" s="41"/>
      <c r="G232" s="41"/>
      <c r="H232" s="41"/>
      <c r="I232" s="41"/>
      <c r="J232" s="41"/>
      <c r="K232" s="41"/>
      <c r="L232" s="41"/>
      <c r="M232" s="41"/>
      <c r="N232" s="41"/>
      <c r="O232" s="41"/>
      <c r="P232" s="41"/>
      <c r="Q232" s="51"/>
    </row>
    <row r="233" spans="1:17" x14ac:dyDescent="0.25">
      <c r="A233" s="7"/>
      <c r="B233" s="15"/>
      <c r="C233" s="15"/>
      <c r="D233" s="15"/>
      <c r="E233" s="11"/>
      <c r="F233" s="41"/>
      <c r="G233" s="41"/>
      <c r="H233" s="41"/>
      <c r="I233" s="41"/>
      <c r="J233" s="41"/>
      <c r="K233" s="41"/>
      <c r="L233" s="41"/>
      <c r="M233" s="41"/>
      <c r="N233" s="41"/>
      <c r="O233" s="41"/>
      <c r="P233" s="41"/>
      <c r="Q233" s="51"/>
    </row>
    <row r="234" spans="1:17" x14ac:dyDescent="0.25">
      <c r="A234" s="7"/>
      <c r="B234" s="15"/>
      <c r="C234" s="15"/>
      <c r="D234" s="15"/>
      <c r="E234" s="11"/>
      <c r="F234" s="41"/>
      <c r="G234" s="41"/>
      <c r="H234" s="41"/>
      <c r="I234" s="41"/>
      <c r="J234" s="41"/>
      <c r="K234" s="41"/>
      <c r="L234" s="41"/>
      <c r="M234" s="41"/>
      <c r="N234" s="41"/>
      <c r="O234" s="41"/>
      <c r="P234" s="41"/>
      <c r="Q234" s="51"/>
    </row>
    <row r="235" spans="1:17" x14ac:dyDescent="0.25">
      <c r="A235" s="7"/>
      <c r="B235" s="15"/>
      <c r="C235" s="15"/>
      <c r="D235" s="15"/>
      <c r="E235" s="11"/>
      <c r="F235" s="41"/>
      <c r="G235" s="41"/>
      <c r="H235" s="41"/>
      <c r="I235" s="41"/>
      <c r="J235" s="41"/>
      <c r="K235" s="41"/>
      <c r="L235" s="41"/>
      <c r="M235" s="41"/>
      <c r="N235" s="41"/>
      <c r="O235" s="41"/>
      <c r="P235" s="41"/>
      <c r="Q235" s="51"/>
    </row>
    <row r="236" spans="1:17" x14ac:dyDescent="0.25">
      <c r="A236" s="7"/>
      <c r="B236" s="15"/>
      <c r="C236" s="15"/>
      <c r="D236" s="15"/>
      <c r="E236" s="11"/>
      <c r="F236" s="41"/>
      <c r="G236" s="41"/>
      <c r="H236" s="41"/>
      <c r="I236" s="41"/>
      <c r="J236" s="41"/>
      <c r="K236" s="41"/>
      <c r="L236" s="41"/>
      <c r="M236" s="41"/>
      <c r="N236" s="41"/>
      <c r="O236" s="41"/>
      <c r="P236" s="41"/>
      <c r="Q236" s="51"/>
    </row>
    <row r="237" spans="1:17" x14ac:dyDescent="0.25">
      <c r="A237" s="7"/>
      <c r="B237" s="15"/>
      <c r="C237" s="15"/>
      <c r="D237" s="15"/>
      <c r="E237" s="11"/>
      <c r="F237" s="41"/>
      <c r="G237" s="41"/>
      <c r="H237" s="41"/>
      <c r="I237" s="41"/>
      <c r="J237" s="41"/>
      <c r="K237" s="41"/>
      <c r="L237" s="41"/>
      <c r="M237" s="41"/>
      <c r="N237" s="41"/>
      <c r="O237" s="41"/>
      <c r="P237" s="41"/>
      <c r="Q237" s="51"/>
    </row>
    <row r="238" spans="1:17" x14ac:dyDescent="0.25">
      <c r="A238" s="7"/>
      <c r="B238" s="15"/>
      <c r="C238" s="15"/>
      <c r="D238" s="15"/>
      <c r="E238" s="11"/>
      <c r="F238" s="41"/>
      <c r="G238" s="41"/>
      <c r="H238" s="41"/>
      <c r="I238" s="41"/>
      <c r="J238" s="41"/>
      <c r="K238" s="41"/>
      <c r="L238" s="41"/>
      <c r="M238" s="41"/>
      <c r="N238" s="41"/>
      <c r="O238" s="41"/>
      <c r="P238" s="41"/>
      <c r="Q238" s="51"/>
    </row>
    <row r="239" spans="1:17" x14ac:dyDescent="0.25">
      <c r="A239" s="7"/>
      <c r="B239" s="15"/>
      <c r="C239" s="15"/>
      <c r="D239" s="15"/>
      <c r="E239" s="11"/>
      <c r="F239" s="41"/>
      <c r="G239" s="41"/>
      <c r="H239" s="41"/>
      <c r="I239" s="41"/>
      <c r="J239" s="41"/>
      <c r="K239" s="41"/>
      <c r="L239" s="41"/>
      <c r="M239" s="41"/>
      <c r="N239" s="41"/>
      <c r="O239" s="41"/>
      <c r="P239" s="41"/>
      <c r="Q239" s="51"/>
    </row>
    <row r="240" spans="1:17" x14ac:dyDescent="0.25">
      <c r="A240" s="7"/>
      <c r="B240" s="15"/>
      <c r="C240" s="15"/>
      <c r="D240" s="15"/>
      <c r="E240" s="11"/>
      <c r="F240" s="41"/>
      <c r="G240" s="41"/>
      <c r="H240" s="41"/>
      <c r="I240" s="41"/>
      <c r="J240" s="41"/>
      <c r="K240" s="41"/>
      <c r="L240" s="41"/>
      <c r="M240" s="41"/>
      <c r="N240" s="41"/>
      <c r="O240" s="41"/>
      <c r="P240" s="41"/>
      <c r="Q240" s="51"/>
    </row>
    <row r="241" spans="1:17" x14ac:dyDescent="0.25">
      <c r="A241" s="7"/>
      <c r="B241" s="15"/>
      <c r="C241" s="15"/>
      <c r="D241" s="15"/>
      <c r="E241" s="11"/>
      <c r="F241" s="41"/>
      <c r="G241" s="41"/>
      <c r="H241" s="41"/>
      <c r="I241" s="41"/>
      <c r="J241" s="41"/>
      <c r="K241" s="41"/>
      <c r="L241" s="41"/>
      <c r="M241" s="41"/>
      <c r="N241" s="41"/>
      <c r="O241" s="41"/>
      <c r="P241" s="41"/>
      <c r="Q241" s="51"/>
    </row>
    <row r="242" spans="1:17" x14ac:dyDescent="0.25">
      <c r="A242" s="7"/>
      <c r="B242" s="15"/>
      <c r="C242" s="15"/>
      <c r="D242" s="15"/>
      <c r="E242" s="11"/>
      <c r="F242" s="41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51"/>
    </row>
    <row r="243" spans="1:17" x14ac:dyDescent="0.25">
      <c r="A243" s="7"/>
      <c r="B243" s="15"/>
      <c r="C243" s="15"/>
      <c r="D243" s="15"/>
      <c r="E243" s="11"/>
      <c r="F243" s="41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51"/>
    </row>
    <row r="244" spans="1:17" x14ac:dyDescent="0.25">
      <c r="A244" s="7"/>
      <c r="B244" s="15"/>
      <c r="C244" s="15"/>
      <c r="D244" s="15"/>
      <c r="E244" s="11"/>
      <c r="F244" s="41"/>
      <c r="G244" s="41"/>
      <c r="H244" s="41"/>
      <c r="I244" s="41"/>
      <c r="J244" s="41"/>
      <c r="K244" s="41"/>
      <c r="L244" s="41"/>
      <c r="M244" s="41"/>
      <c r="N244" s="41"/>
      <c r="O244" s="41"/>
      <c r="P244" s="41"/>
      <c r="Q244" s="51"/>
    </row>
    <row r="245" spans="1:17" x14ac:dyDescent="0.25">
      <c r="A245" s="7"/>
      <c r="B245" s="15"/>
      <c r="C245" s="15"/>
      <c r="D245" s="15"/>
      <c r="E245" s="11"/>
      <c r="F245" s="41"/>
      <c r="G245" s="41"/>
      <c r="H245" s="41"/>
      <c r="I245" s="41"/>
      <c r="J245" s="41"/>
      <c r="K245" s="41"/>
      <c r="L245" s="41"/>
      <c r="M245" s="41"/>
      <c r="N245" s="41"/>
      <c r="O245" s="41"/>
      <c r="P245" s="41"/>
      <c r="Q245" s="51"/>
    </row>
    <row r="246" spans="1:17" x14ac:dyDescent="0.25">
      <c r="A246" s="7"/>
      <c r="B246" s="15"/>
      <c r="C246" s="15"/>
      <c r="D246" s="15"/>
      <c r="E246" s="11"/>
      <c r="F246" s="41"/>
      <c r="G246" s="41"/>
      <c r="H246" s="41"/>
      <c r="I246" s="41"/>
      <c r="J246" s="41"/>
      <c r="K246" s="41"/>
      <c r="L246" s="41"/>
      <c r="M246" s="41"/>
      <c r="N246" s="41"/>
      <c r="O246" s="41"/>
      <c r="P246" s="41"/>
      <c r="Q246" s="51"/>
    </row>
    <row r="247" spans="1:17" x14ac:dyDescent="0.25">
      <c r="A247" s="7"/>
      <c r="B247" s="15"/>
      <c r="C247" s="15"/>
      <c r="D247" s="15"/>
      <c r="E247" s="11"/>
      <c r="F247" s="41"/>
      <c r="G247" s="41"/>
      <c r="H247" s="41"/>
      <c r="I247" s="41"/>
      <c r="J247" s="41"/>
      <c r="K247" s="41"/>
      <c r="L247" s="41"/>
      <c r="M247" s="41"/>
      <c r="N247" s="41"/>
      <c r="O247" s="41"/>
      <c r="P247" s="41"/>
      <c r="Q247" s="51"/>
    </row>
    <row r="248" spans="1:17" x14ac:dyDescent="0.25">
      <c r="A248" s="7"/>
      <c r="B248" s="15"/>
      <c r="C248" s="15"/>
      <c r="D248" s="15"/>
      <c r="E248" s="11"/>
      <c r="F248" s="41"/>
      <c r="G248" s="41"/>
      <c r="H248" s="41"/>
      <c r="I248" s="41"/>
      <c r="J248" s="41"/>
      <c r="K248" s="41"/>
      <c r="L248" s="41"/>
      <c r="M248" s="41"/>
      <c r="N248" s="41"/>
      <c r="O248" s="41"/>
      <c r="P248" s="41"/>
      <c r="Q248" s="51"/>
    </row>
    <row r="249" spans="1:17" x14ac:dyDescent="0.25">
      <c r="A249" s="7"/>
      <c r="B249" s="15"/>
      <c r="C249" s="15"/>
      <c r="D249" s="15"/>
      <c r="E249" s="11"/>
      <c r="F249" s="41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51"/>
    </row>
    <row r="250" spans="1:17" x14ac:dyDescent="0.25">
      <c r="A250" s="7"/>
      <c r="B250" s="15"/>
      <c r="C250" s="15"/>
      <c r="D250" s="15"/>
      <c r="E250" s="11"/>
      <c r="F250" s="41"/>
      <c r="G250" s="41"/>
      <c r="H250" s="41"/>
      <c r="I250" s="41"/>
      <c r="J250" s="41"/>
      <c r="K250" s="41"/>
      <c r="L250" s="41"/>
      <c r="M250" s="41"/>
      <c r="N250" s="41"/>
      <c r="O250" s="41"/>
      <c r="P250" s="41"/>
      <c r="Q250" s="51"/>
    </row>
    <row r="251" spans="1:17" x14ac:dyDescent="0.25">
      <c r="A251" s="7"/>
      <c r="B251" s="15"/>
      <c r="C251" s="15"/>
      <c r="D251" s="15"/>
      <c r="E251" s="11"/>
      <c r="F251" s="41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51"/>
    </row>
    <row r="252" spans="1:17" x14ac:dyDescent="0.25">
      <c r="A252" s="7"/>
      <c r="B252" s="15"/>
      <c r="C252" s="15"/>
      <c r="D252" s="15"/>
      <c r="E252" s="11"/>
      <c r="F252" s="41"/>
      <c r="G252" s="41"/>
      <c r="H252" s="41"/>
      <c r="I252" s="41"/>
      <c r="J252" s="41"/>
      <c r="K252" s="41"/>
      <c r="L252" s="41"/>
      <c r="M252" s="41"/>
      <c r="N252" s="41"/>
      <c r="O252" s="41"/>
      <c r="P252" s="41"/>
      <c r="Q252" s="51"/>
    </row>
    <row r="253" spans="1:17" x14ac:dyDescent="0.25">
      <c r="A253" s="7"/>
      <c r="B253" s="15"/>
      <c r="C253" s="15"/>
      <c r="D253" s="15"/>
      <c r="E253" s="11"/>
      <c r="F253" s="41"/>
      <c r="G253" s="41"/>
      <c r="H253" s="41"/>
      <c r="I253" s="41"/>
      <c r="J253" s="41"/>
      <c r="K253" s="41"/>
      <c r="L253" s="41"/>
      <c r="M253" s="41"/>
      <c r="N253" s="41"/>
      <c r="O253" s="41"/>
      <c r="P253" s="41"/>
      <c r="Q253" s="51"/>
    </row>
    <row r="254" spans="1:17" x14ac:dyDescent="0.25">
      <c r="A254" s="7"/>
      <c r="B254" s="15"/>
      <c r="C254" s="15"/>
      <c r="D254" s="15"/>
      <c r="E254" s="11"/>
      <c r="F254" s="41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51"/>
    </row>
    <row r="255" spans="1:17" x14ac:dyDescent="0.25">
      <c r="A255" s="7"/>
      <c r="B255" s="15"/>
      <c r="C255" s="15"/>
      <c r="D255" s="15"/>
      <c r="E255" s="11"/>
      <c r="F255" s="41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51"/>
    </row>
    <row r="256" spans="1:17" x14ac:dyDescent="0.25">
      <c r="A256" s="7"/>
      <c r="B256" s="15"/>
      <c r="C256" s="15"/>
      <c r="D256" s="15"/>
      <c r="E256" s="11"/>
      <c r="F256" s="44"/>
      <c r="G256" s="44"/>
      <c r="H256" s="44"/>
      <c r="I256" s="44"/>
      <c r="J256" s="41"/>
      <c r="K256" s="41"/>
      <c r="L256" s="41"/>
      <c r="M256" s="41"/>
      <c r="N256" s="41"/>
      <c r="O256" s="41"/>
      <c r="P256" s="41"/>
      <c r="Q256" s="51"/>
    </row>
    <row r="257" spans="1:17" x14ac:dyDescent="0.25">
      <c r="A257" s="7"/>
      <c r="B257" s="15"/>
      <c r="C257" s="15"/>
      <c r="D257" s="15"/>
      <c r="E257" s="11"/>
      <c r="F257" s="44"/>
      <c r="G257" s="44"/>
      <c r="H257" s="44"/>
      <c r="I257" s="44"/>
      <c r="J257" s="41"/>
      <c r="K257" s="41"/>
      <c r="L257" s="41"/>
      <c r="M257" s="41"/>
      <c r="N257" s="41"/>
      <c r="O257" s="41"/>
      <c r="P257" s="41"/>
      <c r="Q257" s="51"/>
    </row>
    <row r="258" spans="1:17" x14ac:dyDescent="0.25">
      <c r="A258" s="7"/>
      <c r="B258" s="15"/>
      <c r="C258" s="15"/>
      <c r="D258" s="15"/>
      <c r="E258" s="11"/>
      <c r="F258" s="44"/>
      <c r="G258" s="44"/>
      <c r="H258" s="44"/>
      <c r="I258" s="44"/>
      <c r="J258" s="41"/>
      <c r="K258" s="41"/>
      <c r="L258" s="41"/>
      <c r="M258" s="41"/>
      <c r="N258" s="41"/>
      <c r="O258" s="41"/>
      <c r="P258" s="41"/>
      <c r="Q258" s="51"/>
    </row>
    <row r="259" spans="1:17" x14ac:dyDescent="0.25">
      <c r="A259" s="7"/>
      <c r="B259" s="15"/>
      <c r="C259" s="15"/>
      <c r="D259" s="15"/>
      <c r="E259" s="11"/>
      <c r="F259" s="44"/>
      <c r="G259" s="44"/>
      <c r="H259" s="44"/>
      <c r="I259" s="44"/>
      <c r="J259" s="41"/>
      <c r="K259" s="41"/>
      <c r="L259" s="41"/>
      <c r="M259" s="41"/>
      <c r="N259" s="41"/>
      <c r="O259" s="41"/>
      <c r="P259" s="41"/>
      <c r="Q259" s="51"/>
    </row>
    <row r="260" spans="1:17" x14ac:dyDescent="0.25">
      <c r="A260" s="7"/>
      <c r="B260" s="15"/>
      <c r="C260" s="15"/>
      <c r="D260" s="15"/>
      <c r="E260" s="11"/>
      <c r="F260" s="44"/>
      <c r="G260" s="44"/>
      <c r="H260" s="44"/>
      <c r="I260" s="44"/>
      <c r="J260" s="41"/>
      <c r="K260" s="41"/>
      <c r="L260" s="41"/>
      <c r="M260" s="41"/>
      <c r="N260" s="41"/>
      <c r="O260" s="41"/>
      <c r="P260" s="41"/>
      <c r="Q260" s="51"/>
    </row>
    <row r="261" spans="1:17" x14ac:dyDescent="0.25">
      <c r="A261" s="7"/>
      <c r="B261" s="15"/>
      <c r="C261" s="15"/>
      <c r="D261" s="15"/>
      <c r="E261" s="11"/>
      <c r="F261" s="44"/>
      <c r="G261" s="44"/>
      <c r="H261" s="44"/>
      <c r="I261" s="44"/>
      <c r="J261" s="41"/>
      <c r="K261" s="41"/>
      <c r="L261" s="41"/>
      <c r="M261" s="41"/>
      <c r="N261" s="41"/>
      <c r="O261" s="41"/>
      <c r="P261" s="41"/>
      <c r="Q261" s="51"/>
    </row>
    <row r="262" spans="1:17" x14ac:dyDescent="0.25">
      <c r="A262" s="7"/>
      <c r="B262" s="15"/>
      <c r="C262" s="15"/>
      <c r="D262" s="15"/>
      <c r="E262" s="11"/>
      <c r="F262" s="44"/>
      <c r="G262" s="44"/>
      <c r="H262" s="44"/>
      <c r="I262" s="44"/>
      <c r="J262" s="41"/>
      <c r="K262" s="41"/>
      <c r="L262" s="41"/>
      <c r="M262" s="41"/>
      <c r="N262" s="41"/>
      <c r="O262" s="41"/>
      <c r="P262" s="41"/>
      <c r="Q262" s="51"/>
    </row>
    <row r="263" spans="1:17" x14ac:dyDescent="0.25">
      <c r="A263" s="7"/>
      <c r="B263" s="15"/>
      <c r="C263" s="15"/>
      <c r="D263" s="15"/>
      <c r="E263" s="11"/>
      <c r="F263" s="44"/>
      <c r="G263" s="44"/>
      <c r="H263" s="44"/>
      <c r="I263" s="44"/>
      <c r="J263" s="41"/>
      <c r="K263" s="41"/>
      <c r="L263" s="41"/>
      <c r="M263" s="41"/>
      <c r="N263" s="41"/>
      <c r="O263" s="41"/>
      <c r="P263" s="41"/>
      <c r="Q263" s="51"/>
    </row>
    <row r="264" spans="1:17" x14ac:dyDescent="0.25">
      <c r="A264" s="7"/>
      <c r="B264" s="15"/>
      <c r="C264" s="15"/>
      <c r="D264" s="15"/>
      <c r="E264" s="11"/>
      <c r="F264" s="44"/>
      <c r="G264" s="44"/>
      <c r="H264" s="44"/>
      <c r="I264" s="44"/>
      <c r="J264" s="41"/>
      <c r="K264" s="41"/>
      <c r="L264" s="41"/>
      <c r="M264" s="41"/>
      <c r="N264" s="41"/>
      <c r="O264" s="41"/>
      <c r="P264" s="41"/>
      <c r="Q264" s="51"/>
    </row>
    <row r="265" spans="1:17" x14ac:dyDescent="0.25">
      <c r="A265" s="7"/>
      <c r="B265" s="15"/>
      <c r="C265" s="15"/>
      <c r="D265" s="15"/>
      <c r="E265" s="11"/>
      <c r="F265" s="44"/>
      <c r="G265" s="44"/>
      <c r="H265" s="44"/>
      <c r="I265" s="44"/>
      <c r="J265" s="41"/>
      <c r="K265" s="41"/>
      <c r="L265" s="41"/>
      <c r="M265" s="41"/>
      <c r="N265" s="41"/>
      <c r="O265" s="41"/>
      <c r="P265" s="41"/>
      <c r="Q265" s="51"/>
    </row>
    <row r="266" spans="1:17" x14ac:dyDescent="0.25">
      <c r="A266" s="7"/>
      <c r="B266" s="15"/>
      <c r="C266" s="15"/>
      <c r="D266" s="15"/>
      <c r="E266" s="11"/>
      <c r="F266" s="44"/>
      <c r="G266" s="44"/>
      <c r="H266" s="44"/>
      <c r="I266" s="44"/>
      <c r="J266" s="41"/>
      <c r="K266" s="41"/>
      <c r="L266" s="41"/>
      <c r="M266" s="41"/>
      <c r="N266" s="41"/>
      <c r="O266" s="41"/>
      <c r="P266" s="41"/>
      <c r="Q266" s="51"/>
    </row>
    <row r="267" spans="1:17" x14ac:dyDescent="0.25">
      <c r="A267" s="7"/>
      <c r="B267" s="15"/>
      <c r="C267" s="15"/>
      <c r="D267" s="15"/>
      <c r="E267" s="11"/>
      <c r="F267" s="44"/>
      <c r="G267" s="44"/>
      <c r="H267" s="44"/>
      <c r="I267" s="44"/>
      <c r="J267" s="41"/>
      <c r="K267" s="41"/>
      <c r="L267" s="41"/>
      <c r="M267" s="41"/>
      <c r="N267" s="41"/>
      <c r="O267" s="41"/>
      <c r="P267" s="41"/>
      <c r="Q267" s="51"/>
    </row>
    <row r="268" spans="1:17" x14ac:dyDescent="0.25">
      <c r="A268" s="7"/>
      <c r="B268" s="15"/>
      <c r="C268" s="15"/>
      <c r="D268" s="15"/>
      <c r="E268" s="11"/>
      <c r="F268" s="44"/>
      <c r="G268" s="44"/>
      <c r="H268" s="44"/>
      <c r="I268" s="44"/>
      <c r="J268" s="41"/>
      <c r="K268" s="41"/>
      <c r="L268" s="41"/>
      <c r="M268" s="41"/>
      <c r="N268" s="41"/>
      <c r="O268" s="41"/>
      <c r="P268" s="41"/>
      <c r="Q268" s="51"/>
    </row>
    <row r="269" spans="1:17" x14ac:dyDescent="0.25">
      <c r="A269" s="7"/>
      <c r="B269" s="15"/>
      <c r="C269" s="15"/>
      <c r="D269" s="15"/>
      <c r="E269" s="11"/>
      <c r="F269" s="44"/>
      <c r="G269" s="44"/>
      <c r="H269" s="44"/>
      <c r="I269" s="44"/>
      <c r="J269" s="41"/>
      <c r="K269" s="41"/>
      <c r="L269" s="41"/>
      <c r="M269" s="41"/>
      <c r="N269" s="41"/>
      <c r="O269" s="41"/>
      <c r="P269" s="41"/>
      <c r="Q269" s="51"/>
    </row>
    <row r="270" spans="1:17" x14ac:dyDescent="0.25">
      <c r="A270" s="7"/>
      <c r="B270" s="15"/>
      <c r="C270" s="15"/>
      <c r="D270" s="15"/>
      <c r="E270" s="11"/>
      <c r="F270" s="44"/>
      <c r="G270" s="44"/>
      <c r="H270" s="44"/>
      <c r="I270" s="44"/>
      <c r="J270" s="41"/>
      <c r="K270" s="41"/>
      <c r="L270" s="41"/>
      <c r="M270" s="41"/>
      <c r="N270" s="41"/>
      <c r="O270" s="41"/>
      <c r="P270" s="41"/>
      <c r="Q270" s="51"/>
    </row>
    <row r="271" spans="1:17" x14ac:dyDescent="0.25">
      <c r="A271" s="7"/>
      <c r="B271" s="15"/>
      <c r="C271" s="15"/>
      <c r="D271" s="15"/>
      <c r="E271" s="11"/>
      <c r="F271" s="44"/>
      <c r="G271" s="44"/>
      <c r="H271" s="44"/>
      <c r="I271" s="44"/>
      <c r="J271" s="41"/>
      <c r="K271" s="41"/>
      <c r="L271" s="41"/>
      <c r="M271" s="41"/>
      <c r="N271" s="41"/>
      <c r="O271" s="41"/>
      <c r="P271" s="41"/>
      <c r="Q271" s="51"/>
    </row>
    <row r="272" spans="1:17" x14ac:dyDescent="0.25">
      <c r="A272" s="7"/>
      <c r="B272" s="15"/>
      <c r="C272" s="15"/>
      <c r="D272" s="15"/>
      <c r="E272" s="11"/>
      <c r="F272" s="44"/>
      <c r="G272" s="44"/>
      <c r="H272" s="44"/>
      <c r="I272" s="44"/>
      <c r="J272" s="41"/>
      <c r="K272" s="41"/>
      <c r="L272" s="41"/>
      <c r="M272" s="41"/>
      <c r="N272" s="41"/>
      <c r="O272" s="41"/>
      <c r="P272" s="41"/>
      <c r="Q272" s="51"/>
    </row>
    <row r="273" spans="1:17" x14ac:dyDescent="0.25">
      <c r="A273" s="7"/>
      <c r="B273" s="15"/>
      <c r="C273" s="15"/>
      <c r="D273" s="15"/>
      <c r="E273" s="11"/>
      <c r="F273" s="44"/>
      <c r="G273" s="44"/>
      <c r="H273" s="44"/>
      <c r="I273" s="44"/>
      <c r="J273" s="41"/>
      <c r="K273" s="41"/>
      <c r="L273" s="41"/>
      <c r="M273" s="41"/>
      <c r="N273" s="41"/>
      <c r="O273" s="41"/>
      <c r="P273" s="41"/>
      <c r="Q273" s="51"/>
    </row>
    <row r="274" spans="1:17" x14ac:dyDescent="0.25">
      <c r="A274" s="7"/>
      <c r="B274" s="15"/>
      <c r="C274" s="15"/>
      <c r="D274" s="15"/>
      <c r="E274" s="11"/>
      <c r="F274" s="44"/>
      <c r="G274" s="44"/>
      <c r="H274" s="44"/>
      <c r="I274" s="44"/>
      <c r="J274" s="41"/>
      <c r="K274" s="41"/>
      <c r="L274" s="41"/>
      <c r="M274" s="41"/>
      <c r="N274" s="41"/>
      <c r="O274" s="41"/>
      <c r="P274" s="41"/>
      <c r="Q274" s="51"/>
    </row>
    <row r="275" spans="1:17" x14ac:dyDescent="0.25">
      <c r="A275" s="7"/>
      <c r="B275" s="15"/>
      <c r="C275" s="15"/>
      <c r="D275" s="15"/>
      <c r="E275" s="11"/>
      <c r="F275" s="44"/>
      <c r="G275" s="44"/>
      <c r="H275" s="44"/>
      <c r="I275" s="44"/>
      <c r="J275" s="41"/>
      <c r="K275" s="41"/>
      <c r="L275" s="41"/>
      <c r="M275" s="41"/>
      <c r="N275" s="41"/>
      <c r="O275" s="41"/>
      <c r="P275" s="41"/>
      <c r="Q275" s="51"/>
    </row>
    <row r="276" spans="1:17" x14ac:dyDescent="0.25">
      <c r="A276" s="7"/>
      <c r="B276" s="15"/>
      <c r="C276" s="15"/>
      <c r="D276" s="15"/>
      <c r="E276" s="11"/>
      <c r="F276" s="44"/>
      <c r="G276" s="44"/>
      <c r="H276" s="44"/>
      <c r="I276" s="44"/>
      <c r="J276" s="41"/>
      <c r="K276" s="41"/>
      <c r="L276" s="41"/>
      <c r="M276" s="41"/>
      <c r="N276" s="41"/>
      <c r="O276" s="41"/>
      <c r="P276" s="41"/>
      <c r="Q276" s="51"/>
    </row>
    <row r="277" spans="1:17" x14ac:dyDescent="0.25">
      <c r="A277" s="7"/>
      <c r="B277" s="15"/>
      <c r="C277" s="15"/>
      <c r="D277" s="15"/>
      <c r="E277" s="11"/>
      <c r="F277" s="44"/>
      <c r="G277" s="44"/>
      <c r="H277" s="44"/>
      <c r="I277" s="44"/>
      <c r="J277" s="41"/>
      <c r="K277" s="41"/>
      <c r="L277" s="41"/>
      <c r="M277" s="41"/>
      <c r="N277" s="41"/>
      <c r="O277" s="41"/>
      <c r="P277" s="41"/>
      <c r="Q277" s="51"/>
    </row>
    <row r="278" spans="1:17" x14ac:dyDescent="0.25">
      <c r="A278" s="7"/>
      <c r="B278" s="15"/>
      <c r="C278" s="15"/>
      <c r="D278" s="15"/>
      <c r="E278" s="11"/>
      <c r="F278" s="44"/>
      <c r="G278" s="44"/>
      <c r="H278" s="44"/>
      <c r="I278" s="44"/>
      <c r="J278" s="41"/>
      <c r="K278" s="41"/>
      <c r="L278" s="41"/>
      <c r="M278" s="41"/>
      <c r="N278" s="41"/>
      <c r="O278" s="41"/>
      <c r="P278" s="41"/>
      <c r="Q278" s="51"/>
    </row>
    <row r="279" spans="1:17" x14ac:dyDescent="0.25">
      <c r="A279" s="7"/>
      <c r="B279" s="15"/>
      <c r="C279" s="15"/>
      <c r="D279" s="15"/>
      <c r="E279" s="11"/>
      <c r="F279" s="44"/>
      <c r="G279" s="44"/>
      <c r="H279" s="44"/>
      <c r="I279" s="44"/>
      <c r="J279" s="41"/>
      <c r="K279" s="41"/>
      <c r="L279" s="41"/>
      <c r="M279" s="41"/>
      <c r="N279" s="41"/>
      <c r="O279" s="41"/>
      <c r="P279" s="41"/>
      <c r="Q279" s="51"/>
    </row>
    <row r="280" spans="1:17" x14ac:dyDescent="0.25">
      <c r="A280" s="7"/>
      <c r="B280" s="15"/>
      <c r="C280" s="15"/>
      <c r="D280" s="15"/>
      <c r="E280" s="11"/>
      <c r="F280" s="44"/>
      <c r="G280" s="44"/>
      <c r="H280" s="44"/>
      <c r="I280" s="44"/>
      <c r="J280" s="41"/>
      <c r="K280" s="41"/>
      <c r="L280" s="41"/>
      <c r="M280" s="41"/>
      <c r="N280" s="41"/>
      <c r="O280" s="41"/>
      <c r="P280" s="41"/>
      <c r="Q280" s="51"/>
    </row>
    <row r="281" spans="1:17" x14ac:dyDescent="0.25">
      <c r="A281" s="7"/>
      <c r="B281" s="15"/>
      <c r="C281" s="15"/>
      <c r="D281" s="15"/>
      <c r="E281" s="11"/>
      <c r="F281" s="44"/>
      <c r="G281" s="44"/>
      <c r="H281" s="44"/>
      <c r="I281" s="44"/>
      <c r="J281" s="41"/>
      <c r="K281" s="41"/>
      <c r="L281" s="41"/>
      <c r="M281" s="41"/>
      <c r="N281" s="41"/>
      <c r="O281" s="41"/>
      <c r="P281" s="41"/>
      <c r="Q281" s="51"/>
    </row>
    <row r="282" spans="1:17" x14ac:dyDescent="0.25">
      <c r="A282" s="7"/>
      <c r="B282" s="15"/>
      <c r="C282" s="15"/>
      <c r="D282" s="15"/>
      <c r="E282" s="11"/>
      <c r="F282" s="44"/>
      <c r="G282" s="44"/>
      <c r="H282" s="44"/>
      <c r="I282" s="44"/>
      <c r="J282" s="41"/>
      <c r="K282" s="41"/>
      <c r="L282" s="41"/>
      <c r="M282" s="41"/>
      <c r="N282" s="41"/>
      <c r="O282" s="41"/>
      <c r="P282" s="41"/>
      <c r="Q282" s="51"/>
    </row>
    <row r="283" spans="1:17" x14ac:dyDescent="0.25">
      <c r="A283" s="7"/>
      <c r="B283" s="15"/>
      <c r="C283" s="15"/>
      <c r="D283" s="15"/>
      <c r="E283" s="11"/>
      <c r="F283" s="44"/>
      <c r="G283" s="44"/>
      <c r="H283" s="44"/>
      <c r="I283" s="44"/>
      <c r="J283" s="41"/>
      <c r="K283" s="41"/>
      <c r="L283" s="41"/>
      <c r="M283" s="41"/>
      <c r="N283" s="41"/>
      <c r="O283" s="41"/>
      <c r="P283" s="41"/>
      <c r="Q283" s="51"/>
    </row>
    <row r="284" spans="1:17" x14ac:dyDescent="0.25">
      <c r="A284" s="7"/>
      <c r="B284" s="15"/>
      <c r="C284" s="15"/>
      <c r="D284" s="15"/>
      <c r="E284" s="11"/>
      <c r="F284" s="44"/>
      <c r="G284" s="44"/>
      <c r="H284" s="44"/>
      <c r="I284" s="44"/>
      <c r="J284" s="41"/>
      <c r="K284" s="41"/>
      <c r="L284" s="41"/>
      <c r="M284" s="41"/>
      <c r="N284" s="41"/>
      <c r="O284" s="41"/>
      <c r="P284" s="41"/>
      <c r="Q284" s="51"/>
    </row>
    <row r="285" spans="1:17" x14ac:dyDescent="0.25">
      <c r="A285" s="7"/>
      <c r="B285" s="15"/>
      <c r="C285" s="15"/>
      <c r="D285" s="15"/>
      <c r="E285" s="11"/>
      <c r="F285" s="44"/>
      <c r="G285" s="44"/>
      <c r="H285" s="44"/>
      <c r="I285" s="44"/>
      <c r="J285" s="41"/>
      <c r="K285" s="41"/>
      <c r="L285" s="41"/>
      <c r="M285" s="41"/>
      <c r="N285" s="41"/>
      <c r="O285" s="41"/>
      <c r="P285" s="41"/>
      <c r="Q285" s="51"/>
    </row>
    <row r="286" spans="1:17" x14ac:dyDescent="0.25">
      <c r="A286" s="7"/>
      <c r="B286" s="15"/>
      <c r="C286" s="15"/>
      <c r="D286" s="15"/>
      <c r="E286" s="11"/>
      <c r="F286" s="44"/>
      <c r="G286" s="44"/>
      <c r="H286" s="44"/>
      <c r="I286" s="44"/>
      <c r="J286" s="41"/>
      <c r="K286" s="41"/>
      <c r="L286" s="41"/>
      <c r="M286" s="41"/>
      <c r="N286" s="41"/>
      <c r="O286" s="41"/>
      <c r="P286" s="41"/>
      <c r="Q286" s="51"/>
    </row>
    <row r="287" spans="1:17" x14ac:dyDescent="0.25">
      <c r="A287" s="7"/>
      <c r="B287" s="15"/>
      <c r="C287" s="15"/>
      <c r="D287" s="15"/>
      <c r="E287" s="11"/>
      <c r="F287" s="44"/>
      <c r="G287" s="44"/>
      <c r="H287" s="44"/>
      <c r="I287" s="44"/>
      <c r="J287" s="41"/>
      <c r="K287" s="41"/>
      <c r="L287" s="41"/>
      <c r="M287" s="41"/>
      <c r="N287" s="41"/>
      <c r="O287" s="41"/>
      <c r="P287" s="41"/>
      <c r="Q287" s="51"/>
    </row>
    <row r="288" spans="1:17" x14ac:dyDescent="0.25">
      <c r="A288" s="7"/>
      <c r="B288" s="15"/>
      <c r="C288" s="15"/>
      <c r="D288" s="15"/>
      <c r="E288" s="11"/>
      <c r="F288" s="44"/>
      <c r="G288" s="44"/>
      <c r="H288" s="44"/>
      <c r="I288" s="44"/>
      <c r="J288" s="41"/>
      <c r="K288" s="41"/>
      <c r="L288" s="41"/>
      <c r="M288" s="41"/>
      <c r="N288" s="41"/>
      <c r="O288" s="41"/>
      <c r="P288" s="41"/>
      <c r="Q288" s="51"/>
    </row>
    <row r="289" spans="1:17" x14ac:dyDescent="0.25">
      <c r="A289" s="7"/>
      <c r="B289" s="15"/>
      <c r="C289" s="15"/>
      <c r="D289" s="15"/>
      <c r="E289" s="11"/>
      <c r="F289" s="44"/>
      <c r="G289" s="44"/>
      <c r="H289" s="44"/>
      <c r="I289" s="44"/>
      <c r="J289" s="41"/>
      <c r="K289" s="41"/>
      <c r="L289" s="41"/>
      <c r="M289" s="41"/>
      <c r="N289" s="41"/>
      <c r="O289" s="41"/>
      <c r="P289" s="41"/>
      <c r="Q289" s="51"/>
    </row>
    <row r="290" spans="1:17" x14ac:dyDescent="0.25">
      <c r="A290" s="7"/>
      <c r="B290" s="15"/>
      <c r="C290" s="15"/>
      <c r="D290" s="15"/>
      <c r="E290" s="11"/>
      <c r="F290" s="44"/>
      <c r="G290" s="44"/>
      <c r="H290" s="44"/>
      <c r="I290" s="44"/>
      <c r="J290" s="41"/>
      <c r="K290" s="41"/>
      <c r="L290" s="41"/>
      <c r="M290" s="41"/>
      <c r="N290" s="41"/>
      <c r="O290" s="41"/>
      <c r="P290" s="41"/>
      <c r="Q290" s="51"/>
    </row>
    <row r="291" spans="1:17" x14ac:dyDescent="0.25">
      <c r="A291" s="7"/>
      <c r="B291" s="15"/>
      <c r="C291" s="15"/>
      <c r="D291" s="15"/>
      <c r="E291" s="11"/>
      <c r="F291" s="44"/>
      <c r="G291" s="44"/>
      <c r="H291" s="44"/>
      <c r="I291" s="44"/>
      <c r="J291" s="41"/>
      <c r="K291" s="41"/>
      <c r="L291" s="41"/>
      <c r="M291" s="41"/>
      <c r="N291" s="41"/>
      <c r="O291" s="41"/>
      <c r="P291" s="41"/>
      <c r="Q291" s="51"/>
    </row>
    <row r="292" spans="1:17" x14ac:dyDescent="0.25">
      <c r="A292" s="7"/>
      <c r="B292" s="15"/>
      <c r="C292" s="15"/>
      <c r="D292" s="15"/>
      <c r="E292" s="11"/>
      <c r="F292" s="44"/>
      <c r="G292" s="44"/>
      <c r="H292" s="44"/>
      <c r="I292" s="44"/>
      <c r="J292" s="41"/>
      <c r="K292" s="41"/>
      <c r="L292" s="41"/>
      <c r="M292" s="41"/>
      <c r="N292" s="41"/>
      <c r="O292" s="41"/>
      <c r="P292" s="41"/>
      <c r="Q292" s="51"/>
    </row>
    <row r="293" spans="1:17" x14ac:dyDescent="0.25">
      <c r="A293" s="7"/>
      <c r="B293" s="15"/>
      <c r="C293" s="15"/>
      <c r="D293" s="15"/>
      <c r="E293" s="11"/>
      <c r="F293" s="44"/>
      <c r="G293" s="44"/>
      <c r="H293" s="44"/>
      <c r="I293" s="44"/>
      <c r="J293" s="41"/>
      <c r="K293" s="41"/>
      <c r="L293" s="41"/>
      <c r="M293" s="41"/>
      <c r="N293" s="41"/>
      <c r="O293" s="41"/>
      <c r="P293" s="41"/>
      <c r="Q293" s="51"/>
    </row>
    <row r="294" spans="1:17" x14ac:dyDescent="0.25">
      <c r="A294" s="7"/>
      <c r="B294" s="15"/>
      <c r="C294" s="15"/>
      <c r="D294" s="15"/>
      <c r="E294" s="11"/>
      <c r="F294" s="44"/>
      <c r="G294" s="44"/>
      <c r="H294" s="44"/>
      <c r="I294" s="44"/>
      <c r="J294" s="41"/>
      <c r="K294" s="41"/>
      <c r="L294" s="41"/>
      <c r="M294" s="41"/>
      <c r="N294" s="41"/>
      <c r="O294" s="41"/>
      <c r="P294" s="41"/>
      <c r="Q294" s="51"/>
    </row>
    <row r="295" spans="1:17" x14ac:dyDescent="0.25">
      <c r="A295" s="7"/>
      <c r="B295" s="15"/>
      <c r="C295" s="15"/>
      <c r="D295" s="15"/>
      <c r="E295" s="11"/>
      <c r="F295" s="44"/>
      <c r="G295" s="44"/>
      <c r="H295" s="44"/>
      <c r="I295" s="44"/>
      <c r="J295" s="41"/>
      <c r="K295" s="41"/>
      <c r="L295" s="41"/>
      <c r="M295" s="41"/>
      <c r="N295" s="41"/>
      <c r="O295" s="41"/>
      <c r="P295" s="41"/>
      <c r="Q295" s="51"/>
    </row>
    <row r="296" spans="1:17" x14ac:dyDescent="0.25">
      <c r="A296" s="7"/>
      <c r="B296" s="15"/>
      <c r="C296" s="15"/>
      <c r="D296" s="15"/>
      <c r="E296" s="11"/>
      <c r="F296" s="44"/>
      <c r="G296" s="44"/>
      <c r="H296" s="44"/>
      <c r="I296" s="44"/>
      <c r="J296" s="41"/>
      <c r="K296" s="41"/>
      <c r="L296" s="41"/>
      <c r="M296" s="41"/>
      <c r="N296" s="41"/>
      <c r="O296" s="41"/>
      <c r="P296" s="41"/>
      <c r="Q296" s="51"/>
    </row>
    <row r="297" spans="1:17" x14ac:dyDescent="0.25">
      <c r="A297" s="7"/>
      <c r="B297" s="15"/>
      <c r="C297" s="15"/>
      <c r="D297" s="15"/>
      <c r="E297" s="11"/>
      <c r="F297" s="44"/>
      <c r="G297" s="44"/>
      <c r="H297" s="44"/>
      <c r="I297" s="44"/>
      <c r="J297" s="41"/>
      <c r="K297" s="41"/>
      <c r="L297" s="41"/>
      <c r="M297" s="41"/>
      <c r="N297" s="41"/>
      <c r="O297" s="41"/>
      <c r="P297" s="41"/>
      <c r="Q297" s="51"/>
    </row>
    <row r="298" spans="1:17" x14ac:dyDescent="0.25">
      <c r="A298" s="7"/>
      <c r="B298" s="15"/>
      <c r="C298" s="15"/>
      <c r="D298" s="15"/>
      <c r="E298" s="11"/>
      <c r="F298" s="44"/>
      <c r="G298" s="44"/>
      <c r="H298" s="44"/>
      <c r="I298" s="44"/>
      <c r="J298" s="41"/>
      <c r="K298" s="41"/>
      <c r="L298" s="41"/>
      <c r="M298" s="41"/>
      <c r="N298" s="41"/>
      <c r="O298" s="41"/>
      <c r="P298" s="41"/>
      <c r="Q298" s="51"/>
    </row>
    <row r="299" spans="1:17" x14ac:dyDescent="0.25">
      <c r="A299" s="7"/>
      <c r="B299" s="15"/>
      <c r="C299" s="15"/>
      <c r="D299" s="15"/>
      <c r="E299" s="11"/>
      <c r="F299" s="44"/>
      <c r="G299" s="44"/>
      <c r="H299" s="44"/>
      <c r="I299" s="44"/>
      <c r="J299" s="41"/>
      <c r="K299" s="41"/>
      <c r="L299" s="41"/>
      <c r="M299" s="41"/>
      <c r="N299" s="41"/>
      <c r="O299" s="41"/>
      <c r="P299" s="41"/>
      <c r="Q299" s="51"/>
    </row>
    <row r="300" spans="1:17" x14ac:dyDescent="0.25">
      <c r="A300" s="7"/>
      <c r="B300" s="15"/>
      <c r="C300" s="15"/>
      <c r="D300" s="15"/>
      <c r="E300" s="11"/>
      <c r="F300" s="44"/>
      <c r="G300" s="44"/>
      <c r="H300" s="44"/>
      <c r="I300" s="44"/>
      <c r="J300" s="41"/>
      <c r="K300" s="41"/>
      <c r="L300" s="41"/>
      <c r="M300" s="41"/>
      <c r="N300" s="41"/>
      <c r="O300" s="41"/>
      <c r="P300" s="41"/>
      <c r="Q300" s="51"/>
    </row>
    <row r="301" spans="1:17" x14ac:dyDescent="0.25">
      <c r="A301" s="7"/>
      <c r="B301" s="15"/>
      <c r="C301" s="15"/>
      <c r="D301" s="15"/>
      <c r="E301" s="11"/>
      <c r="F301" s="44"/>
      <c r="G301" s="44"/>
      <c r="H301" s="44"/>
      <c r="I301" s="44"/>
      <c r="J301" s="41"/>
      <c r="K301" s="41"/>
      <c r="L301" s="41"/>
      <c r="M301" s="41"/>
      <c r="N301" s="41"/>
      <c r="O301" s="41"/>
      <c r="P301" s="41"/>
      <c r="Q301" s="51"/>
    </row>
    <row r="302" spans="1:17" x14ac:dyDescent="0.25">
      <c r="A302" s="7"/>
      <c r="B302" s="15"/>
      <c r="C302" s="15"/>
      <c r="D302" s="15"/>
      <c r="E302" s="11"/>
      <c r="F302" s="44"/>
      <c r="G302" s="44"/>
      <c r="H302" s="44"/>
      <c r="I302" s="44"/>
      <c r="J302" s="41"/>
      <c r="K302" s="41"/>
      <c r="L302" s="41"/>
      <c r="M302" s="41"/>
      <c r="N302" s="41"/>
      <c r="O302" s="41"/>
      <c r="P302" s="41"/>
      <c r="Q302" s="51"/>
    </row>
    <row r="303" spans="1:17" x14ac:dyDescent="0.25">
      <c r="A303" s="7"/>
      <c r="B303" s="15"/>
      <c r="C303" s="15"/>
      <c r="D303" s="15"/>
      <c r="E303" s="11"/>
      <c r="F303" s="44"/>
      <c r="G303" s="44"/>
      <c r="H303" s="44"/>
      <c r="I303" s="44"/>
      <c r="J303" s="41"/>
      <c r="K303" s="41"/>
      <c r="L303" s="41"/>
      <c r="M303" s="41"/>
      <c r="N303" s="41"/>
      <c r="O303" s="41"/>
      <c r="P303" s="41"/>
      <c r="Q303" s="51"/>
    </row>
    <row r="304" spans="1:17" x14ac:dyDescent="0.25">
      <c r="A304" s="7"/>
      <c r="B304" s="15"/>
      <c r="C304" s="15"/>
      <c r="D304" s="15"/>
      <c r="E304" s="11"/>
      <c r="F304" s="44"/>
      <c r="G304" s="44"/>
      <c r="H304" s="44"/>
      <c r="I304" s="44"/>
      <c r="J304" s="41"/>
      <c r="K304" s="41"/>
      <c r="L304" s="41"/>
      <c r="M304" s="41"/>
      <c r="N304" s="41"/>
      <c r="O304" s="41"/>
      <c r="P304" s="41"/>
      <c r="Q304" s="51"/>
    </row>
    <row r="305" spans="1:17" x14ac:dyDescent="0.25">
      <c r="A305" s="7"/>
      <c r="B305" s="15"/>
      <c r="C305" s="15"/>
      <c r="D305" s="15"/>
      <c r="E305" s="11"/>
      <c r="F305" s="44"/>
      <c r="G305" s="44"/>
      <c r="H305" s="44"/>
      <c r="I305" s="44"/>
      <c r="J305" s="41"/>
      <c r="K305" s="41"/>
      <c r="L305" s="41"/>
      <c r="M305" s="41"/>
      <c r="N305" s="41"/>
      <c r="O305" s="41"/>
      <c r="P305" s="41"/>
      <c r="Q305" s="51"/>
    </row>
    <row r="306" spans="1:17" x14ac:dyDescent="0.25">
      <c r="A306" s="7"/>
      <c r="B306" s="15"/>
      <c r="C306" s="15"/>
      <c r="D306" s="15"/>
      <c r="E306" s="11"/>
      <c r="F306" s="44"/>
      <c r="G306" s="44"/>
      <c r="H306" s="44"/>
      <c r="I306" s="44"/>
      <c r="J306" s="41"/>
      <c r="K306" s="41"/>
      <c r="L306" s="41"/>
      <c r="M306" s="41"/>
      <c r="N306" s="41"/>
      <c r="O306" s="41"/>
      <c r="P306" s="41"/>
      <c r="Q306" s="51"/>
    </row>
    <row r="307" spans="1:17" x14ac:dyDescent="0.25">
      <c r="A307" s="7"/>
      <c r="B307" s="15"/>
      <c r="C307" s="15"/>
      <c r="D307" s="15"/>
      <c r="E307" s="11"/>
      <c r="F307" s="44"/>
      <c r="G307" s="44"/>
      <c r="H307" s="44"/>
      <c r="I307" s="44"/>
      <c r="J307" s="41"/>
      <c r="K307" s="41"/>
      <c r="L307" s="41"/>
      <c r="M307" s="41"/>
      <c r="N307" s="41"/>
      <c r="O307" s="41"/>
      <c r="P307" s="41"/>
      <c r="Q307" s="51"/>
    </row>
    <row r="308" spans="1:17" x14ac:dyDescent="0.25">
      <c r="A308" s="7"/>
      <c r="B308" s="15"/>
      <c r="C308" s="15"/>
      <c r="D308" s="15"/>
      <c r="E308" s="11"/>
      <c r="F308" s="44"/>
      <c r="G308" s="44"/>
      <c r="H308" s="44"/>
      <c r="I308" s="44"/>
      <c r="J308" s="41"/>
      <c r="K308" s="41"/>
      <c r="L308" s="41"/>
      <c r="M308" s="41"/>
      <c r="N308" s="41"/>
      <c r="O308" s="41"/>
      <c r="P308" s="41"/>
      <c r="Q308" s="51"/>
    </row>
    <row r="309" spans="1:17" x14ac:dyDescent="0.25">
      <c r="A309" s="7"/>
      <c r="B309" s="15"/>
      <c r="C309" s="15"/>
      <c r="D309" s="15"/>
      <c r="E309" s="11"/>
      <c r="F309" s="44"/>
      <c r="G309" s="44"/>
      <c r="H309" s="44"/>
      <c r="I309" s="44"/>
      <c r="J309" s="41"/>
      <c r="K309" s="41"/>
      <c r="L309" s="41"/>
      <c r="M309" s="41"/>
      <c r="N309" s="41"/>
      <c r="O309" s="41"/>
      <c r="P309" s="41"/>
      <c r="Q309" s="51"/>
    </row>
    <row r="310" spans="1:17" x14ac:dyDescent="0.25">
      <c r="A310" s="7"/>
      <c r="B310" s="15"/>
      <c r="C310" s="15"/>
      <c r="D310" s="15"/>
      <c r="E310" s="11"/>
      <c r="F310" s="44"/>
      <c r="G310" s="44"/>
      <c r="H310" s="44"/>
      <c r="I310" s="44"/>
      <c r="J310" s="41"/>
      <c r="K310" s="41"/>
      <c r="L310" s="41"/>
      <c r="M310" s="41"/>
      <c r="N310" s="41"/>
      <c r="O310" s="41"/>
      <c r="P310" s="41"/>
      <c r="Q310" s="51"/>
    </row>
    <row r="311" spans="1:17" x14ac:dyDescent="0.25">
      <c r="A311" s="7"/>
      <c r="B311" s="15"/>
      <c r="C311" s="15"/>
      <c r="D311" s="15"/>
      <c r="E311" s="11"/>
      <c r="F311" s="44"/>
      <c r="G311" s="44"/>
      <c r="H311" s="44"/>
      <c r="I311" s="44"/>
      <c r="J311" s="41"/>
      <c r="K311" s="41"/>
      <c r="L311" s="41"/>
      <c r="M311" s="41"/>
      <c r="N311" s="41"/>
      <c r="O311" s="41"/>
      <c r="P311" s="41"/>
      <c r="Q311" s="51"/>
    </row>
    <row r="312" spans="1:17" x14ac:dyDescent="0.25">
      <c r="A312" s="7"/>
      <c r="B312" s="15"/>
      <c r="C312" s="15"/>
      <c r="D312" s="15"/>
      <c r="E312" s="11"/>
      <c r="F312" s="44"/>
      <c r="G312" s="44"/>
      <c r="H312" s="44"/>
      <c r="I312" s="44"/>
      <c r="J312" s="41"/>
      <c r="K312" s="41"/>
      <c r="L312" s="41"/>
      <c r="M312" s="41"/>
      <c r="N312" s="41"/>
      <c r="O312" s="41"/>
      <c r="P312" s="41"/>
      <c r="Q312" s="51"/>
    </row>
    <row r="313" spans="1:17" x14ac:dyDescent="0.25">
      <c r="A313" s="7"/>
      <c r="B313" s="15"/>
      <c r="C313" s="15"/>
      <c r="D313" s="15"/>
      <c r="E313" s="11"/>
      <c r="F313" s="44"/>
      <c r="G313" s="44"/>
      <c r="H313" s="44"/>
      <c r="I313" s="44"/>
      <c r="J313" s="41"/>
      <c r="K313" s="41"/>
      <c r="L313" s="41"/>
      <c r="M313" s="41"/>
      <c r="N313" s="41"/>
      <c r="O313" s="41"/>
      <c r="P313" s="41"/>
      <c r="Q313" s="51"/>
    </row>
    <row r="314" spans="1:17" x14ac:dyDescent="0.25">
      <c r="A314" s="7"/>
      <c r="B314" s="15"/>
      <c r="C314" s="15"/>
      <c r="D314" s="15"/>
      <c r="E314" s="11"/>
      <c r="F314" s="44"/>
      <c r="G314" s="44"/>
      <c r="H314" s="44"/>
      <c r="I314" s="44"/>
      <c r="J314" s="41"/>
      <c r="K314" s="41"/>
      <c r="L314" s="41"/>
      <c r="M314" s="41"/>
      <c r="N314" s="41"/>
      <c r="O314" s="41"/>
      <c r="P314" s="41"/>
      <c r="Q314" s="51"/>
    </row>
    <row r="315" spans="1:17" x14ac:dyDescent="0.25">
      <c r="A315" s="7"/>
      <c r="B315" s="15"/>
      <c r="C315" s="15"/>
      <c r="D315" s="15"/>
      <c r="E315" s="11"/>
      <c r="F315" s="44"/>
      <c r="G315" s="44"/>
      <c r="H315" s="44"/>
      <c r="I315" s="44"/>
      <c r="J315" s="41"/>
      <c r="K315" s="41"/>
      <c r="L315" s="41"/>
      <c r="M315" s="41"/>
      <c r="N315" s="41"/>
      <c r="O315" s="41"/>
      <c r="P315" s="41"/>
      <c r="Q315" s="51"/>
    </row>
    <row r="316" spans="1:17" x14ac:dyDescent="0.25">
      <c r="A316" s="7"/>
      <c r="B316" s="15"/>
      <c r="C316" s="15"/>
      <c r="D316" s="15"/>
      <c r="E316" s="11"/>
      <c r="F316" s="44"/>
      <c r="G316" s="44"/>
      <c r="H316" s="44"/>
      <c r="I316" s="44"/>
      <c r="J316" s="41"/>
      <c r="K316" s="41"/>
      <c r="L316" s="41"/>
      <c r="M316" s="41"/>
      <c r="N316" s="41"/>
      <c r="O316" s="41"/>
      <c r="P316" s="41"/>
      <c r="Q316" s="51"/>
    </row>
    <row r="317" spans="1:17" x14ac:dyDescent="0.25">
      <c r="A317" s="7"/>
      <c r="B317" s="15"/>
      <c r="C317" s="15"/>
      <c r="D317" s="15"/>
      <c r="E317" s="11"/>
      <c r="F317" s="44"/>
      <c r="G317" s="44"/>
      <c r="H317" s="44"/>
      <c r="I317" s="44"/>
      <c r="J317" s="41"/>
      <c r="K317" s="41"/>
      <c r="L317" s="41"/>
      <c r="M317" s="41"/>
      <c r="N317" s="41"/>
      <c r="O317" s="41"/>
      <c r="P317" s="41"/>
      <c r="Q317" s="51"/>
    </row>
    <row r="318" spans="1:17" x14ac:dyDescent="0.25">
      <c r="A318" s="7"/>
      <c r="B318" s="15"/>
      <c r="C318" s="15"/>
      <c r="D318" s="15"/>
      <c r="E318" s="11"/>
      <c r="F318" s="44"/>
      <c r="G318" s="44"/>
      <c r="H318" s="44"/>
      <c r="I318" s="44"/>
      <c r="J318" s="41"/>
      <c r="K318" s="41"/>
      <c r="L318" s="41"/>
      <c r="M318" s="41"/>
      <c r="N318" s="41"/>
      <c r="O318" s="41"/>
      <c r="P318" s="41"/>
      <c r="Q318" s="51"/>
    </row>
    <row r="319" spans="1:17" x14ac:dyDescent="0.25">
      <c r="A319" s="7"/>
      <c r="B319" s="15"/>
      <c r="C319" s="15"/>
      <c r="D319" s="15"/>
      <c r="E319" s="11"/>
      <c r="F319" s="44"/>
      <c r="G319" s="44"/>
      <c r="H319" s="44"/>
      <c r="I319" s="44"/>
      <c r="J319" s="41"/>
      <c r="K319" s="41"/>
      <c r="L319" s="41"/>
      <c r="M319" s="41"/>
      <c r="N319" s="41"/>
      <c r="O319" s="41"/>
      <c r="P319" s="41"/>
      <c r="Q319" s="51"/>
    </row>
    <row r="320" spans="1:17" x14ac:dyDescent="0.25">
      <c r="A320" s="7"/>
      <c r="B320" s="15"/>
      <c r="C320" s="15"/>
      <c r="D320" s="15"/>
      <c r="E320" s="11"/>
      <c r="F320" s="44"/>
      <c r="G320" s="44"/>
      <c r="H320" s="44"/>
      <c r="I320" s="44"/>
      <c r="J320" s="41"/>
      <c r="K320" s="41"/>
      <c r="L320" s="41"/>
      <c r="M320" s="41"/>
      <c r="N320" s="41"/>
      <c r="O320" s="41"/>
      <c r="P320" s="41"/>
      <c r="Q320" s="51"/>
    </row>
    <row r="321" spans="1:17" x14ac:dyDescent="0.25">
      <c r="A321" s="7"/>
      <c r="B321" s="15"/>
      <c r="C321" s="15"/>
      <c r="D321" s="15"/>
      <c r="E321" s="11"/>
      <c r="F321" s="44"/>
      <c r="G321" s="44"/>
      <c r="H321" s="44"/>
      <c r="I321" s="44"/>
      <c r="J321" s="41"/>
      <c r="K321" s="41"/>
      <c r="L321" s="41"/>
      <c r="M321" s="41"/>
      <c r="N321" s="41"/>
      <c r="O321" s="41"/>
      <c r="P321" s="41"/>
      <c r="Q321" s="51"/>
    </row>
    <row r="322" spans="1:17" x14ac:dyDescent="0.25">
      <c r="A322" s="7"/>
      <c r="B322" s="15"/>
      <c r="C322" s="15"/>
      <c r="D322" s="15"/>
      <c r="E322" s="11"/>
      <c r="F322" s="44"/>
      <c r="G322" s="44"/>
      <c r="H322" s="44"/>
      <c r="I322" s="44"/>
      <c r="J322" s="41"/>
      <c r="K322" s="41"/>
      <c r="L322" s="41"/>
      <c r="M322" s="41"/>
      <c r="N322" s="41"/>
      <c r="O322" s="41"/>
      <c r="P322" s="41"/>
      <c r="Q322" s="51"/>
    </row>
    <row r="323" spans="1:17" x14ac:dyDescent="0.25">
      <c r="A323" s="7"/>
      <c r="B323" s="15"/>
      <c r="C323" s="15"/>
      <c r="D323" s="15"/>
      <c r="E323" s="11"/>
      <c r="F323" s="44"/>
      <c r="G323" s="44"/>
      <c r="H323" s="44"/>
      <c r="I323" s="44"/>
      <c r="J323" s="41"/>
      <c r="K323" s="41"/>
      <c r="L323" s="41"/>
      <c r="M323" s="41"/>
      <c r="N323" s="41"/>
      <c r="O323" s="41"/>
      <c r="P323" s="41"/>
      <c r="Q323" s="51"/>
    </row>
    <row r="324" spans="1:17" x14ac:dyDescent="0.25">
      <c r="A324" s="7"/>
      <c r="B324" s="15"/>
      <c r="C324" s="15"/>
      <c r="D324" s="15"/>
      <c r="E324" s="11"/>
      <c r="F324" s="44"/>
      <c r="G324" s="44"/>
      <c r="H324" s="44"/>
      <c r="I324" s="44"/>
      <c r="J324" s="41"/>
      <c r="K324" s="41"/>
      <c r="L324" s="41"/>
      <c r="M324" s="41"/>
      <c r="N324" s="41"/>
      <c r="O324" s="41"/>
      <c r="P324" s="41"/>
      <c r="Q324" s="51"/>
    </row>
    <row r="325" spans="1:17" x14ac:dyDescent="0.25">
      <c r="A325" s="7"/>
      <c r="B325" s="15"/>
      <c r="C325" s="15"/>
      <c r="D325" s="15"/>
      <c r="E325" s="11"/>
      <c r="F325" s="44"/>
      <c r="G325" s="44"/>
      <c r="H325" s="44"/>
      <c r="I325" s="44"/>
      <c r="J325" s="41"/>
      <c r="K325" s="41"/>
      <c r="L325" s="41"/>
      <c r="M325" s="41"/>
      <c r="N325" s="41"/>
      <c r="O325" s="41"/>
      <c r="P325" s="41"/>
      <c r="Q325" s="51"/>
    </row>
    <row r="326" spans="1:17" x14ac:dyDescent="0.25">
      <c r="A326" s="7"/>
      <c r="B326" s="15"/>
      <c r="C326" s="15"/>
      <c r="D326" s="15"/>
      <c r="E326" s="11"/>
      <c r="F326" s="44"/>
      <c r="G326" s="44"/>
      <c r="H326" s="44"/>
      <c r="I326" s="44"/>
      <c r="J326" s="41"/>
      <c r="K326" s="41"/>
      <c r="L326" s="41"/>
      <c r="M326" s="41"/>
      <c r="N326" s="41"/>
      <c r="O326" s="41"/>
      <c r="P326" s="41"/>
      <c r="Q326" s="51"/>
    </row>
    <row r="327" spans="1:17" x14ac:dyDescent="0.25">
      <c r="A327" s="7"/>
      <c r="B327" s="15"/>
      <c r="C327" s="15"/>
      <c r="D327" s="15"/>
      <c r="E327" s="11"/>
      <c r="F327" s="44"/>
      <c r="G327" s="44"/>
      <c r="H327" s="44"/>
      <c r="I327" s="44"/>
      <c r="J327" s="41"/>
      <c r="K327" s="41"/>
      <c r="L327" s="41"/>
      <c r="M327" s="41"/>
      <c r="N327" s="41"/>
      <c r="O327" s="41"/>
      <c r="P327" s="41"/>
      <c r="Q327" s="51"/>
    </row>
    <row r="328" spans="1:17" x14ac:dyDescent="0.25">
      <c r="A328" s="7"/>
      <c r="B328" s="15"/>
      <c r="C328" s="15"/>
      <c r="D328" s="15"/>
      <c r="E328" s="11"/>
      <c r="F328" s="44"/>
      <c r="G328" s="44"/>
      <c r="H328" s="44"/>
      <c r="I328" s="44"/>
      <c r="J328" s="41"/>
      <c r="K328" s="41"/>
      <c r="L328" s="41"/>
      <c r="M328" s="41"/>
      <c r="N328" s="41"/>
      <c r="O328" s="41"/>
      <c r="P328" s="41"/>
      <c r="Q328" s="51"/>
    </row>
    <row r="329" spans="1:17" x14ac:dyDescent="0.25">
      <c r="A329" s="7"/>
      <c r="B329" s="15"/>
      <c r="C329" s="15"/>
      <c r="D329" s="15"/>
      <c r="E329" s="11"/>
      <c r="F329" s="44"/>
      <c r="G329" s="44"/>
      <c r="H329" s="44"/>
      <c r="I329" s="44"/>
      <c r="J329" s="41"/>
      <c r="K329" s="41"/>
      <c r="L329" s="41"/>
      <c r="M329" s="41"/>
      <c r="N329" s="41"/>
      <c r="O329" s="41"/>
      <c r="P329" s="41"/>
      <c r="Q329" s="51"/>
    </row>
    <row r="330" spans="1:17" x14ac:dyDescent="0.25">
      <c r="A330" s="7"/>
      <c r="B330" s="15"/>
      <c r="C330" s="15"/>
      <c r="D330" s="15"/>
      <c r="E330" s="11"/>
      <c r="F330" s="44"/>
      <c r="G330" s="44"/>
      <c r="H330" s="44"/>
      <c r="I330" s="44"/>
      <c r="J330" s="41"/>
      <c r="K330" s="41"/>
      <c r="L330" s="41"/>
      <c r="M330" s="41"/>
      <c r="N330" s="41"/>
      <c r="O330" s="41"/>
      <c r="P330" s="41"/>
      <c r="Q330" s="51"/>
    </row>
    <row r="331" spans="1:17" x14ac:dyDescent="0.25">
      <c r="A331" s="7"/>
      <c r="B331" s="15"/>
      <c r="C331" s="15"/>
      <c r="D331" s="15"/>
      <c r="E331" s="11"/>
      <c r="F331" s="44"/>
      <c r="G331" s="44"/>
      <c r="H331" s="44"/>
      <c r="I331" s="44"/>
      <c r="J331" s="41"/>
      <c r="K331" s="41"/>
      <c r="L331" s="41"/>
      <c r="M331" s="41"/>
      <c r="N331" s="41"/>
      <c r="O331" s="41"/>
      <c r="P331" s="41"/>
      <c r="Q331" s="51"/>
    </row>
    <row r="332" spans="1:17" x14ac:dyDescent="0.25">
      <c r="A332" s="7"/>
      <c r="B332" s="15"/>
      <c r="C332" s="15"/>
      <c r="D332" s="15"/>
      <c r="E332" s="11"/>
      <c r="F332" s="44"/>
      <c r="G332" s="44"/>
      <c r="H332" s="44"/>
      <c r="I332" s="44"/>
      <c r="J332" s="41"/>
      <c r="K332" s="41"/>
      <c r="L332" s="41"/>
      <c r="M332" s="41"/>
      <c r="N332" s="41"/>
      <c r="O332" s="41"/>
      <c r="P332" s="41"/>
      <c r="Q332" s="51"/>
    </row>
    <row r="333" spans="1:17" x14ac:dyDescent="0.25">
      <c r="A333" s="7"/>
      <c r="B333" s="15"/>
      <c r="C333" s="15"/>
      <c r="D333" s="15"/>
      <c r="E333" s="11"/>
      <c r="F333" s="44"/>
      <c r="G333" s="44"/>
      <c r="H333" s="44"/>
      <c r="I333" s="44"/>
      <c r="J333" s="41"/>
      <c r="K333" s="41"/>
      <c r="L333" s="41"/>
      <c r="M333" s="41"/>
      <c r="N333" s="41"/>
      <c r="O333" s="41"/>
      <c r="P333" s="41"/>
      <c r="Q333" s="51"/>
    </row>
    <row r="334" spans="1:17" x14ac:dyDescent="0.25">
      <c r="A334" s="7"/>
      <c r="B334" s="15"/>
      <c r="C334" s="15"/>
      <c r="D334" s="15"/>
      <c r="E334" s="11"/>
      <c r="F334" s="44"/>
      <c r="G334" s="44"/>
      <c r="H334" s="44"/>
      <c r="I334" s="44"/>
      <c r="J334" s="41"/>
      <c r="K334" s="41"/>
      <c r="L334" s="41"/>
      <c r="M334" s="41"/>
      <c r="N334" s="41"/>
      <c r="O334" s="41"/>
      <c r="P334" s="41"/>
      <c r="Q334" s="51"/>
    </row>
    <row r="335" spans="1:17" x14ac:dyDescent="0.25">
      <c r="A335" s="7"/>
      <c r="B335" s="15"/>
      <c r="C335" s="15"/>
      <c r="D335" s="15"/>
      <c r="E335" s="11"/>
      <c r="F335" s="44"/>
      <c r="G335" s="44"/>
      <c r="H335" s="44"/>
      <c r="I335" s="44"/>
      <c r="J335" s="41"/>
      <c r="K335" s="41"/>
      <c r="L335" s="41"/>
      <c r="M335" s="41"/>
      <c r="N335" s="41"/>
      <c r="O335" s="41"/>
      <c r="P335" s="41"/>
      <c r="Q335" s="51"/>
    </row>
    <row r="336" spans="1:17" x14ac:dyDescent="0.25">
      <c r="A336" s="7"/>
      <c r="B336" s="15"/>
      <c r="C336" s="15"/>
      <c r="D336" s="15"/>
      <c r="E336" s="11"/>
      <c r="F336" s="44"/>
      <c r="G336" s="44"/>
      <c r="H336" s="44"/>
      <c r="I336" s="44"/>
      <c r="J336" s="41"/>
      <c r="K336" s="41"/>
      <c r="L336" s="41"/>
      <c r="M336" s="41"/>
      <c r="N336" s="41"/>
      <c r="O336" s="41"/>
      <c r="P336" s="41"/>
      <c r="Q336" s="51"/>
    </row>
    <row r="337" spans="1:17" x14ac:dyDescent="0.25">
      <c r="A337" s="7"/>
      <c r="B337" s="15"/>
      <c r="C337" s="15"/>
      <c r="D337" s="15"/>
      <c r="E337" s="11"/>
      <c r="F337" s="44"/>
      <c r="G337" s="44"/>
      <c r="H337" s="44"/>
      <c r="I337" s="44"/>
      <c r="J337" s="41"/>
      <c r="K337" s="41"/>
      <c r="L337" s="41"/>
      <c r="M337" s="41"/>
      <c r="N337" s="41"/>
      <c r="O337" s="41"/>
      <c r="P337" s="41"/>
      <c r="Q337" s="51"/>
    </row>
    <row r="338" spans="1:17" x14ac:dyDescent="0.25">
      <c r="A338" s="7"/>
      <c r="B338" s="15"/>
      <c r="C338" s="15"/>
      <c r="D338" s="15"/>
      <c r="E338" s="11"/>
      <c r="F338" s="44"/>
      <c r="G338" s="44"/>
      <c r="H338" s="44"/>
      <c r="I338" s="44"/>
      <c r="J338" s="41"/>
      <c r="K338" s="41"/>
      <c r="L338" s="41"/>
      <c r="M338" s="41"/>
      <c r="N338" s="41"/>
      <c r="O338" s="41"/>
      <c r="P338" s="41"/>
      <c r="Q338" s="51"/>
    </row>
    <row r="339" spans="1:17" x14ac:dyDescent="0.25">
      <c r="A339" s="7"/>
      <c r="B339" s="15"/>
      <c r="C339" s="15"/>
      <c r="D339" s="15"/>
      <c r="E339" s="11"/>
      <c r="F339" s="44"/>
      <c r="G339" s="44"/>
      <c r="H339" s="44"/>
      <c r="I339" s="44"/>
      <c r="J339" s="41"/>
      <c r="K339" s="41"/>
      <c r="L339" s="41"/>
      <c r="M339" s="41"/>
      <c r="N339" s="41"/>
      <c r="O339" s="41"/>
      <c r="P339" s="41"/>
      <c r="Q339" s="51"/>
    </row>
    <row r="340" spans="1:17" x14ac:dyDescent="0.25">
      <c r="A340" s="7"/>
      <c r="B340" s="15"/>
      <c r="C340" s="15"/>
      <c r="D340" s="15"/>
      <c r="E340" s="11"/>
      <c r="F340" s="44"/>
      <c r="G340" s="44"/>
      <c r="H340" s="44"/>
      <c r="I340" s="44"/>
      <c r="J340" s="41"/>
      <c r="K340" s="41"/>
      <c r="L340" s="41"/>
      <c r="M340" s="41"/>
      <c r="N340" s="41"/>
      <c r="O340" s="41"/>
      <c r="P340" s="41"/>
      <c r="Q340" s="51"/>
    </row>
    <row r="341" spans="1:17" x14ac:dyDescent="0.25">
      <c r="A341" s="7"/>
      <c r="B341" s="15"/>
      <c r="C341" s="15"/>
      <c r="D341" s="15"/>
      <c r="E341" s="11"/>
      <c r="F341" s="44"/>
      <c r="G341" s="44"/>
      <c r="H341" s="44"/>
      <c r="I341" s="44"/>
      <c r="J341" s="41"/>
      <c r="K341" s="41"/>
      <c r="L341" s="41"/>
      <c r="M341" s="41"/>
      <c r="N341" s="41"/>
      <c r="O341" s="41"/>
      <c r="P341" s="41"/>
      <c r="Q341" s="51"/>
    </row>
    <row r="342" spans="1:17" x14ac:dyDescent="0.25">
      <c r="A342" s="7"/>
      <c r="B342" s="15"/>
      <c r="C342" s="15"/>
      <c r="D342" s="15"/>
      <c r="E342" s="11"/>
      <c r="F342" s="44"/>
      <c r="G342" s="44"/>
      <c r="H342" s="44"/>
      <c r="I342" s="44"/>
      <c r="J342" s="41"/>
      <c r="K342" s="41"/>
      <c r="L342" s="41"/>
      <c r="M342" s="41"/>
      <c r="N342" s="41"/>
      <c r="O342" s="41"/>
      <c r="P342" s="41"/>
      <c r="Q342" s="51"/>
    </row>
    <row r="343" spans="1:17" x14ac:dyDescent="0.25">
      <c r="A343" s="7"/>
      <c r="B343" s="15"/>
      <c r="C343" s="15"/>
      <c r="D343" s="15"/>
      <c r="E343" s="11"/>
      <c r="F343" s="44"/>
      <c r="G343" s="44"/>
      <c r="H343" s="44"/>
      <c r="I343" s="44"/>
      <c r="J343" s="41"/>
      <c r="K343" s="41"/>
      <c r="L343" s="41"/>
      <c r="M343" s="41"/>
      <c r="N343" s="41"/>
      <c r="O343" s="41"/>
      <c r="P343" s="41"/>
      <c r="Q343" s="51"/>
    </row>
    <row r="344" spans="1:17" x14ac:dyDescent="0.25">
      <c r="A344" s="7"/>
      <c r="B344" s="15"/>
      <c r="C344" s="15"/>
      <c r="D344" s="15"/>
      <c r="E344" s="11"/>
      <c r="F344" s="44"/>
      <c r="G344" s="44"/>
      <c r="H344" s="44"/>
      <c r="I344" s="44"/>
      <c r="J344" s="41"/>
      <c r="K344" s="41"/>
      <c r="L344" s="41"/>
      <c r="M344" s="41"/>
      <c r="N344" s="41"/>
      <c r="O344" s="41"/>
      <c r="P344" s="41"/>
      <c r="Q344" s="51"/>
    </row>
    <row r="345" spans="1:17" x14ac:dyDescent="0.25">
      <c r="A345" s="7"/>
      <c r="B345" s="15"/>
      <c r="C345" s="15"/>
      <c r="D345" s="15"/>
      <c r="E345" s="11"/>
      <c r="F345" s="44"/>
      <c r="G345" s="44"/>
      <c r="H345" s="44"/>
      <c r="I345" s="44"/>
      <c r="J345" s="41"/>
      <c r="K345" s="41"/>
      <c r="L345" s="41"/>
      <c r="M345" s="41"/>
      <c r="N345" s="41"/>
      <c r="O345" s="41"/>
      <c r="P345" s="41"/>
      <c r="Q345" s="51"/>
    </row>
    <row r="346" spans="1:17" x14ac:dyDescent="0.25">
      <c r="A346" s="7"/>
      <c r="B346" s="15"/>
      <c r="C346" s="15"/>
      <c r="D346" s="15"/>
      <c r="E346" s="11"/>
      <c r="F346" s="44"/>
      <c r="G346" s="44"/>
      <c r="H346" s="44"/>
      <c r="I346" s="44"/>
      <c r="J346" s="41"/>
      <c r="K346" s="41"/>
      <c r="L346" s="41"/>
      <c r="M346" s="41"/>
      <c r="N346" s="41"/>
      <c r="O346" s="41"/>
      <c r="P346" s="41"/>
      <c r="Q346" s="51"/>
    </row>
    <row r="347" spans="1:17" x14ac:dyDescent="0.25">
      <c r="A347" s="7"/>
      <c r="B347" s="15"/>
      <c r="C347" s="15"/>
      <c r="D347" s="15"/>
      <c r="E347" s="11"/>
      <c r="F347" s="44"/>
      <c r="G347" s="44"/>
      <c r="H347" s="44"/>
      <c r="I347" s="44"/>
      <c r="J347" s="41"/>
      <c r="K347" s="41"/>
      <c r="L347" s="41"/>
      <c r="M347" s="41"/>
      <c r="N347" s="41"/>
      <c r="O347" s="41"/>
      <c r="P347" s="41"/>
      <c r="Q347" s="51"/>
    </row>
    <row r="348" spans="1:17" x14ac:dyDescent="0.25">
      <c r="A348" s="7"/>
      <c r="B348" s="15"/>
      <c r="C348" s="15"/>
      <c r="D348" s="15"/>
      <c r="E348" s="11"/>
      <c r="F348" s="44"/>
      <c r="G348" s="44"/>
      <c r="H348" s="44"/>
      <c r="I348" s="44"/>
      <c r="J348" s="41"/>
      <c r="K348" s="41"/>
      <c r="L348" s="41"/>
      <c r="M348" s="41"/>
      <c r="N348" s="41"/>
      <c r="O348" s="41"/>
      <c r="P348" s="41"/>
      <c r="Q348" s="51"/>
    </row>
    <row r="349" spans="1:17" x14ac:dyDescent="0.25">
      <c r="A349" s="7"/>
      <c r="B349" s="15"/>
      <c r="C349" s="15"/>
      <c r="D349" s="15"/>
      <c r="E349" s="11"/>
      <c r="F349" s="44"/>
      <c r="G349" s="44"/>
      <c r="H349" s="44"/>
      <c r="I349" s="44"/>
      <c r="J349" s="41"/>
      <c r="K349" s="41"/>
      <c r="L349" s="41"/>
      <c r="M349" s="41"/>
      <c r="N349" s="41"/>
      <c r="O349" s="41"/>
      <c r="P349" s="41"/>
      <c r="Q349" s="51"/>
    </row>
    <row r="350" spans="1:17" x14ac:dyDescent="0.25">
      <c r="A350" s="7"/>
      <c r="B350" s="15"/>
      <c r="C350" s="15"/>
      <c r="D350" s="15"/>
      <c r="E350" s="11"/>
      <c r="F350" s="44"/>
      <c r="G350" s="44"/>
      <c r="H350" s="44"/>
      <c r="I350" s="44"/>
      <c r="J350" s="41"/>
      <c r="K350" s="41"/>
      <c r="L350" s="41"/>
      <c r="M350" s="41"/>
      <c r="N350" s="41"/>
      <c r="O350" s="41"/>
      <c r="P350" s="41"/>
      <c r="Q350" s="51"/>
    </row>
    <row r="351" spans="1:17" x14ac:dyDescent="0.25">
      <c r="A351" s="7"/>
      <c r="B351" s="15"/>
      <c r="C351" s="15"/>
      <c r="D351" s="15"/>
      <c r="E351" s="11"/>
      <c r="F351" s="44"/>
      <c r="G351" s="44"/>
      <c r="H351" s="44"/>
      <c r="I351" s="44"/>
      <c r="J351" s="41"/>
      <c r="K351" s="41"/>
      <c r="L351" s="41"/>
      <c r="M351" s="41"/>
      <c r="N351" s="41"/>
      <c r="O351" s="41"/>
      <c r="P351" s="41"/>
      <c r="Q351" s="51"/>
    </row>
    <row r="352" spans="1:17" x14ac:dyDescent="0.25">
      <c r="A352" s="7"/>
      <c r="B352" s="15"/>
      <c r="C352" s="15"/>
      <c r="D352" s="15"/>
      <c r="E352" s="11"/>
      <c r="F352" s="44"/>
      <c r="G352" s="44"/>
      <c r="H352" s="44"/>
      <c r="I352" s="44"/>
      <c r="J352" s="41"/>
      <c r="K352" s="41"/>
      <c r="L352" s="41"/>
      <c r="M352" s="41"/>
      <c r="N352" s="41"/>
      <c r="O352" s="41"/>
      <c r="P352" s="41"/>
      <c r="Q352" s="51"/>
    </row>
    <row r="353" spans="1:17" x14ac:dyDescent="0.25">
      <c r="A353" s="7"/>
      <c r="B353" s="15"/>
      <c r="C353" s="15"/>
      <c r="D353" s="15"/>
      <c r="E353" s="11"/>
      <c r="F353" s="44"/>
      <c r="G353" s="44"/>
      <c r="H353" s="44"/>
      <c r="I353" s="44"/>
      <c r="J353" s="41"/>
      <c r="K353" s="41"/>
      <c r="L353" s="41"/>
      <c r="M353" s="41"/>
      <c r="N353" s="41"/>
      <c r="O353" s="41"/>
      <c r="P353" s="41"/>
      <c r="Q353" s="51"/>
    </row>
    <row r="354" spans="1:17" x14ac:dyDescent="0.25">
      <c r="A354" s="7"/>
      <c r="B354" s="15"/>
      <c r="C354" s="15"/>
      <c r="D354" s="15"/>
      <c r="E354" s="11"/>
      <c r="F354" s="44"/>
      <c r="G354" s="44"/>
      <c r="H354" s="44"/>
      <c r="I354" s="44"/>
      <c r="J354" s="41"/>
      <c r="K354" s="41"/>
      <c r="L354" s="41"/>
      <c r="M354" s="41"/>
      <c r="N354" s="41"/>
      <c r="O354" s="41"/>
      <c r="P354" s="41"/>
      <c r="Q354" s="51"/>
    </row>
    <row r="355" spans="1:17" x14ac:dyDescent="0.25">
      <c r="A355" s="7"/>
      <c r="B355" s="15"/>
      <c r="C355" s="15"/>
      <c r="D355" s="15"/>
      <c r="E355" s="11"/>
      <c r="F355" s="44"/>
      <c r="G355" s="44"/>
      <c r="H355" s="44"/>
      <c r="I355" s="44"/>
      <c r="J355" s="41"/>
      <c r="K355" s="41"/>
      <c r="L355" s="41"/>
      <c r="M355" s="41"/>
      <c r="N355" s="41"/>
      <c r="O355" s="41"/>
      <c r="P355" s="41"/>
      <c r="Q355" s="51"/>
    </row>
    <row r="356" spans="1:17" x14ac:dyDescent="0.25">
      <c r="A356" s="7"/>
      <c r="B356" s="15"/>
      <c r="C356" s="15"/>
      <c r="D356" s="15"/>
      <c r="E356" s="11"/>
      <c r="F356" s="44"/>
      <c r="G356" s="44"/>
      <c r="H356" s="44"/>
      <c r="I356" s="44"/>
      <c r="J356" s="41"/>
      <c r="K356" s="41"/>
      <c r="L356" s="41"/>
      <c r="M356" s="41"/>
      <c r="N356" s="41"/>
      <c r="O356" s="41"/>
      <c r="P356" s="41"/>
      <c r="Q356" s="51"/>
    </row>
    <row r="357" spans="1:17" x14ac:dyDescent="0.25">
      <c r="A357" s="7"/>
      <c r="B357" s="15"/>
      <c r="C357" s="15"/>
      <c r="D357" s="15"/>
      <c r="E357" s="11"/>
      <c r="F357" s="44"/>
      <c r="G357" s="44"/>
      <c r="H357" s="44"/>
      <c r="I357" s="44"/>
      <c r="J357" s="41"/>
      <c r="K357" s="41"/>
      <c r="L357" s="41"/>
      <c r="M357" s="41"/>
      <c r="N357" s="41"/>
      <c r="O357" s="41"/>
      <c r="P357" s="41"/>
      <c r="Q357" s="51"/>
    </row>
    <row r="358" spans="1:17" x14ac:dyDescent="0.25">
      <c r="A358" s="7"/>
      <c r="B358" s="15"/>
      <c r="C358" s="15"/>
      <c r="D358" s="15"/>
      <c r="E358" s="11"/>
      <c r="F358" s="44"/>
      <c r="G358" s="44"/>
      <c r="H358" s="44"/>
      <c r="I358" s="44"/>
      <c r="J358" s="41"/>
      <c r="K358" s="41"/>
      <c r="L358" s="41"/>
      <c r="M358" s="41"/>
      <c r="N358" s="41"/>
      <c r="O358" s="41"/>
      <c r="P358" s="41"/>
      <c r="Q358" s="51"/>
    </row>
    <row r="359" spans="1:17" x14ac:dyDescent="0.25">
      <c r="A359" s="7"/>
      <c r="B359" s="15"/>
      <c r="C359" s="15"/>
      <c r="D359" s="15"/>
      <c r="E359" s="11"/>
      <c r="F359" s="44"/>
      <c r="G359" s="44"/>
      <c r="H359" s="44"/>
      <c r="I359" s="44"/>
      <c r="J359" s="41"/>
      <c r="K359" s="41"/>
      <c r="L359" s="41"/>
      <c r="M359" s="41"/>
      <c r="N359" s="41"/>
      <c r="O359" s="41"/>
      <c r="P359" s="41"/>
      <c r="Q359" s="51"/>
    </row>
    <row r="360" spans="1:17" x14ac:dyDescent="0.25">
      <c r="A360" s="7"/>
      <c r="B360" s="15"/>
      <c r="C360" s="15"/>
      <c r="D360" s="15"/>
      <c r="E360" s="11"/>
      <c r="F360" s="44"/>
      <c r="G360" s="44"/>
      <c r="H360" s="44"/>
      <c r="I360" s="44"/>
      <c r="J360" s="41"/>
      <c r="K360" s="41"/>
      <c r="L360" s="41"/>
      <c r="M360" s="41"/>
      <c r="N360" s="41"/>
      <c r="O360" s="41"/>
      <c r="P360" s="41"/>
      <c r="Q360" s="51"/>
    </row>
    <row r="361" spans="1:17" x14ac:dyDescent="0.25">
      <c r="A361" s="7"/>
      <c r="B361" s="15"/>
      <c r="C361" s="15"/>
      <c r="D361" s="15"/>
      <c r="E361" s="11"/>
      <c r="F361" s="44"/>
      <c r="G361" s="44"/>
      <c r="H361" s="44"/>
      <c r="I361" s="44"/>
      <c r="J361" s="41"/>
      <c r="K361" s="41"/>
      <c r="L361" s="41"/>
      <c r="M361" s="41"/>
      <c r="N361" s="41"/>
      <c r="O361" s="41"/>
      <c r="P361" s="41"/>
      <c r="Q361" s="51"/>
    </row>
    <row r="362" spans="1:17" x14ac:dyDescent="0.25">
      <c r="A362" s="7"/>
      <c r="B362" s="15"/>
      <c r="C362" s="15"/>
      <c r="D362" s="15"/>
      <c r="E362" s="11"/>
      <c r="F362" s="44"/>
      <c r="G362" s="44"/>
      <c r="H362" s="44"/>
      <c r="I362" s="44"/>
      <c r="J362" s="41"/>
      <c r="K362" s="41"/>
      <c r="L362" s="41"/>
      <c r="M362" s="41"/>
      <c r="N362" s="41"/>
      <c r="O362" s="41"/>
      <c r="P362" s="41"/>
      <c r="Q362" s="51"/>
    </row>
    <row r="363" spans="1:17" x14ac:dyDescent="0.25">
      <c r="A363" s="7"/>
      <c r="B363" s="15"/>
      <c r="C363" s="15"/>
      <c r="D363" s="15"/>
      <c r="E363" s="11"/>
      <c r="F363" s="44"/>
      <c r="G363" s="44"/>
      <c r="H363" s="44"/>
      <c r="I363" s="44"/>
      <c r="J363" s="41"/>
      <c r="K363" s="41"/>
      <c r="L363" s="41"/>
      <c r="M363" s="41"/>
      <c r="N363" s="41"/>
      <c r="O363" s="41"/>
      <c r="P363" s="41"/>
      <c r="Q363" s="51"/>
    </row>
    <row r="364" spans="1:17" x14ac:dyDescent="0.25">
      <c r="A364" s="7"/>
      <c r="B364" s="15"/>
      <c r="C364" s="15"/>
      <c r="D364" s="15"/>
      <c r="E364" s="11"/>
      <c r="F364" s="44"/>
      <c r="G364" s="44"/>
      <c r="H364" s="44"/>
      <c r="I364" s="44"/>
      <c r="J364" s="41"/>
      <c r="K364" s="41"/>
      <c r="L364" s="41"/>
      <c r="M364" s="41"/>
      <c r="N364" s="41"/>
      <c r="O364" s="41"/>
      <c r="P364" s="41"/>
      <c r="Q364" s="51"/>
    </row>
    <row r="365" spans="1:17" x14ac:dyDescent="0.25">
      <c r="A365" s="7"/>
      <c r="B365" s="15"/>
      <c r="C365" s="15"/>
      <c r="D365" s="15"/>
      <c r="E365" s="11"/>
      <c r="F365" s="44"/>
      <c r="G365" s="44"/>
      <c r="H365" s="44"/>
      <c r="I365" s="44"/>
      <c r="J365" s="41"/>
      <c r="K365" s="41"/>
      <c r="L365" s="41"/>
      <c r="M365" s="41"/>
      <c r="N365" s="41"/>
      <c r="O365" s="41"/>
      <c r="P365" s="41"/>
      <c r="Q365" s="51"/>
    </row>
    <row r="366" spans="1:17" x14ac:dyDescent="0.25">
      <c r="A366" s="7"/>
      <c r="B366" s="15"/>
      <c r="C366" s="15"/>
      <c r="D366" s="15"/>
      <c r="E366" s="11"/>
      <c r="F366" s="44"/>
      <c r="G366" s="44"/>
      <c r="H366" s="44"/>
      <c r="I366" s="44"/>
      <c r="J366" s="41"/>
      <c r="K366" s="41"/>
      <c r="L366" s="41"/>
      <c r="M366" s="41"/>
      <c r="N366" s="41"/>
      <c r="O366" s="41"/>
      <c r="P366" s="41"/>
      <c r="Q366" s="51"/>
    </row>
    <row r="367" spans="1:17" x14ac:dyDescent="0.25">
      <c r="A367" s="7"/>
      <c r="B367" s="15"/>
      <c r="C367" s="15"/>
      <c r="D367" s="15"/>
      <c r="E367" s="11"/>
      <c r="F367" s="44"/>
      <c r="G367" s="44"/>
      <c r="H367" s="44"/>
      <c r="I367" s="44"/>
      <c r="J367" s="41"/>
      <c r="K367" s="41"/>
      <c r="L367" s="41"/>
      <c r="M367" s="41"/>
      <c r="N367" s="41"/>
      <c r="O367" s="41"/>
      <c r="P367" s="41"/>
      <c r="Q367" s="51"/>
    </row>
    <row r="368" spans="1:17" x14ac:dyDescent="0.25">
      <c r="A368" s="7"/>
      <c r="B368" s="15"/>
      <c r="C368" s="15"/>
      <c r="D368" s="15"/>
      <c r="E368" s="11"/>
      <c r="F368" s="44"/>
      <c r="G368" s="44"/>
      <c r="H368" s="44"/>
      <c r="I368" s="44"/>
      <c r="J368" s="41"/>
      <c r="K368" s="41"/>
      <c r="L368" s="41"/>
      <c r="M368" s="41"/>
      <c r="N368" s="41"/>
      <c r="O368" s="41"/>
      <c r="P368" s="41"/>
      <c r="Q368" s="51"/>
    </row>
    <row r="369" spans="1:17" x14ac:dyDescent="0.25">
      <c r="A369" s="7"/>
      <c r="B369" s="15"/>
      <c r="C369" s="15"/>
      <c r="D369" s="15"/>
      <c r="E369" s="11"/>
      <c r="F369" s="44"/>
      <c r="G369" s="44"/>
      <c r="H369" s="44"/>
      <c r="I369" s="44"/>
      <c r="J369" s="41"/>
      <c r="K369" s="41"/>
      <c r="L369" s="41"/>
      <c r="M369" s="41"/>
      <c r="N369" s="41"/>
      <c r="O369" s="41"/>
      <c r="P369" s="41"/>
      <c r="Q369" s="51"/>
    </row>
    <row r="370" spans="1:17" x14ac:dyDescent="0.25">
      <c r="A370" s="7"/>
      <c r="B370" s="15"/>
      <c r="C370" s="15"/>
      <c r="D370" s="15"/>
      <c r="E370" s="11"/>
      <c r="F370" s="44"/>
      <c r="G370" s="44"/>
      <c r="H370" s="44"/>
      <c r="I370" s="44"/>
      <c r="J370" s="41"/>
      <c r="K370" s="41"/>
      <c r="L370" s="41"/>
      <c r="M370" s="41"/>
      <c r="N370" s="41"/>
      <c r="O370" s="41"/>
      <c r="P370" s="41"/>
      <c r="Q370" s="51"/>
    </row>
    <row r="371" spans="1:17" x14ac:dyDescent="0.25">
      <c r="A371" s="7"/>
      <c r="B371" s="15"/>
      <c r="C371" s="15"/>
      <c r="D371" s="15"/>
      <c r="E371" s="11"/>
      <c r="F371" s="44"/>
      <c r="G371" s="44"/>
      <c r="H371" s="44"/>
      <c r="I371" s="44"/>
      <c r="J371" s="41"/>
      <c r="K371" s="41"/>
      <c r="L371" s="41"/>
      <c r="M371" s="41"/>
      <c r="N371" s="41"/>
      <c r="O371" s="41"/>
      <c r="P371" s="41"/>
      <c r="Q371" s="51"/>
    </row>
    <row r="372" spans="1:17" x14ac:dyDescent="0.25">
      <c r="A372" s="7"/>
      <c r="B372" s="15"/>
      <c r="C372" s="15"/>
      <c r="D372" s="15"/>
      <c r="E372" s="11"/>
      <c r="F372" s="44"/>
      <c r="G372" s="44"/>
      <c r="H372" s="44"/>
      <c r="I372" s="44"/>
      <c r="J372" s="41"/>
      <c r="K372" s="41"/>
      <c r="L372" s="41"/>
      <c r="M372" s="41"/>
      <c r="N372" s="41"/>
      <c r="O372" s="41"/>
      <c r="P372" s="41"/>
      <c r="Q372" s="51"/>
    </row>
    <row r="373" spans="1:17" x14ac:dyDescent="0.25">
      <c r="A373" s="7"/>
      <c r="B373" s="15"/>
      <c r="C373" s="15"/>
      <c r="D373" s="15"/>
      <c r="E373" s="11"/>
      <c r="F373" s="44"/>
      <c r="G373" s="44"/>
      <c r="H373" s="44"/>
      <c r="I373" s="44"/>
      <c r="J373" s="41"/>
      <c r="K373" s="41"/>
      <c r="L373" s="41"/>
      <c r="M373" s="41"/>
      <c r="N373" s="41"/>
      <c r="O373" s="41"/>
      <c r="P373" s="41"/>
      <c r="Q373" s="51"/>
    </row>
    <row r="374" spans="1:17" x14ac:dyDescent="0.25">
      <c r="A374" s="7"/>
      <c r="B374" s="15"/>
      <c r="C374" s="15"/>
      <c r="D374" s="15"/>
      <c r="E374" s="11"/>
      <c r="F374" s="44"/>
      <c r="G374" s="44"/>
      <c r="H374" s="44"/>
      <c r="I374" s="44"/>
      <c r="J374" s="41"/>
      <c r="K374" s="41"/>
      <c r="L374" s="41"/>
      <c r="M374" s="41"/>
      <c r="N374" s="41"/>
      <c r="O374" s="41"/>
      <c r="P374" s="41"/>
      <c r="Q374" s="51"/>
    </row>
    <row r="375" spans="1:17" x14ac:dyDescent="0.25">
      <c r="A375" s="7"/>
      <c r="B375" s="15"/>
      <c r="C375" s="15"/>
      <c r="D375" s="15"/>
      <c r="E375" s="11"/>
      <c r="F375" s="44"/>
      <c r="G375" s="44"/>
      <c r="H375" s="44"/>
      <c r="I375" s="44"/>
      <c r="J375" s="41"/>
      <c r="K375" s="41"/>
      <c r="L375" s="41"/>
      <c r="M375" s="41"/>
      <c r="N375" s="41"/>
      <c r="O375" s="41"/>
      <c r="P375" s="41"/>
      <c r="Q375" s="51"/>
    </row>
    <row r="376" spans="1:17" x14ac:dyDescent="0.25">
      <c r="A376" s="7"/>
      <c r="B376" s="15"/>
      <c r="C376" s="15"/>
      <c r="D376" s="15"/>
      <c r="E376" s="11"/>
      <c r="F376" s="44"/>
      <c r="G376" s="44"/>
      <c r="H376" s="44"/>
      <c r="I376" s="44"/>
      <c r="J376" s="41"/>
      <c r="K376" s="41"/>
      <c r="L376" s="41"/>
      <c r="M376" s="41"/>
      <c r="N376" s="41"/>
      <c r="O376" s="41"/>
      <c r="P376" s="41"/>
      <c r="Q376" s="51"/>
    </row>
    <row r="377" spans="1:17" x14ac:dyDescent="0.25">
      <c r="A377" s="7"/>
      <c r="B377" s="15"/>
      <c r="C377" s="15"/>
      <c r="D377" s="15"/>
      <c r="E377" s="11"/>
      <c r="F377" s="44"/>
      <c r="G377" s="44"/>
      <c r="H377" s="44"/>
      <c r="I377" s="44"/>
      <c r="J377" s="41"/>
      <c r="K377" s="41"/>
      <c r="L377" s="41"/>
      <c r="M377" s="41"/>
      <c r="N377" s="41"/>
      <c r="O377" s="41"/>
      <c r="P377" s="41"/>
      <c r="Q377" s="51"/>
    </row>
    <row r="378" spans="1:17" x14ac:dyDescent="0.25">
      <c r="A378" s="7"/>
      <c r="B378" s="15"/>
      <c r="C378" s="15"/>
      <c r="D378" s="15"/>
      <c r="E378" s="11"/>
      <c r="F378" s="44"/>
      <c r="G378" s="44"/>
      <c r="H378" s="44"/>
      <c r="I378" s="44"/>
      <c r="J378" s="41"/>
      <c r="K378" s="41"/>
      <c r="L378" s="41"/>
      <c r="M378" s="41"/>
      <c r="N378" s="41"/>
      <c r="O378" s="41"/>
      <c r="P378" s="41"/>
      <c r="Q378" s="51"/>
    </row>
    <row r="379" spans="1:17" x14ac:dyDescent="0.25">
      <c r="A379" s="7"/>
      <c r="B379" s="15"/>
      <c r="C379" s="15"/>
      <c r="D379" s="15"/>
      <c r="E379" s="11"/>
      <c r="F379" s="44"/>
      <c r="G379" s="44"/>
      <c r="H379" s="44"/>
      <c r="I379" s="44"/>
      <c r="J379" s="41"/>
      <c r="K379" s="41"/>
      <c r="L379" s="41"/>
      <c r="M379" s="41"/>
      <c r="N379" s="41"/>
      <c r="O379" s="41"/>
      <c r="P379" s="41"/>
      <c r="Q379" s="51"/>
    </row>
    <row r="380" spans="1:17" x14ac:dyDescent="0.25">
      <c r="A380" s="7"/>
      <c r="B380" s="15"/>
      <c r="C380" s="15"/>
      <c r="D380" s="15"/>
      <c r="E380" s="11"/>
      <c r="F380" s="44"/>
      <c r="G380" s="44"/>
      <c r="H380" s="44"/>
      <c r="I380" s="44"/>
      <c r="J380" s="41"/>
      <c r="K380" s="41"/>
      <c r="L380" s="41"/>
      <c r="M380" s="41"/>
      <c r="N380" s="41"/>
      <c r="O380" s="41"/>
      <c r="P380" s="41"/>
      <c r="Q380" s="51"/>
    </row>
    <row r="381" spans="1:17" x14ac:dyDescent="0.25">
      <c r="A381" s="7"/>
      <c r="B381" s="15"/>
      <c r="C381" s="15"/>
      <c r="D381" s="15"/>
      <c r="E381" s="11"/>
      <c r="F381" s="44"/>
      <c r="G381" s="44"/>
      <c r="H381" s="44"/>
      <c r="I381" s="44"/>
      <c r="J381" s="41"/>
      <c r="K381" s="41"/>
      <c r="L381" s="41"/>
      <c r="M381" s="41"/>
      <c r="N381" s="41"/>
      <c r="O381" s="41"/>
      <c r="P381" s="41"/>
      <c r="Q381" s="51"/>
    </row>
    <row r="382" spans="1:17" x14ac:dyDescent="0.25">
      <c r="A382" s="7"/>
      <c r="B382" s="15"/>
      <c r="C382" s="15"/>
      <c r="D382" s="15"/>
      <c r="E382" s="11"/>
      <c r="F382" s="44"/>
      <c r="G382" s="44"/>
      <c r="H382" s="44"/>
      <c r="I382" s="44"/>
      <c r="J382" s="41"/>
      <c r="K382" s="41"/>
      <c r="L382" s="41"/>
      <c r="M382" s="41"/>
      <c r="N382" s="41"/>
      <c r="O382" s="41"/>
      <c r="P382" s="41"/>
      <c r="Q382" s="51"/>
    </row>
    <row r="383" spans="1:17" x14ac:dyDescent="0.25">
      <c r="A383" s="7"/>
      <c r="B383" s="15"/>
      <c r="C383" s="15"/>
      <c r="D383" s="15"/>
      <c r="E383" s="11"/>
      <c r="F383" s="44"/>
      <c r="G383" s="44"/>
      <c r="H383" s="44"/>
      <c r="I383" s="44"/>
      <c r="J383" s="41"/>
      <c r="K383" s="41"/>
      <c r="L383" s="41"/>
      <c r="M383" s="41"/>
      <c r="N383" s="41"/>
      <c r="O383" s="41"/>
      <c r="P383" s="41"/>
      <c r="Q383" s="51"/>
    </row>
    <row r="384" spans="1:17" x14ac:dyDescent="0.25">
      <c r="A384" s="7"/>
      <c r="B384" s="15"/>
      <c r="C384" s="15"/>
      <c r="D384" s="15"/>
      <c r="E384" s="11"/>
      <c r="F384" s="44"/>
      <c r="G384" s="44"/>
      <c r="H384" s="44"/>
      <c r="I384" s="44"/>
      <c r="J384" s="41"/>
      <c r="K384" s="41"/>
      <c r="L384" s="41"/>
      <c r="M384" s="41"/>
      <c r="N384" s="41"/>
      <c r="O384" s="41"/>
      <c r="P384" s="41"/>
      <c r="Q384" s="51"/>
    </row>
    <row r="385" spans="1:17" x14ac:dyDescent="0.25">
      <c r="A385" s="7"/>
      <c r="B385" s="15"/>
      <c r="C385" s="15"/>
      <c r="D385" s="15"/>
      <c r="E385" s="11"/>
      <c r="F385" s="44"/>
      <c r="G385" s="44"/>
      <c r="H385" s="44"/>
      <c r="I385" s="44"/>
      <c r="J385" s="41"/>
      <c r="K385" s="41"/>
      <c r="L385" s="41"/>
      <c r="M385" s="41"/>
      <c r="N385" s="41"/>
      <c r="O385" s="41"/>
      <c r="P385" s="41"/>
      <c r="Q385" s="51"/>
    </row>
    <row r="386" spans="1:17" x14ac:dyDescent="0.25">
      <c r="A386" s="7"/>
      <c r="B386" s="15"/>
      <c r="C386" s="15"/>
      <c r="D386" s="15"/>
      <c r="E386" s="11"/>
      <c r="F386" s="44"/>
      <c r="G386" s="44"/>
      <c r="H386" s="44"/>
      <c r="I386" s="44"/>
      <c r="J386" s="41"/>
      <c r="K386" s="41"/>
      <c r="L386" s="41"/>
      <c r="M386" s="41"/>
      <c r="N386" s="41"/>
      <c r="O386" s="41"/>
      <c r="P386" s="41"/>
      <c r="Q386" s="51"/>
    </row>
    <row r="387" spans="1:17" x14ac:dyDescent="0.25">
      <c r="A387" s="7"/>
      <c r="B387" s="15"/>
      <c r="C387" s="15"/>
      <c r="D387" s="15"/>
      <c r="E387" s="11"/>
      <c r="F387" s="44"/>
      <c r="G387" s="44"/>
      <c r="H387" s="44"/>
      <c r="I387" s="44"/>
      <c r="J387" s="41"/>
      <c r="K387" s="41"/>
      <c r="L387" s="41"/>
      <c r="M387" s="41"/>
      <c r="N387" s="41"/>
      <c r="O387" s="41"/>
      <c r="P387" s="41"/>
      <c r="Q387" s="51"/>
    </row>
    <row r="388" spans="1:17" x14ac:dyDescent="0.25">
      <c r="A388" s="7"/>
      <c r="B388" s="15"/>
      <c r="C388" s="15"/>
      <c r="D388" s="15"/>
      <c r="E388" s="11"/>
      <c r="F388" s="44"/>
      <c r="G388" s="44"/>
      <c r="H388" s="44"/>
      <c r="I388" s="44"/>
      <c r="J388" s="41"/>
      <c r="K388" s="41"/>
      <c r="L388" s="41"/>
      <c r="M388" s="41"/>
      <c r="N388" s="41"/>
      <c r="O388" s="41"/>
      <c r="P388" s="41"/>
      <c r="Q388" s="51"/>
    </row>
    <row r="389" spans="1:17" x14ac:dyDescent="0.25">
      <c r="A389" s="7"/>
      <c r="B389" s="15"/>
      <c r="C389" s="15"/>
      <c r="D389" s="15"/>
      <c r="E389" s="11"/>
      <c r="F389" s="44"/>
      <c r="G389" s="44"/>
      <c r="H389" s="44"/>
      <c r="I389" s="44"/>
      <c r="J389" s="41"/>
      <c r="K389" s="41"/>
      <c r="L389" s="41"/>
      <c r="M389" s="41"/>
      <c r="N389" s="41"/>
      <c r="O389" s="41"/>
      <c r="P389" s="41"/>
      <c r="Q389" s="51"/>
    </row>
    <row r="390" spans="1:17" x14ac:dyDescent="0.25">
      <c r="A390" s="7"/>
      <c r="B390" s="15"/>
      <c r="C390" s="15"/>
      <c r="D390" s="15"/>
      <c r="E390" s="11"/>
      <c r="F390" s="44"/>
      <c r="G390" s="44"/>
      <c r="H390" s="44"/>
      <c r="I390" s="44"/>
      <c r="J390" s="41"/>
      <c r="K390" s="41"/>
      <c r="L390" s="41"/>
      <c r="M390" s="41"/>
      <c r="N390" s="41"/>
      <c r="O390" s="41"/>
      <c r="P390" s="41"/>
      <c r="Q390" s="51"/>
    </row>
    <row r="391" spans="1:17" x14ac:dyDescent="0.25">
      <c r="A391" s="7"/>
      <c r="B391" s="15"/>
      <c r="C391" s="15"/>
      <c r="D391" s="15"/>
      <c r="E391" s="11"/>
      <c r="F391" s="44"/>
      <c r="G391" s="44"/>
      <c r="H391" s="44"/>
      <c r="I391" s="44"/>
      <c r="J391" s="41"/>
      <c r="K391" s="41"/>
      <c r="L391" s="41"/>
      <c r="M391" s="41"/>
      <c r="N391" s="41"/>
      <c r="O391" s="41"/>
      <c r="P391" s="41"/>
      <c r="Q391" s="51"/>
    </row>
    <row r="392" spans="1:17" x14ac:dyDescent="0.25">
      <c r="A392" s="7"/>
      <c r="B392" s="15"/>
      <c r="C392" s="15"/>
      <c r="D392" s="15"/>
      <c r="E392" s="11"/>
      <c r="F392" s="44"/>
      <c r="G392" s="44"/>
      <c r="H392" s="44"/>
      <c r="I392" s="44"/>
      <c r="J392" s="41"/>
      <c r="K392" s="41"/>
      <c r="L392" s="41"/>
      <c r="M392" s="41"/>
      <c r="N392" s="41"/>
      <c r="O392" s="41"/>
      <c r="P392" s="41"/>
      <c r="Q392" s="51"/>
    </row>
    <row r="393" spans="1:17" x14ac:dyDescent="0.25">
      <c r="A393" s="7"/>
      <c r="B393" s="15"/>
      <c r="C393" s="15"/>
      <c r="D393" s="15"/>
      <c r="E393" s="11"/>
      <c r="F393" s="44"/>
      <c r="G393" s="44"/>
      <c r="H393" s="44"/>
      <c r="I393" s="44"/>
      <c r="J393" s="41"/>
      <c r="K393" s="41"/>
      <c r="L393" s="41"/>
      <c r="M393" s="41"/>
      <c r="N393" s="41"/>
      <c r="O393" s="41"/>
      <c r="P393" s="41"/>
      <c r="Q393" s="51"/>
    </row>
    <row r="394" spans="1:17" x14ac:dyDescent="0.25">
      <c r="A394" s="7"/>
      <c r="B394" s="15"/>
      <c r="C394" s="15"/>
      <c r="D394" s="15"/>
      <c r="E394" s="11"/>
      <c r="F394" s="44"/>
      <c r="G394" s="44"/>
      <c r="H394" s="44"/>
      <c r="I394" s="44"/>
      <c r="J394" s="41"/>
      <c r="K394" s="41"/>
      <c r="L394" s="41"/>
      <c r="M394" s="41"/>
      <c r="N394" s="41"/>
      <c r="O394" s="41"/>
      <c r="P394" s="41"/>
      <c r="Q394" s="51"/>
    </row>
    <row r="395" spans="1:17" x14ac:dyDescent="0.25">
      <c r="A395" s="7"/>
      <c r="B395" s="15"/>
      <c r="C395" s="15"/>
      <c r="D395" s="15"/>
      <c r="E395" s="11"/>
      <c r="F395" s="44"/>
      <c r="G395" s="44"/>
      <c r="H395" s="44"/>
      <c r="I395" s="44"/>
      <c r="J395" s="41"/>
      <c r="K395" s="41"/>
      <c r="L395" s="41"/>
      <c r="M395" s="41"/>
      <c r="N395" s="41"/>
      <c r="O395" s="41"/>
      <c r="P395" s="41"/>
      <c r="Q395" s="51"/>
    </row>
    <row r="396" spans="1:17" x14ac:dyDescent="0.25">
      <c r="A396" s="7"/>
      <c r="B396" s="15"/>
      <c r="C396" s="15"/>
      <c r="D396" s="15"/>
      <c r="E396" s="11"/>
      <c r="F396" s="44"/>
      <c r="G396" s="44"/>
      <c r="H396" s="44"/>
      <c r="I396" s="44"/>
      <c r="J396" s="41"/>
      <c r="K396" s="41"/>
      <c r="L396" s="41"/>
      <c r="M396" s="41"/>
      <c r="N396" s="41"/>
      <c r="O396" s="41"/>
      <c r="P396" s="41"/>
      <c r="Q396" s="51"/>
    </row>
    <row r="397" spans="1:17" x14ac:dyDescent="0.25">
      <c r="A397" s="7"/>
      <c r="B397" s="15"/>
      <c r="C397" s="15"/>
      <c r="D397" s="15"/>
      <c r="E397" s="11"/>
      <c r="F397" s="44"/>
      <c r="G397" s="44"/>
      <c r="H397" s="44"/>
      <c r="I397" s="44"/>
      <c r="J397" s="41"/>
      <c r="K397" s="41"/>
      <c r="L397" s="41"/>
      <c r="M397" s="41"/>
      <c r="N397" s="41"/>
      <c r="O397" s="41"/>
      <c r="P397" s="41"/>
      <c r="Q397" s="51"/>
    </row>
    <row r="398" spans="1:17" x14ac:dyDescent="0.25">
      <c r="A398" s="7"/>
      <c r="B398" s="15"/>
      <c r="C398" s="15"/>
      <c r="D398" s="15"/>
      <c r="E398" s="11"/>
      <c r="F398" s="44"/>
      <c r="G398" s="44"/>
      <c r="H398" s="44"/>
      <c r="I398" s="44"/>
      <c r="J398" s="41"/>
      <c r="K398" s="41"/>
      <c r="L398" s="41"/>
      <c r="M398" s="41"/>
      <c r="N398" s="41"/>
      <c r="O398" s="41"/>
      <c r="P398" s="41"/>
      <c r="Q398" s="51"/>
    </row>
    <row r="399" spans="1:17" x14ac:dyDescent="0.25">
      <c r="A399" s="7"/>
      <c r="B399" s="15"/>
      <c r="C399" s="15"/>
      <c r="D399" s="15"/>
      <c r="E399" s="11"/>
      <c r="F399" s="44"/>
      <c r="G399" s="44"/>
      <c r="H399" s="44"/>
      <c r="I399" s="44"/>
      <c r="J399" s="41"/>
      <c r="K399" s="41"/>
      <c r="L399" s="41"/>
      <c r="M399" s="41"/>
      <c r="N399" s="41"/>
      <c r="O399" s="41"/>
      <c r="P399" s="41"/>
      <c r="Q399" s="51"/>
    </row>
    <row r="400" spans="1:17" x14ac:dyDescent="0.25">
      <c r="A400" s="7"/>
      <c r="B400" s="15"/>
      <c r="C400" s="15"/>
      <c r="D400" s="15"/>
      <c r="E400" s="11"/>
      <c r="F400" s="44"/>
      <c r="G400" s="44"/>
      <c r="H400" s="44"/>
      <c r="I400" s="44"/>
      <c r="J400" s="41"/>
      <c r="K400" s="41"/>
      <c r="L400" s="41"/>
      <c r="M400" s="41"/>
      <c r="N400" s="41"/>
      <c r="O400" s="41"/>
      <c r="P400" s="41"/>
      <c r="Q400" s="51"/>
    </row>
    <row r="401" spans="1:17" x14ac:dyDescent="0.25">
      <c r="A401" s="7"/>
      <c r="B401" s="15"/>
      <c r="C401" s="15"/>
      <c r="D401" s="15"/>
      <c r="E401" s="11"/>
      <c r="F401" s="44"/>
      <c r="G401" s="44"/>
      <c r="H401" s="44"/>
      <c r="I401" s="44"/>
      <c r="J401" s="41"/>
      <c r="K401" s="41"/>
      <c r="L401" s="41"/>
      <c r="M401" s="41"/>
      <c r="N401" s="41"/>
      <c r="O401" s="41"/>
      <c r="P401" s="41"/>
      <c r="Q401" s="51"/>
    </row>
    <row r="402" spans="1:17" x14ac:dyDescent="0.25">
      <c r="A402" s="7"/>
      <c r="B402" s="15"/>
      <c r="C402" s="15"/>
      <c r="D402" s="15"/>
      <c r="E402" s="11"/>
      <c r="F402" s="44"/>
      <c r="G402" s="44"/>
      <c r="H402" s="44"/>
      <c r="I402" s="44"/>
      <c r="J402" s="41"/>
      <c r="K402" s="41"/>
      <c r="L402" s="41"/>
      <c r="M402" s="41"/>
      <c r="N402" s="41"/>
      <c r="O402" s="41"/>
      <c r="P402" s="41"/>
      <c r="Q402" s="51"/>
    </row>
    <row r="403" spans="1:17" x14ac:dyDescent="0.25">
      <c r="A403" s="7"/>
      <c r="B403" s="15"/>
      <c r="C403" s="15"/>
      <c r="D403" s="15"/>
      <c r="E403" s="11"/>
      <c r="F403" s="44"/>
      <c r="G403" s="44"/>
      <c r="H403" s="44"/>
      <c r="I403" s="44"/>
      <c r="J403" s="41"/>
      <c r="K403" s="41"/>
      <c r="L403" s="41"/>
      <c r="M403" s="41"/>
      <c r="N403" s="41"/>
      <c r="O403" s="41"/>
      <c r="P403" s="41"/>
      <c r="Q403" s="51"/>
    </row>
    <row r="404" spans="1:17" x14ac:dyDescent="0.25">
      <c r="A404" s="7"/>
      <c r="B404" s="15"/>
      <c r="C404" s="15"/>
      <c r="D404" s="15"/>
      <c r="E404" s="11"/>
      <c r="F404" s="44"/>
      <c r="G404" s="44"/>
      <c r="H404" s="44"/>
      <c r="I404" s="44"/>
      <c r="J404" s="41"/>
      <c r="K404" s="41"/>
      <c r="L404" s="41"/>
      <c r="M404" s="41"/>
      <c r="N404" s="41"/>
      <c r="O404" s="41"/>
      <c r="P404" s="41"/>
      <c r="Q404" s="51"/>
    </row>
  </sheetData>
  <hyperlinks>
    <hyperlink ref="E68" r:id="rId1" xr:uid="{C9291FC9-5A5B-4392-96B1-B190D5000E26}"/>
    <hyperlink ref="E72" r:id="rId2" xr:uid="{6D40157B-63F5-4DFD-88B6-E555A70D560C}"/>
    <hyperlink ref="E52:E65" r:id="rId3" display="OECD long-term forecast" xr:uid="{088CBD93-1E9E-40E7-AB0C-00E927204B15}"/>
    <hyperlink ref="E19" r:id="rId4" xr:uid="{A1C0E196-FFDD-42CF-A42C-259D8E24DC22}"/>
    <hyperlink ref="E20:E32" r:id="rId5" display="StatCan, Scenario M1" xr:uid="{E26E6259-1D67-47B3-B12F-C834E1019D4B}"/>
    <hyperlink ref="E3" r:id="rId6" xr:uid="{2498A91B-831E-4C2D-A90B-AF4CC5343974}"/>
    <hyperlink ref="E4:E16" r:id="rId7" display="StatCan" xr:uid="{9729C96A-5176-4C3D-AC2A-DC3C52A948A1}"/>
  </hyperlinks>
  <pageMargins left="0.7" right="0.7" top="0.75" bottom="0.75" header="0.3" footer="0.3"/>
  <pageSetup orientation="portrait" horizontalDpi="4294967293" verticalDpi="0" r:id="rId8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2EF04-A27D-4141-8132-0192A0DB5832}">
  <sheetPr codeName="Sheet2">
    <outlinePr summaryBelow="0" summaryRight="0"/>
  </sheetPr>
  <dimension ref="A1:BZ446"/>
  <sheetViews>
    <sheetView zoomScale="85" zoomScaleNormal="85" workbookViewId="0">
      <pane xSplit="5" ySplit="1" topLeftCell="F35" activePane="bottomRight" state="frozen"/>
      <selection pane="topRight" activeCell="E1" sqref="E1"/>
      <selection pane="bottomLeft" activeCell="A3" sqref="A3"/>
      <selection pane="bottomRight" activeCell="C95" sqref="C95"/>
    </sheetView>
  </sheetViews>
  <sheetFormatPr defaultRowHeight="15" outlineLevelRow="1" x14ac:dyDescent="0.25"/>
  <cols>
    <col min="1" max="1" width="2.7109375" style="3" customWidth="1"/>
    <col min="2" max="2" width="29.85546875" style="17" bestFit="1" customWidth="1"/>
    <col min="3" max="3" width="27.5703125" style="17" customWidth="1"/>
    <col min="4" max="4" width="43.140625" style="17" bestFit="1" customWidth="1"/>
    <col min="5" max="5" width="22.140625" style="38" customWidth="1"/>
    <col min="6" max="9" width="15.7109375" style="43" customWidth="1"/>
    <col min="10" max="16" width="15.7109375" style="42" customWidth="1"/>
    <col min="17" max="17" width="2.7109375" style="17" customWidth="1"/>
    <col min="18" max="68" width="10.28515625" style="52" bestFit="1" customWidth="1"/>
    <col min="69" max="78" width="10.28515625" bestFit="1" customWidth="1"/>
  </cols>
  <sheetData>
    <row r="1" spans="1:78" x14ac:dyDescent="0.25">
      <c r="A1" s="25"/>
      <c r="B1" s="36" t="s">
        <v>9</v>
      </c>
      <c r="C1" s="36" t="s">
        <v>9</v>
      </c>
      <c r="D1" s="36" t="s">
        <v>16</v>
      </c>
      <c r="E1" s="10" t="s">
        <v>97</v>
      </c>
      <c r="F1" s="45">
        <v>2000</v>
      </c>
      <c r="G1" s="45">
        <v>2005</v>
      </c>
      <c r="H1" s="45">
        <v>2010</v>
      </c>
      <c r="I1" s="45">
        <v>2015</v>
      </c>
      <c r="J1" s="45">
        <v>2020</v>
      </c>
      <c r="K1" s="45">
        <v>2025</v>
      </c>
      <c r="L1" s="45">
        <v>2030</v>
      </c>
      <c r="M1" s="45">
        <v>2035</v>
      </c>
      <c r="N1" s="45">
        <v>2040</v>
      </c>
      <c r="O1" s="45">
        <v>2045</v>
      </c>
      <c r="P1" s="45">
        <v>2050</v>
      </c>
      <c r="Q1" s="49"/>
      <c r="R1" s="45">
        <v>2000</v>
      </c>
      <c r="S1" s="45">
        <v>2001</v>
      </c>
      <c r="T1" s="45">
        <v>2002</v>
      </c>
      <c r="U1" s="45">
        <v>2003</v>
      </c>
      <c r="V1" s="45">
        <v>2004</v>
      </c>
      <c r="W1" s="45">
        <v>2005</v>
      </c>
      <c r="X1" s="45">
        <v>2006</v>
      </c>
      <c r="Y1" s="45">
        <v>2007</v>
      </c>
      <c r="Z1" s="45">
        <v>2008</v>
      </c>
      <c r="AA1" s="45">
        <v>2009</v>
      </c>
      <c r="AB1" s="45">
        <v>2010</v>
      </c>
      <c r="AC1" s="45">
        <v>2011</v>
      </c>
      <c r="AD1" s="45">
        <v>2012</v>
      </c>
      <c r="AE1" s="45">
        <v>2013</v>
      </c>
      <c r="AF1" s="45">
        <v>2014</v>
      </c>
      <c r="AG1" s="45">
        <v>2015</v>
      </c>
      <c r="AH1" s="45">
        <v>2016</v>
      </c>
      <c r="AI1" s="45">
        <v>2017</v>
      </c>
      <c r="AJ1" s="45">
        <v>2018</v>
      </c>
      <c r="AK1" s="45">
        <v>2019</v>
      </c>
      <c r="AL1" s="45">
        <v>2020</v>
      </c>
      <c r="AM1" s="45">
        <v>2021</v>
      </c>
      <c r="AN1" s="45">
        <v>2022</v>
      </c>
      <c r="AO1" s="45">
        <v>2023</v>
      </c>
      <c r="AP1" s="45">
        <v>2024</v>
      </c>
      <c r="AQ1" s="45">
        <v>2025</v>
      </c>
      <c r="AR1" s="45">
        <v>2026</v>
      </c>
      <c r="AS1" s="45">
        <v>2027</v>
      </c>
      <c r="AT1" s="45">
        <v>2028</v>
      </c>
      <c r="AU1" s="45">
        <v>2029</v>
      </c>
      <c r="AV1" s="45">
        <v>2030</v>
      </c>
      <c r="AW1" s="45">
        <v>2031</v>
      </c>
      <c r="AX1" s="45">
        <v>2032</v>
      </c>
      <c r="AY1" s="45">
        <v>2033</v>
      </c>
      <c r="AZ1" s="45">
        <v>2034</v>
      </c>
      <c r="BA1" s="45">
        <v>2035</v>
      </c>
      <c r="BB1" s="45">
        <v>2036</v>
      </c>
      <c r="BC1" s="45">
        <v>2037</v>
      </c>
      <c r="BD1" s="45">
        <v>2038</v>
      </c>
      <c r="BE1" s="45">
        <v>2039</v>
      </c>
      <c r="BF1" s="45">
        <v>2040</v>
      </c>
      <c r="BG1" s="45">
        <v>2041</v>
      </c>
      <c r="BH1" s="45">
        <v>2042</v>
      </c>
      <c r="BI1" s="45">
        <v>2043</v>
      </c>
      <c r="BJ1" s="45">
        <v>2044</v>
      </c>
      <c r="BK1" s="45">
        <v>2045</v>
      </c>
      <c r="BL1" s="45">
        <v>2046</v>
      </c>
      <c r="BM1" s="45">
        <v>2047</v>
      </c>
      <c r="BN1" s="45">
        <v>2048</v>
      </c>
      <c r="BO1" s="45">
        <v>2049</v>
      </c>
      <c r="BP1" s="45">
        <v>2050</v>
      </c>
      <c r="BQ1" s="45">
        <v>2051</v>
      </c>
      <c r="BR1" s="45">
        <v>2052</v>
      </c>
      <c r="BS1" s="45">
        <v>2053</v>
      </c>
      <c r="BT1" s="45">
        <v>2054</v>
      </c>
      <c r="BU1" s="45">
        <v>2055</v>
      </c>
      <c r="BV1" s="45">
        <v>2056</v>
      </c>
      <c r="BW1" s="45">
        <v>2057</v>
      </c>
      <c r="BX1" s="45">
        <v>2058</v>
      </c>
      <c r="BY1" s="45">
        <v>2059</v>
      </c>
      <c r="BZ1" s="45">
        <v>2060</v>
      </c>
    </row>
    <row r="2" spans="1:78" x14ac:dyDescent="0.25">
      <c r="A2" s="13"/>
      <c r="B2" s="15"/>
      <c r="C2" s="15"/>
      <c r="D2" s="15"/>
      <c r="E2" s="11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50"/>
    </row>
    <row r="3" spans="1:78" x14ac:dyDescent="0.25">
      <c r="A3" s="7"/>
      <c r="B3" s="71" t="s">
        <v>131</v>
      </c>
      <c r="C3" s="37" t="s">
        <v>59</v>
      </c>
      <c r="D3" s="37" t="s">
        <v>128</v>
      </c>
      <c r="E3" s="39" t="s">
        <v>129</v>
      </c>
      <c r="F3" s="57">
        <f>$S3</f>
        <v>2.6</v>
      </c>
      <c r="G3" s="42">
        <f>linterp($S3:$AH3,$S$1:$AH$1,G$1)</f>
        <v>2.52</v>
      </c>
      <c r="H3" s="42">
        <f t="shared" ref="H3:I16" si="0">linterp($S3:$AH3,$S$1:$AH$1,H$1)</f>
        <v>2.5</v>
      </c>
      <c r="I3" s="42">
        <f t="shared" si="0"/>
        <v>2.42</v>
      </c>
      <c r="J3" s="57">
        <f>$AH3</f>
        <v>2.4</v>
      </c>
      <c r="K3" s="57">
        <f t="shared" ref="K3:P16" si="1">$AH3</f>
        <v>2.4</v>
      </c>
      <c r="L3" s="57">
        <f t="shared" si="1"/>
        <v>2.4</v>
      </c>
      <c r="M3" s="57">
        <f t="shared" si="1"/>
        <v>2.4</v>
      </c>
      <c r="N3" s="57">
        <f t="shared" si="1"/>
        <v>2.4</v>
      </c>
      <c r="O3" s="57">
        <f t="shared" si="1"/>
        <v>2.4</v>
      </c>
      <c r="P3" s="57">
        <f t="shared" si="1"/>
        <v>2.4</v>
      </c>
      <c r="Q3" s="51"/>
      <c r="R3" s="53"/>
      <c r="S3" s="53">
        <v>2.6</v>
      </c>
      <c r="T3" s="53"/>
      <c r="U3" s="53"/>
      <c r="V3" s="53"/>
      <c r="W3" s="53"/>
      <c r="X3" s="53">
        <v>2.5</v>
      </c>
      <c r="Y3" s="53"/>
      <c r="Z3" s="53"/>
      <c r="AA3" s="53"/>
      <c r="AB3" s="53"/>
      <c r="AC3" s="53">
        <v>2.5</v>
      </c>
      <c r="AD3" s="53"/>
      <c r="AE3" s="53"/>
      <c r="AF3" s="53"/>
      <c r="AG3" s="53"/>
      <c r="AH3" s="53">
        <v>2.4</v>
      </c>
      <c r="AI3" s="53"/>
      <c r="AJ3" s="53"/>
      <c r="AK3" s="53"/>
      <c r="AL3" s="53"/>
      <c r="AM3" s="53"/>
      <c r="AN3" s="53"/>
      <c r="AO3" s="53"/>
      <c r="AP3" s="53"/>
      <c r="AQ3" s="53"/>
      <c r="AR3" s="53"/>
      <c r="AS3" s="53"/>
      <c r="AT3" s="53"/>
      <c r="AU3" s="53"/>
      <c r="AV3" s="53"/>
      <c r="AW3" s="53"/>
      <c r="AX3" s="53"/>
      <c r="AY3" s="53"/>
      <c r="AZ3" s="53"/>
      <c r="BA3" s="53"/>
      <c r="BB3" s="53"/>
      <c r="BC3" s="53"/>
      <c r="BD3" s="53"/>
      <c r="BE3" s="53"/>
      <c r="BF3" s="53"/>
      <c r="BG3" s="53"/>
      <c r="BH3" s="53"/>
      <c r="BI3" s="53"/>
      <c r="BJ3" s="53"/>
      <c r="BK3" s="53"/>
      <c r="BL3" s="53"/>
      <c r="BM3" s="53"/>
      <c r="BN3" s="53"/>
      <c r="BO3" s="53"/>
      <c r="BP3" s="53"/>
      <c r="BQ3" s="53"/>
      <c r="BR3" s="53"/>
      <c r="BS3" s="53"/>
      <c r="BT3" s="53"/>
      <c r="BU3" s="53"/>
      <c r="BV3" s="53"/>
      <c r="BW3" s="53"/>
      <c r="BX3" s="53"/>
      <c r="BY3" s="53"/>
      <c r="BZ3" s="53"/>
    </row>
    <row r="4" spans="1:78" x14ac:dyDescent="0.25">
      <c r="A4" s="7"/>
      <c r="B4" s="15"/>
      <c r="C4" s="15" t="s">
        <v>106</v>
      </c>
      <c r="D4" s="37" t="s">
        <v>128</v>
      </c>
      <c r="E4" s="39" t="s">
        <v>129</v>
      </c>
      <c r="F4" s="57">
        <f t="shared" ref="F4:F16" si="2">$S4</f>
        <v>2.7</v>
      </c>
      <c r="G4" s="42">
        <f t="shared" ref="G4:G16" si="3">linterp($S4:$AH4,$S$1:$AH$1,G$1)</f>
        <v>2.54</v>
      </c>
      <c r="H4" s="42">
        <f t="shared" si="0"/>
        <v>2.42</v>
      </c>
      <c r="I4" s="42">
        <f t="shared" si="0"/>
        <v>2.3199999999999998</v>
      </c>
      <c r="J4" s="57">
        <f t="shared" ref="J4:J16" si="4">$AH4</f>
        <v>2.2999999999999998</v>
      </c>
      <c r="K4" s="57">
        <f t="shared" si="1"/>
        <v>2.2999999999999998</v>
      </c>
      <c r="L4" s="57">
        <f t="shared" si="1"/>
        <v>2.2999999999999998</v>
      </c>
      <c r="M4" s="57">
        <f t="shared" si="1"/>
        <v>2.2999999999999998</v>
      </c>
      <c r="N4" s="57">
        <f t="shared" si="1"/>
        <v>2.2999999999999998</v>
      </c>
      <c r="O4" s="57">
        <f t="shared" si="1"/>
        <v>2.2999999999999998</v>
      </c>
      <c r="P4" s="57">
        <f t="shared" si="1"/>
        <v>2.2999999999999998</v>
      </c>
      <c r="Q4" s="51"/>
      <c r="R4" s="53"/>
      <c r="S4" s="53">
        <v>2.7</v>
      </c>
      <c r="T4" s="53"/>
      <c r="U4" s="53"/>
      <c r="V4" s="53"/>
      <c r="W4" s="53"/>
      <c r="X4" s="53">
        <v>2.5</v>
      </c>
      <c r="Y4" s="53"/>
      <c r="Z4" s="53"/>
      <c r="AA4" s="53"/>
      <c r="AB4" s="53"/>
      <c r="AC4" s="53">
        <v>2.4</v>
      </c>
      <c r="AD4" s="53"/>
      <c r="AE4" s="53"/>
      <c r="AF4" s="53"/>
      <c r="AG4" s="53"/>
      <c r="AH4" s="53">
        <v>2.2999999999999998</v>
      </c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  <c r="BY4" s="53"/>
      <c r="BZ4" s="53"/>
    </row>
    <row r="5" spans="1:78" x14ac:dyDescent="0.25">
      <c r="A5" s="7"/>
      <c r="B5" s="37"/>
      <c r="C5" s="37" t="s">
        <v>107</v>
      </c>
      <c r="D5" s="37" t="s">
        <v>128</v>
      </c>
      <c r="E5" s="39" t="s">
        <v>129</v>
      </c>
      <c r="F5" s="57">
        <f t="shared" si="2"/>
        <v>2.6</v>
      </c>
      <c r="G5" s="42">
        <f t="shared" si="3"/>
        <v>2.52</v>
      </c>
      <c r="H5" s="42">
        <f t="shared" si="0"/>
        <v>2.42</v>
      </c>
      <c r="I5" s="42">
        <f t="shared" si="0"/>
        <v>2.3199999999999998</v>
      </c>
      <c r="J5" s="57">
        <f t="shared" si="4"/>
        <v>2.2999999999999998</v>
      </c>
      <c r="K5" s="57">
        <f t="shared" si="1"/>
        <v>2.2999999999999998</v>
      </c>
      <c r="L5" s="57">
        <f t="shared" si="1"/>
        <v>2.2999999999999998</v>
      </c>
      <c r="M5" s="57">
        <f t="shared" si="1"/>
        <v>2.2999999999999998</v>
      </c>
      <c r="N5" s="57">
        <f t="shared" si="1"/>
        <v>2.2999999999999998</v>
      </c>
      <c r="O5" s="57">
        <f t="shared" si="1"/>
        <v>2.2999999999999998</v>
      </c>
      <c r="P5" s="57">
        <f t="shared" si="1"/>
        <v>2.2999999999999998</v>
      </c>
      <c r="Q5" s="51"/>
      <c r="R5" s="53"/>
      <c r="S5" s="53">
        <v>2.6</v>
      </c>
      <c r="T5" s="53"/>
      <c r="U5" s="53"/>
      <c r="V5" s="53"/>
      <c r="W5" s="53"/>
      <c r="X5" s="53">
        <v>2.5</v>
      </c>
      <c r="Y5" s="53"/>
      <c r="Z5" s="53"/>
      <c r="AA5" s="53"/>
      <c r="AB5" s="53"/>
      <c r="AC5" s="53">
        <v>2.4</v>
      </c>
      <c r="AD5" s="53"/>
      <c r="AE5" s="53"/>
      <c r="AF5" s="53"/>
      <c r="AG5" s="53"/>
      <c r="AH5" s="53">
        <v>2.2999999999999998</v>
      </c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  <c r="BC5" s="53"/>
      <c r="BD5" s="53"/>
      <c r="BE5" s="53"/>
      <c r="BF5" s="53"/>
      <c r="BG5" s="53"/>
      <c r="BH5" s="53"/>
      <c r="BI5" s="53"/>
      <c r="BJ5" s="53"/>
      <c r="BK5" s="53"/>
      <c r="BL5" s="53"/>
      <c r="BM5" s="53"/>
      <c r="BN5" s="53"/>
      <c r="BO5" s="53"/>
      <c r="BP5" s="53"/>
      <c r="BQ5" s="53"/>
      <c r="BR5" s="53"/>
      <c r="BS5" s="53"/>
      <c r="BT5" s="53"/>
      <c r="BU5" s="53"/>
      <c r="BV5" s="53"/>
      <c r="BW5" s="53"/>
      <c r="BX5" s="53"/>
      <c r="BY5" s="53"/>
      <c r="BZ5" s="53"/>
    </row>
    <row r="6" spans="1:78" x14ac:dyDescent="0.25">
      <c r="A6" s="7"/>
      <c r="B6" s="37"/>
      <c r="C6" s="37" t="s">
        <v>108</v>
      </c>
      <c r="D6" s="37" t="s">
        <v>128</v>
      </c>
      <c r="E6" s="39" t="s">
        <v>129</v>
      </c>
      <c r="F6" s="57">
        <f t="shared" si="2"/>
        <v>2.5</v>
      </c>
      <c r="G6" s="42">
        <f t="shared" si="3"/>
        <v>2.42</v>
      </c>
      <c r="H6" s="42">
        <f t="shared" si="0"/>
        <v>2.3199999999999998</v>
      </c>
      <c r="I6" s="42">
        <f t="shared" si="0"/>
        <v>2.2999999999999998</v>
      </c>
      <c r="J6" s="57">
        <f t="shared" si="4"/>
        <v>2.2999999999999998</v>
      </c>
      <c r="K6" s="57">
        <f t="shared" si="1"/>
        <v>2.2999999999999998</v>
      </c>
      <c r="L6" s="57">
        <f t="shared" si="1"/>
        <v>2.2999999999999998</v>
      </c>
      <c r="M6" s="57">
        <f t="shared" si="1"/>
        <v>2.2999999999999998</v>
      </c>
      <c r="N6" s="57">
        <f t="shared" si="1"/>
        <v>2.2999999999999998</v>
      </c>
      <c r="O6" s="57">
        <f t="shared" si="1"/>
        <v>2.2999999999999998</v>
      </c>
      <c r="P6" s="57">
        <f t="shared" si="1"/>
        <v>2.2999999999999998</v>
      </c>
      <c r="Q6" s="51"/>
      <c r="R6" s="53"/>
      <c r="S6" s="53">
        <v>2.5</v>
      </c>
      <c r="T6" s="53"/>
      <c r="U6" s="53"/>
      <c r="V6" s="53"/>
      <c r="W6" s="53"/>
      <c r="X6" s="53">
        <v>2.4</v>
      </c>
      <c r="Y6" s="53"/>
      <c r="Z6" s="53"/>
      <c r="AA6" s="53"/>
      <c r="AB6" s="53"/>
      <c r="AC6" s="53">
        <v>2.2999999999999998</v>
      </c>
      <c r="AD6" s="53"/>
      <c r="AE6" s="53"/>
      <c r="AF6" s="53"/>
      <c r="AG6" s="53"/>
      <c r="AH6" s="53">
        <v>2.2999999999999998</v>
      </c>
      <c r="AI6" s="53"/>
      <c r="AJ6" s="53"/>
      <c r="AK6" s="53"/>
      <c r="AL6" s="53"/>
      <c r="AM6" s="53"/>
      <c r="AN6" s="53"/>
      <c r="AO6" s="53"/>
      <c r="AP6" s="53"/>
      <c r="AQ6" s="53"/>
      <c r="AR6" s="53"/>
      <c r="AS6" s="53"/>
      <c r="AT6" s="53"/>
      <c r="AU6" s="53"/>
      <c r="AV6" s="53"/>
      <c r="AW6" s="53"/>
      <c r="AX6" s="53"/>
      <c r="AY6" s="53"/>
      <c r="AZ6" s="53"/>
      <c r="BA6" s="53"/>
      <c r="BB6" s="53"/>
      <c r="BC6" s="53"/>
      <c r="BD6" s="53"/>
      <c r="BE6" s="53"/>
      <c r="BF6" s="53"/>
      <c r="BG6" s="53"/>
      <c r="BH6" s="53"/>
      <c r="BI6" s="53"/>
      <c r="BJ6" s="53"/>
      <c r="BK6" s="53"/>
      <c r="BL6" s="53"/>
      <c r="BM6" s="53"/>
      <c r="BN6" s="53"/>
      <c r="BO6" s="53"/>
      <c r="BP6" s="53"/>
      <c r="BQ6" s="53"/>
      <c r="BR6" s="53"/>
      <c r="BS6" s="53"/>
      <c r="BT6" s="53"/>
      <c r="BU6" s="53"/>
      <c r="BV6" s="53"/>
      <c r="BW6" s="53"/>
      <c r="BX6" s="53"/>
      <c r="BY6" s="53"/>
      <c r="BZ6" s="53"/>
    </row>
    <row r="7" spans="1:78" x14ac:dyDescent="0.25">
      <c r="A7" s="7"/>
      <c r="B7" s="37"/>
      <c r="C7" s="37" t="s">
        <v>109</v>
      </c>
      <c r="D7" s="37" t="s">
        <v>128</v>
      </c>
      <c r="E7" s="39" t="s">
        <v>129</v>
      </c>
      <c r="F7" s="57">
        <f t="shared" si="2"/>
        <v>2.5</v>
      </c>
      <c r="G7" s="42">
        <f t="shared" si="3"/>
        <v>2.42</v>
      </c>
      <c r="H7" s="42">
        <f t="shared" si="0"/>
        <v>2.3199999999999998</v>
      </c>
      <c r="I7" s="42">
        <f t="shared" si="0"/>
        <v>2.2999999999999998</v>
      </c>
      <c r="J7" s="57">
        <f t="shared" si="4"/>
        <v>2.2999999999999998</v>
      </c>
      <c r="K7" s="57">
        <f t="shared" si="1"/>
        <v>2.2999999999999998</v>
      </c>
      <c r="L7" s="57">
        <f t="shared" si="1"/>
        <v>2.2999999999999998</v>
      </c>
      <c r="M7" s="57">
        <f t="shared" si="1"/>
        <v>2.2999999999999998</v>
      </c>
      <c r="N7" s="57">
        <f t="shared" si="1"/>
        <v>2.2999999999999998</v>
      </c>
      <c r="O7" s="57">
        <f t="shared" si="1"/>
        <v>2.2999999999999998</v>
      </c>
      <c r="P7" s="57">
        <f t="shared" si="1"/>
        <v>2.2999999999999998</v>
      </c>
      <c r="Q7" s="51"/>
      <c r="R7" s="53"/>
      <c r="S7" s="53">
        <v>2.5</v>
      </c>
      <c r="T7" s="53"/>
      <c r="U7" s="53"/>
      <c r="V7" s="53"/>
      <c r="W7" s="53"/>
      <c r="X7" s="53">
        <v>2.4</v>
      </c>
      <c r="Y7" s="53"/>
      <c r="Z7" s="53"/>
      <c r="AA7" s="53"/>
      <c r="AB7" s="53"/>
      <c r="AC7" s="53">
        <v>2.2999999999999998</v>
      </c>
      <c r="AD7" s="53"/>
      <c r="AE7" s="53"/>
      <c r="AF7" s="53"/>
      <c r="AG7" s="53"/>
      <c r="AH7" s="53">
        <v>2.2999999999999998</v>
      </c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3"/>
      <c r="BC7" s="53"/>
      <c r="BD7" s="53"/>
      <c r="BE7" s="53"/>
      <c r="BF7" s="53"/>
      <c r="BG7" s="53"/>
      <c r="BH7" s="53"/>
      <c r="BI7" s="53"/>
      <c r="BJ7" s="53"/>
      <c r="BK7" s="53"/>
      <c r="BL7" s="53"/>
      <c r="BM7" s="53"/>
      <c r="BN7" s="53"/>
      <c r="BO7" s="53"/>
      <c r="BP7" s="53"/>
      <c r="BQ7" s="53"/>
      <c r="BR7" s="53"/>
      <c r="BS7" s="53"/>
      <c r="BT7" s="53"/>
      <c r="BU7" s="53"/>
      <c r="BV7" s="53"/>
      <c r="BW7" s="53"/>
      <c r="BX7" s="53"/>
      <c r="BY7" s="53"/>
      <c r="BZ7" s="53"/>
    </row>
    <row r="8" spans="1:78" x14ac:dyDescent="0.25">
      <c r="A8" s="7"/>
      <c r="B8" s="37"/>
      <c r="C8" s="37" t="s">
        <v>110</v>
      </c>
      <c r="D8" s="37" t="s">
        <v>128</v>
      </c>
      <c r="E8" s="39" t="s">
        <v>129</v>
      </c>
      <c r="F8" s="57">
        <f t="shared" si="2"/>
        <v>2.4</v>
      </c>
      <c r="G8" s="42">
        <f t="shared" si="3"/>
        <v>2.3199999999999998</v>
      </c>
      <c r="H8" s="42">
        <f t="shared" si="0"/>
        <v>2.2999999999999998</v>
      </c>
      <c r="I8" s="42">
        <f t="shared" si="0"/>
        <v>2.2999999999999998</v>
      </c>
      <c r="J8" s="57">
        <f t="shared" si="4"/>
        <v>2.2999999999999998</v>
      </c>
      <c r="K8" s="57">
        <f t="shared" si="1"/>
        <v>2.2999999999999998</v>
      </c>
      <c r="L8" s="57">
        <f t="shared" si="1"/>
        <v>2.2999999999999998</v>
      </c>
      <c r="M8" s="57">
        <f t="shared" si="1"/>
        <v>2.2999999999999998</v>
      </c>
      <c r="N8" s="57">
        <f t="shared" si="1"/>
        <v>2.2999999999999998</v>
      </c>
      <c r="O8" s="57">
        <f t="shared" si="1"/>
        <v>2.2999999999999998</v>
      </c>
      <c r="P8" s="57">
        <f t="shared" si="1"/>
        <v>2.2999999999999998</v>
      </c>
      <c r="Q8" s="51"/>
      <c r="R8" s="53"/>
      <c r="S8" s="53">
        <v>2.4</v>
      </c>
      <c r="T8" s="53"/>
      <c r="U8" s="53"/>
      <c r="V8" s="53"/>
      <c r="W8" s="53"/>
      <c r="X8" s="53">
        <v>2.2999999999999998</v>
      </c>
      <c r="Y8" s="53"/>
      <c r="Z8" s="53"/>
      <c r="AA8" s="53"/>
      <c r="AB8" s="53"/>
      <c r="AC8" s="53">
        <v>2.2999999999999998</v>
      </c>
      <c r="AD8" s="53"/>
      <c r="AE8" s="53"/>
      <c r="AF8" s="53"/>
      <c r="AG8" s="53"/>
      <c r="AH8" s="53">
        <v>2.2999999999999998</v>
      </c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  <c r="BA8" s="53"/>
      <c r="BB8" s="53"/>
      <c r="BC8" s="53"/>
      <c r="BD8" s="53"/>
      <c r="BE8" s="53"/>
      <c r="BF8" s="53"/>
      <c r="BG8" s="53"/>
      <c r="BH8" s="53"/>
      <c r="BI8" s="53"/>
      <c r="BJ8" s="53"/>
      <c r="BK8" s="53"/>
      <c r="BL8" s="53"/>
      <c r="BM8" s="53"/>
      <c r="BN8" s="53"/>
      <c r="BO8" s="53"/>
      <c r="BP8" s="53"/>
      <c r="BQ8" s="53"/>
      <c r="BR8" s="53"/>
      <c r="BS8" s="53"/>
      <c r="BT8" s="53"/>
      <c r="BU8" s="53"/>
      <c r="BV8" s="53"/>
      <c r="BW8" s="53"/>
      <c r="BX8" s="53"/>
      <c r="BY8" s="53"/>
      <c r="BZ8" s="53"/>
    </row>
    <row r="9" spans="1:78" x14ac:dyDescent="0.25">
      <c r="A9" s="7"/>
      <c r="B9" s="37"/>
      <c r="C9" s="37" t="s">
        <v>111</v>
      </c>
      <c r="D9" s="37" t="s">
        <v>128</v>
      </c>
      <c r="E9" s="39" t="s">
        <v>129</v>
      </c>
      <c r="F9" s="57">
        <f t="shared" si="2"/>
        <v>2.7</v>
      </c>
      <c r="G9" s="42">
        <f t="shared" si="3"/>
        <v>2.62</v>
      </c>
      <c r="H9" s="42">
        <f t="shared" si="0"/>
        <v>2.6</v>
      </c>
      <c r="I9" s="42">
        <f t="shared" si="0"/>
        <v>2.6</v>
      </c>
      <c r="J9" s="57">
        <f t="shared" si="4"/>
        <v>2.6</v>
      </c>
      <c r="K9" s="57">
        <f t="shared" si="1"/>
        <v>2.6</v>
      </c>
      <c r="L9" s="57">
        <f t="shared" si="1"/>
        <v>2.6</v>
      </c>
      <c r="M9" s="57">
        <f t="shared" si="1"/>
        <v>2.6</v>
      </c>
      <c r="N9" s="57">
        <f t="shared" si="1"/>
        <v>2.6</v>
      </c>
      <c r="O9" s="57">
        <f t="shared" si="1"/>
        <v>2.6</v>
      </c>
      <c r="P9" s="57">
        <f t="shared" si="1"/>
        <v>2.6</v>
      </c>
      <c r="Q9" s="51"/>
      <c r="R9" s="53"/>
      <c r="S9" s="53">
        <v>2.7</v>
      </c>
      <c r="T9" s="53"/>
      <c r="U9" s="53"/>
      <c r="V9" s="53"/>
      <c r="W9" s="53"/>
      <c r="X9" s="53">
        <v>2.6</v>
      </c>
      <c r="Y9" s="53"/>
      <c r="Z9" s="53"/>
      <c r="AA9" s="53"/>
      <c r="AB9" s="53"/>
      <c r="AC9" s="53">
        <v>2.6</v>
      </c>
      <c r="AD9" s="53"/>
      <c r="AE9" s="53"/>
      <c r="AF9" s="53"/>
      <c r="AG9" s="53"/>
      <c r="AH9" s="53">
        <v>2.6</v>
      </c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3"/>
      <c r="AT9" s="53"/>
      <c r="AU9" s="53"/>
      <c r="AV9" s="53"/>
      <c r="AW9" s="53"/>
      <c r="AX9" s="53"/>
      <c r="AY9" s="53"/>
      <c r="AZ9" s="53"/>
      <c r="BA9" s="53"/>
      <c r="BB9" s="53"/>
      <c r="BC9" s="53"/>
      <c r="BD9" s="53"/>
      <c r="BE9" s="53"/>
      <c r="BF9" s="53"/>
      <c r="BG9" s="53"/>
      <c r="BH9" s="53"/>
      <c r="BI9" s="53"/>
      <c r="BJ9" s="53"/>
      <c r="BK9" s="53"/>
      <c r="BL9" s="53"/>
      <c r="BM9" s="53"/>
      <c r="BN9" s="53"/>
      <c r="BO9" s="53"/>
      <c r="BP9" s="53"/>
      <c r="BQ9" s="53"/>
      <c r="BR9" s="53"/>
      <c r="BS9" s="53"/>
      <c r="BT9" s="53"/>
      <c r="BU9" s="53"/>
      <c r="BV9" s="53"/>
      <c r="BW9" s="53"/>
      <c r="BX9" s="53"/>
      <c r="BY9" s="53"/>
      <c r="BZ9" s="53"/>
    </row>
    <row r="10" spans="1:78" x14ac:dyDescent="0.25">
      <c r="A10" s="7"/>
      <c r="B10" s="37"/>
      <c r="C10" s="37" t="s">
        <v>112</v>
      </c>
      <c r="D10" s="37" t="s">
        <v>128</v>
      </c>
      <c r="E10" s="39" t="s">
        <v>129</v>
      </c>
      <c r="F10" s="57">
        <f t="shared" si="2"/>
        <v>2.5</v>
      </c>
      <c r="G10" s="42">
        <f t="shared" si="3"/>
        <v>2.5</v>
      </c>
      <c r="H10" s="42">
        <f t="shared" si="0"/>
        <v>2.5</v>
      </c>
      <c r="I10" s="42">
        <f t="shared" si="0"/>
        <v>2.5</v>
      </c>
      <c r="J10" s="57">
        <f t="shared" si="4"/>
        <v>2.5</v>
      </c>
      <c r="K10" s="57">
        <f t="shared" si="1"/>
        <v>2.5</v>
      </c>
      <c r="L10" s="57">
        <f t="shared" si="1"/>
        <v>2.5</v>
      </c>
      <c r="M10" s="57">
        <f t="shared" si="1"/>
        <v>2.5</v>
      </c>
      <c r="N10" s="57">
        <f t="shared" si="1"/>
        <v>2.5</v>
      </c>
      <c r="O10" s="57">
        <f t="shared" si="1"/>
        <v>2.5</v>
      </c>
      <c r="P10" s="57">
        <f t="shared" si="1"/>
        <v>2.5</v>
      </c>
      <c r="Q10" s="51"/>
      <c r="R10" s="53"/>
      <c r="S10" s="53">
        <v>2.5</v>
      </c>
      <c r="T10" s="53"/>
      <c r="U10" s="53"/>
      <c r="V10" s="53"/>
      <c r="W10" s="53"/>
      <c r="X10" s="53">
        <v>2.5</v>
      </c>
      <c r="Y10" s="53"/>
      <c r="Z10" s="53"/>
      <c r="AA10" s="53"/>
      <c r="AB10" s="53"/>
      <c r="AC10" s="53">
        <v>2.5</v>
      </c>
      <c r="AD10" s="53"/>
      <c r="AE10" s="53"/>
      <c r="AF10" s="53"/>
      <c r="AG10" s="53"/>
      <c r="AH10" s="53">
        <v>2.5</v>
      </c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</row>
    <row r="11" spans="1:78" x14ac:dyDescent="0.25">
      <c r="A11" s="7"/>
      <c r="B11" s="37"/>
      <c r="C11" s="37" t="s">
        <v>113</v>
      </c>
      <c r="D11" s="37" t="s">
        <v>128</v>
      </c>
      <c r="E11" s="39" t="s">
        <v>129</v>
      </c>
      <c r="F11" s="57">
        <f t="shared" si="2"/>
        <v>2.5</v>
      </c>
      <c r="G11" s="42">
        <f t="shared" si="3"/>
        <v>2.42</v>
      </c>
      <c r="H11" s="42">
        <f t="shared" si="0"/>
        <v>2.48</v>
      </c>
      <c r="I11" s="42">
        <f t="shared" si="0"/>
        <v>2.5</v>
      </c>
      <c r="J11" s="57">
        <f t="shared" si="4"/>
        <v>2.5</v>
      </c>
      <c r="K11" s="57">
        <f t="shared" si="1"/>
        <v>2.5</v>
      </c>
      <c r="L11" s="57">
        <f t="shared" si="1"/>
        <v>2.5</v>
      </c>
      <c r="M11" s="57">
        <f t="shared" si="1"/>
        <v>2.5</v>
      </c>
      <c r="N11" s="57">
        <f t="shared" si="1"/>
        <v>2.5</v>
      </c>
      <c r="O11" s="57">
        <f t="shared" si="1"/>
        <v>2.5</v>
      </c>
      <c r="P11" s="57">
        <f t="shared" si="1"/>
        <v>2.5</v>
      </c>
      <c r="Q11" s="51"/>
      <c r="R11" s="53"/>
      <c r="S11" s="53">
        <v>2.5</v>
      </c>
      <c r="T11" s="53"/>
      <c r="U11" s="53"/>
      <c r="V11" s="53"/>
      <c r="W11" s="53"/>
      <c r="X11" s="53">
        <v>2.4</v>
      </c>
      <c r="Y11" s="53"/>
      <c r="Z11" s="53"/>
      <c r="AA11" s="53"/>
      <c r="AB11" s="53"/>
      <c r="AC11" s="53">
        <v>2.5</v>
      </c>
      <c r="AD11" s="53"/>
      <c r="AE11" s="53"/>
      <c r="AF11" s="53"/>
      <c r="AG11" s="53"/>
      <c r="AH11" s="53">
        <v>2.5</v>
      </c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  <c r="BC11" s="53"/>
      <c r="BD11" s="53"/>
      <c r="BE11" s="53"/>
      <c r="BF11" s="53"/>
      <c r="BG11" s="53"/>
      <c r="BH11" s="53"/>
      <c r="BI11" s="53"/>
      <c r="BJ11" s="53"/>
      <c r="BK11" s="53"/>
      <c r="BL11" s="53"/>
      <c r="BM11" s="53"/>
      <c r="BN11" s="53"/>
      <c r="BO11" s="53"/>
      <c r="BP11" s="53"/>
      <c r="BQ11" s="53"/>
      <c r="BR11" s="53"/>
      <c r="BS11" s="53"/>
      <c r="BT11" s="53"/>
      <c r="BU11" s="53"/>
      <c r="BV11" s="53"/>
      <c r="BW11" s="53"/>
      <c r="BX11" s="53"/>
      <c r="BY11" s="53"/>
      <c r="BZ11" s="53"/>
    </row>
    <row r="12" spans="1:78" x14ac:dyDescent="0.25">
      <c r="A12" s="7"/>
      <c r="B12" s="37"/>
      <c r="C12" s="37" t="s">
        <v>5</v>
      </c>
      <c r="D12" s="37" t="s">
        <v>128</v>
      </c>
      <c r="E12" s="39" t="s">
        <v>129</v>
      </c>
      <c r="F12" s="57">
        <f t="shared" si="2"/>
        <v>2.6</v>
      </c>
      <c r="G12" s="42">
        <f t="shared" si="3"/>
        <v>2.6</v>
      </c>
      <c r="H12" s="42">
        <f t="shared" si="0"/>
        <v>2.6</v>
      </c>
      <c r="I12" s="42">
        <f t="shared" si="0"/>
        <v>2.6</v>
      </c>
      <c r="J12" s="57">
        <f t="shared" si="4"/>
        <v>2.6</v>
      </c>
      <c r="K12" s="57">
        <f t="shared" si="1"/>
        <v>2.6</v>
      </c>
      <c r="L12" s="57">
        <f t="shared" si="1"/>
        <v>2.6</v>
      </c>
      <c r="M12" s="57">
        <f t="shared" si="1"/>
        <v>2.6</v>
      </c>
      <c r="N12" s="57">
        <f t="shared" si="1"/>
        <v>2.6</v>
      </c>
      <c r="O12" s="57">
        <f t="shared" si="1"/>
        <v>2.6</v>
      </c>
      <c r="P12" s="57">
        <f t="shared" si="1"/>
        <v>2.6</v>
      </c>
      <c r="Q12" s="51"/>
      <c r="R12" s="53"/>
      <c r="S12" s="53">
        <v>2.6</v>
      </c>
      <c r="T12" s="53"/>
      <c r="U12" s="53"/>
      <c r="V12" s="53"/>
      <c r="W12" s="53"/>
      <c r="X12" s="53">
        <v>2.6</v>
      </c>
      <c r="Y12" s="53"/>
      <c r="Z12" s="53"/>
      <c r="AA12" s="53"/>
      <c r="AB12" s="53"/>
      <c r="AC12" s="53">
        <v>2.6</v>
      </c>
      <c r="AD12" s="53"/>
      <c r="AE12" s="53"/>
      <c r="AF12" s="53"/>
      <c r="AG12" s="53"/>
      <c r="AH12" s="53">
        <v>2.6</v>
      </c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3"/>
      <c r="AT12" s="53"/>
      <c r="AU12" s="53"/>
      <c r="AV12" s="53"/>
      <c r="AW12" s="53"/>
      <c r="AX12" s="53"/>
      <c r="AY12" s="53"/>
      <c r="AZ12" s="53"/>
      <c r="BA12" s="53"/>
      <c r="BB12" s="53"/>
      <c r="BC12" s="53"/>
      <c r="BD12" s="53"/>
      <c r="BE12" s="53"/>
      <c r="BF12" s="53"/>
      <c r="BG12" s="53"/>
      <c r="BH12" s="53"/>
      <c r="BI12" s="53"/>
      <c r="BJ12" s="53"/>
      <c r="BK12" s="53"/>
      <c r="BL12" s="53"/>
      <c r="BM12" s="53"/>
      <c r="BN12" s="53"/>
      <c r="BO12" s="53"/>
      <c r="BP12" s="53"/>
      <c r="BQ12" s="53"/>
      <c r="BR12" s="53"/>
      <c r="BS12" s="53"/>
      <c r="BT12" s="53"/>
      <c r="BU12" s="53"/>
      <c r="BV12" s="53"/>
      <c r="BW12" s="53"/>
      <c r="BX12" s="53"/>
      <c r="BY12" s="53"/>
      <c r="BZ12" s="53"/>
    </row>
    <row r="13" spans="1:78" x14ac:dyDescent="0.25">
      <c r="A13" s="7"/>
      <c r="B13" s="37"/>
      <c r="C13" s="37" t="s">
        <v>75</v>
      </c>
      <c r="D13" s="37" t="s">
        <v>128</v>
      </c>
      <c r="E13" s="39" t="s">
        <v>129</v>
      </c>
      <c r="F13" s="57">
        <f t="shared" si="2"/>
        <v>2.5</v>
      </c>
      <c r="G13" s="42">
        <f t="shared" si="3"/>
        <v>2.5</v>
      </c>
      <c r="H13" s="42">
        <f t="shared" si="0"/>
        <v>2.5</v>
      </c>
      <c r="I13" s="42">
        <f t="shared" si="0"/>
        <v>2.42</v>
      </c>
      <c r="J13" s="57">
        <f t="shared" si="4"/>
        <v>2.4</v>
      </c>
      <c r="K13" s="57">
        <f t="shared" si="1"/>
        <v>2.4</v>
      </c>
      <c r="L13" s="57">
        <f t="shared" si="1"/>
        <v>2.4</v>
      </c>
      <c r="M13" s="57">
        <f t="shared" si="1"/>
        <v>2.4</v>
      </c>
      <c r="N13" s="57">
        <f t="shared" si="1"/>
        <v>2.4</v>
      </c>
      <c r="O13" s="57">
        <f t="shared" si="1"/>
        <v>2.4</v>
      </c>
      <c r="P13" s="57">
        <f t="shared" si="1"/>
        <v>2.4</v>
      </c>
      <c r="Q13" s="51"/>
      <c r="R13" s="53"/>
      <c r="S13" s="53">
        <v>2.5</v>
      </c>
      <c r="T13" s="53"/>
      <c r="U13" s="53"/>
      <c r="V13" s="53"/>
      <c r="W13" s="53"/>
      <c r="X13" s="53">
        <v>2.5</v>
      </c>
      <c r="Y13" s="53"/>
      <c r="Z13" s="53"/>
      <c r="AA13" s="53"/>
      <c r="AB13" s="53"/>
      <c r="AC13" s="53">
        <v>2.5</v>
      </c>
      <c r="AD13" s="53"/>
      <c r="AE13" s="53"/>
      <c r="AF13" s="53"/>
      <c r="AG13" s="53"/>
      <c r="AH13" s="53">
        <v>2.4</v>
      </c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  <c r="BC13" s="53"/>
      <c r="BD13" s="53"/>
      <c r="BE13" s="53"/>
      <c r="BF13" s="53"/>
      <c r="BG13" s="53"/>
      <c r="BH13" s="53"/>
      <c r="BI13" s="53"/>
      <c r="BJ13" s="53"/>
      <c r="BK13" s="53"/>
      <c r="BL13" s="53"/>
      <c r="BM13" s="53"/>
      <c r="BN13" s="53"/>
      <c r="BO13" s="53"/>
      <c r="BP13" s="53"/>
      <c r="BQ13" s="53"/>
      <c r="BR13" s="53"/>
      <c r="BS13" s="53"/>
      <c r="BT13" s="53"/>
      <c r="BU13" s="53"/>
      <c r="BV13" s="53"/>
      <c r="BW13" s="53"/>
      <c r="BX13" s="53"/>
      <c r="BY13" s="53"/>
      <c r="BZ13" s="53"/>
    </row>
    <row r="14" spans="1:78" x14ac:dyDescent="0.25">
      <c r="A14" s="7"/>
      <c r="B14" s="37"/>
      <c r="C14" s="37" t="s">
        <v>114</v>
      </c>
      <c r="D14" s="37" t="s">
        <v>128</v>
      </c>
      <c r="E14" s="39" t="s">
        <v>129</v>
      </c>
      <c r="F14" s="57">
        <f t="shared" si="2"/>
        <v>2.5</v>
      </c>
      <c r="G14" s="42">
        <f t="shared" si="3"/>
        <v>2.42</v>
      </c>
      <c r="H14" s="42">
        <f t="shared" si="0"/>
        <v>2.4</v>
      </c>
      <c r="I14" s="42">
        <f t="shared" si="0"/>
        <v>2.3199999999999998</v>
      </c>
      <c r="J14" s="57">
        <f t="shared" si="4"/>
        <v>2.2999999999999998</v>
      </c>
      <c r="K14" s="57">
        <f t="shared" si="1"/>
        <v>2.2999999999999998</v>
      </c>
      <c r="L14" s="57">
        <f t="shared" si="1"/>
        <v>2.2999999999999998</v>
      </c>
      <c r="M14" s="57">
        <f t="shared" si="1"/>
        <v>2.2999999999999998</v>
      </c>
      <c r="N14" s="57">
        <f t="shared" si="1"/>
        <v>2.2999999999999998</v>
      </c>
      <c r="O14" s="57">
        <f t="shared" si="1"/>
        <v>2.2999999999999998</v>
      </c>
      <c r="P14" s="57">
        <f t="shared" si="1"/>
        <v>2.2999999999999998</v>
      </c>
      <c r="Q14" s="51"/>
      <c r="R14" s="53"/>
      <c r="S14" s="53">
        <v>2.5</v>
      </c>
      <c r="T14" s="53"/>
      <c r="U14" s="53"/>
      <c r="V14" s="53"/>
      <c r="W14" s="53"/>
      <c r="X14" s="53">
        <v>2.4</v>
      </c>
      <c r="Y14" s="53"/>
      <c r="Z14" s="53"/>
      <c r="AA14" s="53"/>
      <c r="AB14" s="53"/>
      <c r="AC14" s="53">
        <v>2.4</v>
      </c>
      <c r="AD14" s="53"/>
      <c r="AE14" s="53"/>
      <c r="AF14" s="53"/>
      <c r="AG14" s="53"/>
      <c r="AH14" s="53">
        <v>2.2999999999999998</v>
      </c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3"/>
      <c r="AT14" s="53"/>
      <c r="AU14" s="53"/>
      <c r="AV14" s="53"/>
      <c r="AW14" s="53"/>
      <c r="AX14" s="53"/>
      <c r="AY14" s="53"/>
      <c r="AZ14" s="53"/>
      <c r="BA14" s="53"/>
      <c r="BB14" s="53"/>
      <c r="BC14" s="53"/>
      <c r="BD14" s="53"/>
      <c r="BE14" s="53"/>
      <c r="BF14" s="53"/>
      <c r="BG14" s="53"/>
      <c r="BH14" s="53"/>
      <c r="BI14" s="53"/>
      <c r="BJ14" s="53"/>
      <c r="BK14" s="53"/>
      <c r="BL14" s="53"/>
      <c r="BM14" s="53"/>
      <c r="BN14" s="53"/>
      <c r="BO14" s="53"/>
      <c r="BP14" s="53"/>
      <c r="BQ14" s="53"/>
      <c r="BR14" s="53"/>
      <c r="BS14" s="53"/>
      <c r="BT14" s="53"/>
      <c r="BU14" s="53"/>
      <c r="BV14" s="53"/>
      <c r="BW14" s="53"/>
      <c r="BX14" s="53"/>
      <c r="BY14" s="53"/>
      <c r="BZ14" s="53"/>
    </row>
    <row r="15" spans="1:78" x14ac:dyDescent="0.25">
      <c r="A15" s="7"/>
      <c r="B15" s="37"/>
      <c r="C15" s="37" t="s">
        <v>116</v>
      </c>
      <c r="D15" s="37" t="s">
        <v>128</v>
      </c>
      <c r="E15" s="39" t="s">
        <v>129</v>
      </c>
      <c r="F15" s="57">
        <f t="shared" si="2"/>
        <v>2.9</v>
      </c>
      <c r="G15" s="42">
        <f t="shared" si="3"/>
        <v>2.9</v>
      </c>
      <c r="H15" s="42">
        <f t="shared" si="0"/>
        <v>2.82</v>
      </c>
      <c r="I15" s="42">
        <f t="shared" si="0"/>
        <v>2.72</v>
      </c>
      <c r="J15" s="57">
        <f t="shared" si="4"/>
        <v>2.7</v>
      </c>
      <c r="K15" s="57">
        <f t="shared" si="1"/>
        <v>2.7</v>
      </c>
      <c r="L15" s="57">
        <f t="shared" si="1"/>
        <v>2.7</v>
      </c>
      <c r="M15" s="57">
        <f t="shared" si="1"/>
        <v>2.7</v>
      </c>
      <c r="N15" s="57">
        <f t="shared" si="1"/>
        <v>2.7</v>
      </c>
      <c r="O15" s="57">
        <f t="shared" si="1"/>
        <v>2.7</v>
      </c>
      <c r="P15" s="57">
        <f t="shared" si="1"/>
        <v>2.7</v>
      </c>
      <c r="Q15" s="51"/>
      <c r="R15" s="53"/>
      <c r="S15" s="53">
        <v>2.9</v>
      </c>
      <c r="T15" s="53"/>
      <c r="U15" s="53"/>
      <c r="V15" s="53"/>
      <c r="W15" s="53"/>
      <c r="X15" s="53">
        <v>2.9</v>
      </c>
      <c r="Y15" s="53"/>
      <c r="Z15" s="53"/>
      <c r="AA15" s="53"/>
      <c r="AB15" s="53"/>
      <c r="AC15" s="53">
        <v>2.8</v>
      </c>
      <c r="AD15" s="53"/>
      <c r="AE15" s="53"/>
      <c r="AF15" s="53"/>
      <c r="AG15" s="53"/>
      <c r="AH15" s="53">
        <v>2.7</v>
      </c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3"/>
      <c r="AW15" s="53"/>
      <c r="AX15" s="53"/>
      <c r="AY15" s="53"/>
      <c r="AZ15" s="53"/>
      <c r="BA15" s="53"/>
      <c r="BB15" s="53"/>
      <c r="BC15" s="53"/>
      <c r="BD15" s="53"/>
      <c r="BE15" s="53"/>
      <c r="BF15" s="53"/>
      <c r="BG15" s="53"/>
      <c r="BH15" s="53"/>
      <c r="BI15" s="53"/>
      <c r="BJ15" s="53"/>
      <c r="BK15" s="53"/>
      <c r="BL15" s="53"/>
      <c r="BM15" s="53"/>
      <c r="BN15" s="53"/>
      <c r="BO15" s="53"/>
      <c r="BP15" s="53"/>
      <c r="BQ15" s="53"/>
      <c r="BR15" s="53"/>
      <c r="BS15" s="53"/>
      <c r="BT15" s="53"/>
      <c r="BU15" s="53"/>
      <c r="BV15" s="53"/>
      <c r="BW15" s="53"/>
      <c r="BX15" s="53"/>
      <c r="BY15" s="53"/>
      <c r="BZ15" s="53"/>
    </row>
    <row r="16" spans="1:78" x14ac:dyDescent="0.25">
      <c r="A16" s="7"/>
      <c r="B16" s="37"/>
      <c r="C16" s="37" t="s">
        <v>115</v>
      </c>
      <c r="D16" s="37" t="s">
        <v>128</v>
      </c>
      <c r="E16" s="39" t="s">
        <v>129</v>
      </c>
      <c r="F16" s="57">
        <f t="shared" si="2"/>
        <v>3.7</v>
      </c>
      <c r="G16" s="42">
        <f t="shared" si="3"/>
        <v>3.7</v>
      </c>
      <c r="H16" s="42">
        <f t="shared" si="0"/>
        <v>3.7</v>
      </c>
      <c r="I16" s="42">
        <f t="shared" si="0"/>
        <v>3.62</v>
      </c>
      <c r="J16" s="57">
        <f t="shared" si="4"/>
        <v>3.6</v>
      </c>
      <c r="K16" s="57">
        <f t="shared" si="1"/>
        <v>3.6</v>
      </c>
      <c r="L16" s="57">
        <f t="shared" si="1"/>
        <v>3.6</v>
      </c>
      <c r="M16" s="57">
        <f t="shared" si="1"/>
        <v>3.6</v>
      </c>
      <c r="N16" s="57">
        <f t="shared" si="1"/>
        <v>3.6</v>
      </c>
      <c r="O16" s="57">
        <f t="shared" si="1"/>
        <v>3.6</v>
      </c>
      <c r="P16" s="57">
        <f t="shared" si="1"/>
        <v>3.6</v>
      </c>
      <c r="Q16" s="51"/>
      <c r="R16" s="53"/>
      <c r="S16" s="53">
        <v>3.7</v>
      </c>
      <c r="T16" s="53"/>
      <c r="U16" s="53"/>
      <c r="V16" s="53"/>
      <c r="W16" s="53"/>
      <c r="X16" s="53">
        <v>3.7</v>
      </c>
      <c r="Y16" s="53"/>
      <c r="Z16" s="53"/>
      <c r="AA16" s="53"/>
      <c r="AB16" s="53"/>
      <c r="AC16" s="53">
        <v>3.7</v>
      </c>
      <c r="AD16" s="53"/>
      <c r="AE16" s="53"/>
      <c r="AF16" s="53"/>
      <c r="AG16" s="53"/>
      <c r="AH16" s="53">
        <v>3.6</v>
      </c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  <c r="BC16" s="53"/>
      <c r="BD16" s="53"/>
      <c r="BE16" s="53"/>
      <c r="BF16" s="53"/>
      <c r="BG16" s="53"/>
      <c r="BH16" s="53"/>
      <c r="BI16" s="53"/>
      <c r="BJ16" s="53"/>
      <c r="BK16" s="53"/>
      <c r="BL16" s="53"/>
      <c r="BM16" s="53"/>
      <c r="BN16" s="53"/>
      <c r="BO16" s="53"/>
      <c r="BP16" s="53"/>
      <c r="BQ16" s="53"/>
      <c r="BR16" s="53"/>
      <c r="BS16" s="53"/>
      <c r="BT16" s="53"/>
      <c r="BU16" s="53"/>
      <c r="BV16" s="53"/>
      <c r="BW16" s="53"/>
      <c r="BX16" s="53"/>
      <c r="BY16" s="53"/>
      <c r="BZ16" s="53"/>
    </row>
    <row r="17" spans="1:78" x14ac:dyDescent="0.25">
      <c r="A17" s="7"/>
      <c r="B17" s="37"/>
      <c r="C17" s="37"/>
      <c r="D17" s="37"/>
      <c r="E17" s="18"/>
      <c r="F17" s="42"/>
      <c r="G17" s="42"/>
      <c r="H17" s="42"/>
      <c r="I17" s="42"/>
      <c r="Q17" s="51"/>
    </row>
    <row r="18" spans="1:78" x14ac:dyDescent="0.25">
      <c r="A18" s="7"/>
      <c r="B18" s="37"/>
      <c r="C18" s="37"/>
      <c r="D18" s="37"/>
      <c r="E18" s="18"/>
      <c r="F18" s="42"/>
      <c r="G18" s="42"/>
      <c r="H18" s="42"/>
      <c r="I18" s="42"/>
      <c r="Q18" s="51"/>
    </row>
    <row r="19" spans="1:78" x14ac:dyDescent="0.25">
      <c r="A19" s="7"/>
      <c r="B19" s="71" t="s">
        <v>101</v>
      </c>
      <c r="C19" s="37" t="s">
        <v>59</v>
      </c>
      <c r="D19" s="37" t="s">
        <v>101</v>
      </c>
      <c r="E19" s="18" t="s">
        <v>104</v>
      </c>
      <c r="F19" s="19">
        <f>Macro!F3/F3</f>
        <v>11802203.846153846</v>
      </c>
      <c r="G19" s="19">
        <f>Macro!G3/G3</f>
        <v>12795140.079365078</v>
      </c>
      <c r="H19" s="19">
        <f>Macro!H3/H3</f>
        <v>13601955.6</v>
      </c>
      <c r="I19" s="19">
        <f>Macro!I3/I3</f>
        <v>14753267.768595042</v>
      </c>
      <c r="J19" s="19">
        <f>Macro!J3/J3</f>
        <v>15780708.333333334</v>
      </c>
      <c r="K19" s="19">
        <f>Macro!K3/K3</f>
        <v>16630625</v>
      </c>
      <c r="L19" s="19">
        <f>Macro!L3/L3</f>
        <v>17453375</v>
      </c>
      <c r="M19" s="19">
        <f>Macro!M3/M3</f>
        <v>18231458.333333336</v>
      </c>
      <c r="N19" s="19">
        <f>Macro!N3/N3</f>
        <v>18961166.666666668</v>
      </c>
      <c r="O19" s="19">
        <f>Macro!O3/O3</f>
        <v>19648416.666666668</v>
      </c>
      <c r="P19" s="19">
        <f>Macro!P3/P3</f>
        <v>20317958.333333336</v>
      </c>
      <c r="Q19" s="51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53"/>
      <c r="AQ19" s="53"/>
      <c r="AR19" s="53"/>
      <c r="AS19" s="53"/>
      <c r="AT19" s="53"/>
      <c r="AU19" s="53"/>
      <c r="AV19" s="53"/>
      <c r="AW19" s="53"/>
      <c r="AX19" s="53"/>
      <c r="AY19" s="53"/>
      <c r="AZ19" s="53"/>
      <c r="BA19" s="53"/>
      <c r="BB19" s="53"/>
      <c r="BC19" s="53"/>
      <c r="BD19" s="53"/>
      <c r="BE19" s="53"/>
      <c r="BF19" s="53"/>
      <c r="BG19" s="53"/>
      <c r="BH19" s="53"/>
      <c r="BI19" s="53"/>
      <c r="BJ19" s="53"/>
      <c r="BK19" s="53"/>
      <c r="BL19" s="53"/>
      <c r="BM19" s="53"/>
      <c r="BN19" s="53"/>
      <c r="BO19" s="53"/>
      <c r="BP19" s="53"/>
      <c r="BQ19" s="53"/>
      <c r="BR19" s="53"/>
      <c r="BS19" s="53"/>
      <c r="BT19" s="53"/>
      <c r="BU19" s="53"/>
      <c r="BV19" s="53"/>
      <c r="BW19" s="53"/>
      <c r="BX19" s="53"/>
      <c r="BY19" s="53"/>
      <c r="BZ19" s="53"/>
    </row>
    <row r="20" spans="1:78" x14ac:dyDescent="0.25">
      <c r="A20" s="7"/>
      <c r="B20" s="15"/>
      <c r="C20" s="15" t="s">
        <v>106</v>
      </c>
      <c r="D20" s="37" t="s">
        <v>101</v>
      </c>
      <c r="E20" s="18" t="s">
        <v>104</v>
      </c>
      <c r="F20" s="19">
        <f>Macro!F4/F4</f>
        <v>195542.96296296295</v>
      </c>
      <c r="G20" s="19">
        <f>Macro!G4/G4</f>
        <v>202492.91338582677</v>
      </c>
      <c r="H20" s="19">
        <f>Macro!H4/H4</f>
        <v>215706.19834710745</v>
      </c>
      <c r="I20" s="19">
        <f>Macro!I4/I4</f>
        <v>227636.63793103449</v>
      </c>
      <c r="J20" s="19">
        <f>Macro!J4/J4</f>
        <v>227086.95652173914</v>
      </c>
      <c r="K20" s="19">
        <f>Macro!K4/K4</f>
        <v>223217.39130434784</v>
      </c>
      <c r="L20" s="19">
        <f>Macro!L4/L4</f>
        <v>218260.86956521741</v>
      </c>
      <c r="M20" s="19">
        <f>Macro!M4/M4</f>
        <v>211913.04347826089</v>
      </c>
      <c r="N20" s="19">
        <f>Macro!N4/N4</f>
        <v>204391.30434782611</v>
      </c>
      <c r="O20" s="19">
        <f>Macro!O4/O4</f>
        <v>211799.49427529416</v>
      </c>
      <c r="P20" s="19">
        <f>Macro!P4/P4</f>
        <v>219016.79777623297</v>
      </c>
      <c r="Q20" s="51"/>
      <c r="R20" s="53"/>
      <c r="S20" s="53"/>
      <c r="T20" s="53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3"/>
      <c r="AT20" s="53"/>
      <c r="AU20" s="53"/>
      <c r="AV20" s="53"/>
      <c r="AW20" s="53"/>
      <c r="AX20" s="53"/>
      <c r="AY20" s="53"/>
      <c r="AZ20" s="53"/>
      <c r="BA20" s="53"/>
      <c r="BB20" s="53"/>
      <c r="BC20" s="53"/>
      <c r="BD20" s="53"/>
      <c r="BE20" s="53"/>
      <c r="BF20" s="53"/>
      <c r="BG20" s="53"/>
      <c r="BH20" s="53"/>
      <c r="BI20" s="53"/>
      <c r="BJ20" s="53"/>
      <c r="BK20" s="53"/>
      <c r="BL20" s="53"/>
      <c r="BM20" s="53"/>
      <c r="BN20" s="53"/>
      <c r="BO20" s="53"/>
      <c r="BP20" s="53"/>
      <c r="BQ20" s="53"/>
      <c r="BR20" s="53"/>
      <c r="BS20" s="53"/>
      <c r="BT20" s="53"/>
      <c r="BU20" s="53"/>
      <c r="BV20" s="53"/>
      <c r="BW20" s="53"/>
      <c r="BX20" s="53"/>
      <c r="BY20" s="53"/>
      <c r="BZ20" s="53"/>
    </row>
    <row r="21" spans="1:78" x14ac:dyDescent="0.25">
      <c r="A21" s="7"/>
      <c r="B21" s="37"/>
      <c r="C21" s="37" t="s">
        <v>107</v>
      </c>
      <c r="D21" s="37" t="s">
        <v>101</v>
      </c>
      <c r="E21" s="18" t="s">
        <v>104</v>
      </c>
      <c r="F21" s="19">
        <f>Macro!F5/F5</f>
        <v>52488.461538461539</v>
      </c>
      <c r="G21" s="19">
        <f>Macro!G5/G5</f>
        <v>54787.30158730159</v>
      </c>
      <c r="H21" s="19">
        <f>Macro!H5/H5</f>
        <v>58534.710743801654</v>
      </c>
      <c r="I21" s="19">
        <f>Macro!I5/I5</f>
        <v>62304.310344827587</v>
      </c>
      <c r="J21" s="19">
        <f>Macro!J5/J5</f>
        <v>68434.782608695663</v>
      </c>
      <c r="K21" s="19">
        <f>Macro!K5/K5</f>
        <v>72956.521739130447</v>
      </c>
      <c r="L21" s="19">
        <f>Macro!L5/L5</f>
        <v>77217.391304347839</v>
      </c>
      <c r="M21" s="19">
        <f>Macro!M5/M5</f>
        <v>81000</v>
      </c>
      <c r="N21" s="19">
        <f>Macro!N5/N5</f>
        <v>84173.913043478271</v>
      </c>
      <c r="O21" s="19">
        <f>Macro!O5/O5</f>
        <v>87224.807682826955</v>
      </c>
      <c r="P21" s="19">
        <f>Macro!P5/P5</f>
        <v>90197.090086106589</v>
      </c>
      <c r="Q21" s="51"/>
      <c r="R21" s="53"/>
      <c r="S21" s="53"/>
      <c r="T21" s="53"/>
      <c r="U21" s="53"/>
      <c r="V21" s="53"/>
      <c r="W21" s="53"/>
      <c r="X21" s="53"/>
      <c r="Y21" s="53"/>
      <c r="Z21" s="53"/>
      <c r="AA21" s="53"/>
      <c r="AB21" s="53"/>
      <c r="AC21" s="53"/>
      <c r="AD21" s="53"/>
      <c r="AE21" s="53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3"/>
      <c r="AT21" s="53"/>
      <c r="AU21" s="53"/>
      <c r="AV21" s="53"/>
      <c r="AW21" s="53"/>
      <c r="AX21" s="53"/>
      <c r="AY21" s="53"/>
      <c r="AZ21" s="53"/>
      <c r="BA21" s="53"/>
      <c r="BB21" s="53"/>
      <c r="BC21" s="53"/>
      <c r="BD21" s="53"/>
      <c r="BE21" s="53"/>
      <c r="BF21" s="53"/>
      <c r="BG21" s="53"/>
      <c r="BH21" s="53"/>
      <c r="BI21" s="53"/>
      <c r="BJ21" s="53"/>
      <c r="BK21" s="53"/>
      <c r="BL21" s="53"/>
      <c r="BM21" s="53"/>
      <c r="BN21" s="53"/>
      <c r="BO21" s="53"/>
      <c r="BP21" s="53"/>
      <c r="BQ21" s="53"/>
      <c r="BR21" s="53"/>
      <c r="BS21" s="53"/>
      <c r="BT21" s="53"/>
      <c r="BU21" s="53"/>
      <c r="BV21" s="53"/>
      <c r="BW21" s="53"/>
      <c r="BX21" s="53"/>
      <c r="BY21" s="53"/>
      <c r="BZ21" s="53"/>
    </row>
    <row r="22" spans="1:78" x14ac:dyDescent="0.25">
      <c r="A22" s="7"/>
      <c r="B22" s="37"/>
      <c r="C22" s="37" t="s">
        <v>108</v>
      </c>
      <c r="D22" s="37" t="s">
        <v>101</v>
      </c>
      <c r="E22" s="18" t="s">
        <v>104</v>
      </c>
      <c r="F22" s="19">
        <f>Macro!F6/F6</f>
        <v>373528.4</v>
      </c>
      <c r="G22" s="19">
        <f>Macro!G6/G6</f>
        <v>387572.72727272729</v>
      </c>
      <c r="H22" s="19">
        <f>Macro!H6/H6</f>
        <v>406080.60344827588</v>
      </c>
      <c r="I22" s="19">
        <f>Macro!I6/I6</f>
        <v>407184.78260869568</v>
      </c>
      <c r="J22" s="19">
        <f>Macro!J6/J6</f>
        <v>420478.26086956525</v>
      </c>
      <c r="K22" s="19">
        <f>Macro!K6/K6</f>
        <v>427782.60869565222</v>
      </c>
      <c r="L22" s="19">
        <f>Macro!L6/L6</f>
        <v>433086.95652173914</v>
      </c>
      <c r="M22" s="19">
        <f>Macro!M6/M6</f>
        <v>435304.34782608697</v>
      </c>
      <c r="N22" s="19">
        <f>Macro!N6/N6</f>
        <v>434217.39130434784</v>
      </c>
      <c r="O22" s="19">
        <f>Macro!O6/O6</f>
        <v>449955.65822747565</v>
      </c>
      <c r="P22" s="19">
        <f>Macro!P6/P6</f>
        <v>465288.39808364998</v>
      </c>
      <c r="Q22" s="51"/>
      <c r="R22" s="53"/>
      <c r="S22" s="53"/>
      <c r="T22" s="53"/>
      <c r="U22" s="53"/>
      <c r="V22" s="53"/>
      <c r="W22" s="53"/>
      <c r="X22" s="53"/>
      <c r="Y22" s="53"/>
      <c r="Z22" s="53"/>
      <c r="AA22" s="53"/>
      <c r="AB22" s="53"/>
      <c r="AC22" s="53"/>
      <c r="AD22" s="53"/>
      <c r="AE22" s="53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3"/>
      <c r="AT22" s="53"/>
      <c r="AU22" s="53"/>
      <c r="AV22" s="53"/>
      <c r="AW22" s="53"/>
      <c r="AX22" s="53"/>
      <c r="AY22" s="53"/>
      <c r="AZ22" s="53"/>
      <c r="BA22" s="53"/>
      <c r="BB22" s="53"/>
      <c r="BC22" s="53"/>
      <c r="BD22" s="53"/>
      <c r="BE22" s="53"/>
      <c r="BF22" s="53"/>
      <c r="BG22" s="53"/>
      <c r="BH22" s="53"/>
      <c r="BI22" s="53"/>
      <c r="BJ22" s="53"/>
      <c r="BK22" s="53"/>
      <c r="BL22" s="53"/>
      <c r="BM22" s="53"/>
      <c r="BN22" s="53"/>
      <c r="BO22" s="53"/>
      <c r="BP22" s="53"/>
      <c r="BQ22" s="53"/>
      <c r="BR22" s="53"/>
      <c r="BS22" s="53"/>
      <c r="BT22" s="53"/>
      <c r="BU22" s="53"/>
      <c r="BV22" s="53"/>
      <c r="BW22" s="53"/>
      <c r="BX22" s="53"/>
      <c r="BY22" s="53"/>
      <c r="BZ22" s="53"/>
    </row>
    <row r="23" spans="1:78" x14ac:dyDescent="0.25">
      <c r="A23" s="7"/>
      <c r="B23" s="37"/>
      <c r="C23" s="37" t="s">
        <v>109</v>
      </c>
      <c r="D23" s="37" t="s">
        <v>101</v>
      </c>
      <c r="E23" s="18" t="s">
        <v>104</v>
      </c>
      <c r="F23" s="19">
        <f>Macro!F7/F7</f>
        <v>300206.8</v>
      </c>
      <c r="G23" s="19">
        <f>Macro!G7/G7</f>
        <v>309114.46280991734</v>
      </c>
      <c r="H23" s="19">
        <f>Macro!H7/H7</f>
        <v>324584.05172413797</v>
      </c>
      <c r="I23" s="19">
        <f>Macro!I7/I7</f>
        <v>329931.30434782611</v>
      </c>
      <c r="J23" s="19">
        <f>Macro!J7/J7</f>
        <v>337217.39130434784</v>
      </c>
      <c r="K23" s="19">
        <f>Macro!K7/K7</f>
        <v>342478.26086956525</v>
      </c>
      <c r="L23" s="19">
        <f>Macro!L7/L7</f>
        <v>346347.82608695654</v>
      </c>
      <c r="M23" s="19">
        <f>Macro!M7/M7</f>
        <v>347956.52173913049</v>
      </c>
      <c r="N23" s="19">
        <f>Macro!N7/N7</f>
        <v>347000</v>
      </c>
      <c r="O23" s="19">
        <f>Macro!O7/O7</f>
        <v>359577.06101066218</v>
      </c>
      <c r="P23" s="19">
        <f>Macro!P7/P7</f>
        <v>371830.04957500857</v>
      </c>
      <c r="Q23" s="51"/>
      <c r="R23" s="53"/>
      <c r="S23" s="53"/>
      <c r="T23" s="53"/>
      <c r="U23" s="53"/>
      <c r="V23" s="53"/>
      <c r="W23" s="53"/>
      <c r="X23" s="53"/>
      <c r="Y23" s="53"/>
      <c r="Z23" s="53"/>
      <c r="AA23" s="53"/>
      <c r="AB23" s="53"/>
      <c r="AC23" s="53"/>
      <c r="AD23" s="53"/>
      <c r="AE23" s="53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53"/>
      <c r="AQ23" s="53"/>
      <c r="AR23" s="53"/>
      <c r="AS23" s="53"/>
      <c r="AT23" s="53"/>
      <c r="AU23" s="53"/>
      <c r="AV23" s="53"/>
      <c r="AW23" s="53"/>
      <c r="AX23" s="53"/>
      <c r="AY23" s="53"/>
      <c r="AZ23" s="53"/>
      <c r="BA23" s="53"/>
      <c r="BB23" s="53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53"/>
      <c r="BO23" s="53"/>
      <c r="BP23" s="53"/>
      <c r="BQ23" s="53"/>
      <c r="BR23" s="53"/>
      <c r="BS23" s="53"/>
      <c r="BT23" s="53"/>
      <c r="BU23" s="53"/>
      <c r="BV23" s="53"/>
      <c r="BW23" s="53"/>
      <c r="BX23" s="53"/>
      <c r="BY23" s="53"/>
      <c r="BZ23" s="53"/>
    </row>
    <row r="24" spans="1:78" x14ac:dyDescent="0.25">
      <c r="A24" s="7"/>
      <c r="B24" s="37"/>
      <c r="C24" s="37" t="s">
        <v>110</v>
      </c>
      <c r="D24" s="37" t="s">
        <v>101</v>
      </c>
      <c r="E24" s="18" t="s">
        <v>104</v>
      </c>
      <c r="F24" s="19">
        <f>Macro!F8/F8</f>
        <v>3065396.25</v>
      </c>
      <c r="G24" s="19">
        <f>Macro!G8/G8</f>
        <v>3267877.5862068967</v>
      </c>
      <c r="H24" s="19">
        <f>Macro!H8/H8</f>
        <v>3447487.826086957</v>
      </c>
      <c r="I24" s="19">
        <f>Macro!I8/I8</f>
        <v>3554466.086956522</v>
      </c>
      <c r="J24" s="19">
        <f>Macro!J8/J8</f>
        <v>3693260.8695652178</v>
      </c>
      <c r="K24" s="19">
        <f>Macro!K8/K8</f>
        <v>3799347.826086957</v>
      </c>
      <c r="L24" s="19">
        <f>Macro!L8/L8</f>
        <v>3895173.9130434785</v>
      </c>
      <c r="M24" s="19">
        <f>Macro!M8/M8</f>
        <v>3982217.3913043481</v>
      </c>
      <c r="N24" s="19">
        <f>Macro!N8/N8</f>
        <v>4066565.2173913047</v>
      </c>
      <c r="O24" s="19">
        <f>Macro!O8/O8</f>
        <v>4213958.4129041778</v>
      </c>
      <c r="P24" s="19">
        <f>Macro!P8/P8</f>
        <v>4357553.7359729521</v>
      </c>
      <c r="Q24" s="51"/>
      <c r="R24" s="53"/>
      <c r="S24" s="53"/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53"/>
      <c r="AE24" s="53"/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3"/>
      <c r="AT24" s="53"/>
      <c r="AU24" s="53"/>
      <c r="AV24" s="53"/>
      <c r="AW24" s="53"/>
      <c r="AX24" s="53"/>
      <c r="AY24" s="53"/>
      <c r="AZ24" s="53"/>
      <c r="BA24" s="53"/>
      <c r="BB24" s="53"/>
      <c r="BC24" s="53"/>
      <c r="BD24" s="53"/>
      <c r="BE24" s="53"/>
      <c r="BF24" s="53"/>
      <c r="BG24" s="53"/>
      <c r="BH24" s="53"/>
      <c r="BI24" s="53"/>
      <c r="BJ24" s="53"/>
      <c r="BK24" s="53"/>
      <c r="BL24" s="53"/>
      <c r="BM24" s="53"/>
      <c r="BN24" s="53"/>
      <c r="BO24" s="53"/>
      <c r="BP24" s="53"/>
      <c r="BQ24" s="53"/>
      <c r="BR24" s="53"/>
      <c r="BS24" s="53"/>
      <c r="BT24" s="53"/>
      <c r="BU24" s="53"/>
      <c r="BV24" s="53"/>
      <c r="BW24" s="53"/>
      <c r="BX24" s="53"/>
      <c r="BY24" s="53"/>
      <c r="BZ24" s="53"/>
    </row>
    <row r="25" spans="1:78" x14ac:dyDescent="0.25">
      <c r="A25" s="7"/>
      <c r="B25" s="37"/>
      <c r="C25" s="37" t="s">
        <v>111</v>
      </c>
      <c r="D25" s="37" t="s">
        <v>101</v>
      </c>
      <c r="E25" s="18" t="s">
        <v>104</v>
      </c>
      <c r="F25" s="19">
        <f>Macro!F9/F9</f>
        <v>4327144.444444444</v>
      </c>
      <c r="G25" s="19">
        <f>Macro!G9/G9</f>
        <v>4781932.4427480912</v>
      </c>
      <c r="H25" s="19">
        <f>Macro!H9/H9</f>
        <v>5052222.307692308</v>
      </c>
      <c r="I25" s="19">
        <f>Macro!I9/I9</f>
        <v>5271968.461538461</v>
      </c>
      <c r="J25" s="19">
        <f>Macro!J9/J9</f>
        <v>5645346.153846154</v>
      </c>
      <c r="K25" s="19">
        <f>Macro!K9/K9</f>
        <v>5985230.769230769</v>
      </c>
      <c r="L25" s="19">
        <f>Macro!L9/L9</f>
        <v>6312153.8461538451</v>
      </c>
      <c r="M25" s="19">
        <f>Macro!M9/M9</f>
        <v>6613500</v>
      </c>
      <c r="N25" s="19">
        <f>Macro!N9/N9</f>
        <v>6881538.461538461</v>
      </c>
      <c r="O25" s="19">
        <f>Macro!O9/O9</f>
        <v>7130960.7355384259</v>
      </c>
      <c r="P25" s="19">
        <f>Macro!P9/P9</f>
        <v>7373956.1593837878</v>
      </c>
      <c r="Q25" s="51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53"/>
      <c r="AG25" s="53"/>
      <c r="AH25" s="53"/>
      <c r="AI25" s="53"/>
      <c r="AJ25" s="53"/>
      <c r="AK25" s="53"/>
      <c r="AL25" s="53"/>
      <c r="AM25" s="53"/>
      <c r="AN25" s="53"/>
      <c r="AO25" s="53"/>
      <c r="AP25" s="53"/>
      <c r="AQ25" s="53"/>
      <c r="AR25" s="53"/>
      <c r="AS25" s="53"/>
      <c r="AT25" s="53"/>
      <c r="AU25" s="53"/>
      <c r="AV25" s="53"/>
      <c r="AW25" s="53"/>
      <c r="AX25" s="53"/>
      <c r="AY25" s="53"/>
      <c r="AZ25" s="53"/>
      <c r="BA25" s="53"/>
      <c r="BB25" s="53"/>
      <c r="BC25" s="53"/>
      <c r="BD25" s="53"/>
      <c r="BE25" s="53"/>
      <c r="BF25" s="53"/>
      <c r="BG25" s="53"/>
      <c r="BH25" s="53"/>
      <c r="BI25" s="53"/>
      <c r="BJ25" s="53"/>
      <c r="BK25" s="53"/>
      <c r="BL25" s="53"/>
      <c r="BM25" s="53"/>
      <c r="BN25" s="53"/>
      <c r="BO25" s="53"/>
      <c r="BP25" s="53"/>
      <c r="BQ25" s="53"/>
      <c r="BR25" s="53"/>
      <c r="BS25" s="53"/>
      <c r="BT25" s="53"/>
      <c r="BU25" s="53"/>
      <c r="BV25" s="53"/>
      <c r="BW25" s="53"/>
      <c r="BX25" s="53"/>
      <c r="BY25" s="53"/>
      <c r="BZ25" s="53"/>
    </row>
    <row r="26" spans="1:78" x14ac:dyDescent="0.25">
      <c r="A26" s="7"/>
      <c r="B26" s="37"/>
      <c r="C26" s="37" t="s">
        <v>112</v>
      </c>
      <c r="D26" s="37" t="s">
        <v>101</v>
      </c>
      <c r="E26" s="18" t="s">
        <v>104</v>
      </c>
      <c r="F26" s="19">
        <f>Macro!F10/F10</f>
        <v>458925.2</v>
      </c>
      <c r="G26" s="19">
        <f>Macro!G10/G10</f>
        <v>471305.6</v>
      </c>
      <c r="H26" s="19">
        <f>Macro!H10/H10</f>
        <v>488312</v>
      </c>
      <c r="I26" s="19">
        <f>Macro!I10/I10</f>
        <v>516890.8</v>
      </c>
      <c r="J26" s="19">
        <f>Macro!J10/J10</f>
        <v>552760</v>
      </c>
      <c r="K26" s="19">
        <f>Macro!K10/K10</f>
        <v>583120</v>
      </c>
      <c r="L26" s="19">
        <f>Macro!L10/L10</f>
        <v>613920</v>
      </c>
      <c r="M26" s="19">
        <f>Macro!M10/M10</f>
        <v>645120</v>
      </c>
      <c r="N26" s="19">
        <f>Macro!N10/N10</f>
        <v>677000</v>
      </c>
      <c r="O26" s="19">
        <f>Macro!O10/O10</f>
        <v>701537.95476719958</v>
      </c>
      <c r="P26" s="19">
        <f>Macro!P10/P10</f>
        <v>725443.64138985821</v>
      </c>
      <c r="Q26" s="51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53"/>
      <c r="AG26" s="53"/>
      <c r="AH26" s="53"/>
      <c r="AI26" s="53"/>
      <c r="AJ26" s="53"/>
      <c r="AK26" s="53"/>
      <c r="AL26" s="53"/>
      <c r="AM26" s="53"/>
      <c r="AN26" s="53"/>
      <c r="AO26" s="53"/>
      <c r="AP26" s="53"/>
      <c r="AQ26" s="53"/>
      <c r="AR26" s="53"/>
      <c r="AS26" s="53"/>
      <c r="AT26" s="53"/>
      <c r="AU26" s="53"/>
      <c r="AV26" s="53"/>
      <c r="AW26" s="53"/>
      <c r="AX26" s="53"/>
      <c r="AY26" s="53"/>
      <c r="AZ26" s="53"/>
      <c r="BA26" s="53"/>
      <c r="BB26" s="53"/>
      <c r="BC26" s="53"/>
      <c r="BD26" s="53"/>
      <c r="BE26" s="53"/>
      <c r="BF26" s="53"/>
      <c r="BG26" s="53"/>
      <c r="BH26" s="53"/>
      <c r="BI26" s="53"/>
      <c r="BJ26" s="53"/>
      <c r="BK26" s="53"/>
      <c r="BL26" s="53"/>
      <c r="BM26" s="53"/>
      <c r="BN26" s="53"/>
      <c r="BO26" s="53"/>
      <c r="BP26" s="53"/>
      <c r="BQ26" s="53"/>
      <c r="BR26" s="53"/>
      <c r="BS26" s="53"/>
      <c r="BT26" s="53"/>
      <c r="BU26" s="53"/>
      <c r="BV26" s="53"/>
      <c r="BW26" s="53"/>
      <c r="BX26" s="53"/>
      <c r="BY26" s="53"/>
      <c r="BZ26" s="53"/>
    </row>
    <row r="27" spans="1:78" x14ac:dyDescent="0.25">
      <c r="A27" s="7"/>
      <c r="B27" s="37"/>
      <c r="C27" s="37" t="s">
        <v>113</v>
      </c>
      <c r="D27" s="37" t="s">
        <v>101</v>
      </c>
      <c r="E27" s="18" t="s">
        <v>104</v>
      </c>
      <c r="F27" s="19">
        <f>Macro!F11/F11</f>
        <v>403026</v>
      </c>
      <c r="G27" s="19">
        <f>Macro!G11/G11</f>
        <v>410537.19008264464</v>
      </c>
      <c r="H27" s="19">
        <f>Macro!H11/H11</f>
        <v>423968.95161290321</v>
      </c>
      <c r="I27" s="19">
        <f>Macro!I11/I11</f>
        <v>448386.8</v>
      </c>
      <c r="J27" s="19">
        <f>Macro!J11/J11</f>
        <v>478040</v>
      </c>
      <c r="K27" s="19">
        <f>Macro!K11/K11</f>
        <v>514800</v>
      </c>
      <c r="L27" s="19">
        <f>Macro!L11/L11</f>
        <v>552160</v>
      </c>
      <c r="M27" s="19">
        <f>Macro!M11/M11</f>
        <v>587520</v>
      </c>
      <c r="N27" s="19">
        <f>Macro!N11/N11</f>
        <v>619480</v>
      </c>
      <c r="O27" s="19">
        <f>Macro!O11/O11</f>
        <v>641933.13474030257</v>
      </c>
      <c r="P27" s="19">
        <f>Macro!P11/P11</f>
        <v>663807.72078019113</v>
      </c>
      <c r="Q27" s="51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53"/>
      <c r="AG27" s="53"/>
      <c r="AH27" s="53"/>
      <c r="AI27" s="53"/>
      <c r="AJ27" s="53"/>
      <c r="AK27" s="53"/>
      <c r="AL27" s="53"/>
      <c r="AM27" s="53"/>
      <c r="AN27" s="53"/>
      <c r="AO27" s="53"/>
      <c r="AP27" s="53"/>
      <c r="AQ27" s="53"/>
      <c r="AR27" s="53"/>
      <c r="AS27" s="53"/>
      <c r="AT27" s="53"/>
      <c r="AU27" s="53"/>
      <c r="AV27" s="53"/>
      <c r="AW27" s="53"/>
      <c r="AX27" s="53"/>
      <c r="AY27" s="53"/>
      <c r="AZ27" s="53"/>
      <c r="BA27" s="53"/>
      <c r="BB27" s="53"/>
      <c r="BC27" s="53"/>
      <c r="BD27" s="53"/>
      <c r="BE27" s="53"/>
      <c r="BF27" s="53"/>
      <c r="BG27" s="53"/>
      <c r="BH27" s="53"/>
      <c r="BI27" s="53"/>
      <c r="BJ27" s="53"/>
      <c r="BK27" s="53"/>
      <c r="BL27" s="53"/>
      <c r="BM27" s="53"/>
      <c r="BN27" s="53"/>
      <c r="BO27" s="53"/>
      <c r="BP27" s="53"/>
      <c r="BQ27" s="53"/>
      <c r="BR27" s="53"/>
      <c r="BS27" s="53"/>
      <c r="BT27" s="53"/>
      <c r="BU27" s="53"/>
      <c r="BV27" s="53"/>
      <c r="BW27" s="53"/>
      <c r="BX27" s="53"/>
      <c r="BY27" s="53"/>
      <c r="BZ27" s="53"/>
    </row>
    <row r="28" spans="1:78" x14ac:dyDescent="0.25">
      <c r="A28" s="7"/>
      <c r="B28" s="37"/>
      <c r="C28" s="37" t="s">
        <v>5</v>
      </c>
      <c r="D28" s="37" t="s">
        <v>101</v>
      </c>
      <c r="E28" s="18" t="s">
        <v>104</v>
      </c>
      <c r="F28" s="19">
        <f>Macro!F12/F12</f>
        <v>1155460.7692307692</v>
      </c>
      <c r="G28" s="19">
        <f>Macro!G12/G12</f>
        <v>1277603.076923077</v>
      </c>
      <c r="H28" s="19">
        <f>Macro!H12/H12</f>
        <v>1435416.1538461538</v>
      </c>
      <c r="I28" s="19">
        <f>Macro!I12/I12</f>
        <v>1594035</v>
      </c>
      <c r="J28" s="19">
        <f>Macro!J12/J12</f>
        <v>1720307.6923076923</v>
      </c>
      <c r="K28" s="19">
        <f>Macro!K12/K12</f>
        <v>1887884.6153846153</v>
      </c>
      <c r="L28" s="19">
        <f>Macro!L12/L12</f>
        <v>2061730.7692307692</v>
      </c>
      <c r="M28" s="19">
        <f>Macro!M12/M12</f>
        <v>2242307.692307692</v>
      </c>
      <c r="N28" s="19">
        <f>Macro!N12/N12</f>
        <v>2429923.076923077</v>
      </c>
      <c r="O28" s="19">
        <f>Macro!O12/O12</f>
        <v>2517995.9610431846</v>
      </c>
      <c r="P28" s="19">
        <f>Macro!P12/P12</f>
        <v>2603799.4759532134</v>
      </c>
      <c r="Q28" s="51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3"/>
      <c r="AG28" s="53"/>
      <c r="AH28" s="53"/>
      <c r="AI28" s="53"/>
      <c r="AJ28" s="53"/>
      <c r="AK28" s="53"/>
      <c r="AL28" s="53"/>
      <c r="AM28" s="53"/>
      <c r="AN28" s="53"/>
      <c r="AO28" s="53"/>
      <c r="AP28" s="53"/>
      <c r="AQ28" s="53"/>
      <c r="AR28" s="53"/>
      <c r="AS28" s="53"/>
      <c r="AT28" s="53"/>
      <c r="AU28" s="53"/>
      <c r="AV28" s="53"/>
      <c r="AW28" s="53"/>
      <c r="AX28" s="53"/>
      <c r="AY28" s="53"/>
      <c r="AZ28" s="53"/>
      <c r="BA28" s="53"/>
      <c r="BB28" s="53"/>
      <c r="BC28" s="53"/>
      <c r="BD28" s="53"/>
      <c r="BE28" s="53"/>
      <c r="BF28" s="53"/>
      <c r="BG28" s="53"/>
      <c r="BH28" s="53"/>
      <c r="BI28" s="53"/>
      <c r="BJ28" s="53"/>
      <c r="BK28" s="53"/>
      <c r="BL28" s="53"/>
      <c r="BM28" s="53"/>
      <c r="BN28" s="53"/>
      <c r="BO28" s="53"/>
      <c r="BP28" s="53"/>
      <c r="BQ28" s="53"/>
      <c r="BR28" s="53"/>
      <c r="BS28" s="53"/>
      <c r="BT28" s="53"/>
      <c r="BU28" s="53"/>
      <c r="BV28" s="53"/>
      <c r="BW28" s="53"/>
      <c r="BX28" s="53"/>
      <c r="BY28" s="53"/>
      <c r="BZ28" s="53"/>
    </row>
    <row r="29" spans="1:78" x14ac:dyDescent="0.25">
      <c r="A29" s="7"/>
      <c r="B29" s="37"/>
      <c r="C29" s="37" t="s">
        <v>75</v>
      </c>
      <c r="D29" s="37" t="s">
        <v>101</v>
      </c>
      <c r="E29" s="18" t="s">
        <v>104</v>
      </c>
      <c r="F29" s="19">
        <f>Macro!F13/F13</f>
        <v>1615692</v>
      </c>
      <c r="G29" s="19">
        <f>Macro!G13/G13</f>
        <v>1678424.8</v>
      </c>
      <c r="H29" s="19">
        <f>Macro!H13/H13</f>
        <v>1786218.4</v>
      </c>
      <c r="I29" s="19">
        <f>Macro!I13/I13</f>
        <v>1973714.0495867769</v>
      </c>
      <c r="J29" s="19">
        <f>Macro!J13/J13</f>
        <v>2126458.3333333335</v>
      </c>
      <c r="K29" s="19">
        <f>Macro!K13/K13</f>
        <v>2239916.666666667</v>
      </c>
      <c r="L29" s="19">
        <f>Macro!L13/L13</f>
        <v>2347041.666666667</v>
      </c>
      <c r="M29" s="19">
        <f>Macro!M13/M13</f>
        <v>2447041.666666667</v>
      </c>
      <c r="N29" s="19">
        <f>Macro!N13/N13</f>
        <v>2540166.666666667</v>
      </c>
      <c r="O29" s="19">
        <f>Macro!O13/O13</f>
        <v>2632235.3443148425</v>
      </c>
      <c r="P29" s="19">
        <f>Macro!P13/P13</f>
        <v>2721931.6933586486</v>
      </c>
      <c r="Q29" s="51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53"/>
      <c r="AG29" s="53"/>
      <c r="AH29" s="53"/>
      <c r="AI29" s="53"/>
      <c r="AJ29" s="53"/>
      <c r="AK29" s="53"/>
      <c r="AL29" s="53"/>
      <c r="AM29" s="53"/>
      <c r="AN29" s="53"/>
      <c r="AO29" s="53"/>
      <c r="AP29" s="53"/>
      <c r="AQ29" s="53"/>
      <c r="AR29" s="53"/>
      <c r="AS29" s="53"/>
      <c r="AT29" s="53"/>
      <c r="AU29" s="53"/>
      <c r="AV29" s="53"/>
      <c r="AW29" s="53"/>
      <c r="AX29" s="53"/>
      <c r="AY29" s="53"/>
      <c r="AZ29" s="53"/>
      <c r="BA29" s="53"/>
      <c r="BB29" s="53"/>
      <c r="BC29" s="53"/>
      <c r="BD29" s="53"/>
      <c r="BE29" s="53"/>
      <c r="BF29" s="53"/>
      <c r="BG29" s="53"/>
      <c r="BH29" s="53"/>
      <c r="BI29" s="53"/>
      <c r="BJ29" s="53"/>
      <c r="BK29" s="53"/>
      <c r="BL29" s="53"/>
      <c r="BM29" s="53"/>
      <c r="BN29" s="53"/>
      <c r="BO29" s="53"/>
      <c r="BP29" s="53"/>
      <c r="BQ29" s="53"/>
      <c r="BR29" s="53"/>
      <c r="BS29" s="53"/>
      <c r="BT29" s="53"/>
      <c r="BU29" s="53"/>
      <c r="BV29" s="53"/>
      <c r="BW29" s="53"/>
      <c r="BX29" s="53"/>
      <c r="BY29" s="53"/>
      <c r="BZ29" s="53"/>
    </row>
    <row r="30" spans="1:78" x14ac:dyDescent="0.25">
      <c r="A30" s="7"/>
      <c r="B30" s="37"/>
      <c r="C30" s="37" t="s">
        <v>114</v>
      </c>
      <c r="D30" s="37" t="s">
        <v>101</v>
      </c>
      <c r="E30" s="18" t="s">
        <v>104</v>
      </c>
      <c r="F30" s="19">
        <f>Macro!F14/F14</f>
        <v>12172.4</v>
      </c>
      <c r="G30" s="19">
        <f>Macro!G14/G14</f>
        <v>13182.644628099173</v>
      </c>
      <c r="H30" s="19">
        <f>Macro!H14/H14</f>
        <v>14415</v>
      </c>
      <c r="I30" s="19">
        <f>Macro!I14/I14</f>
        <v>16245.689655172415</v>
      </c>
      <c r="J30" s="19">
        <f>Macro!J14/J14</f>
        <v>17956.521739130436</v>
      </c>
      <c r="K30" s="19">
        <f>Macro!K14/K14</f>
        <v>18913.043478260872</v>
      </c>
      <c r="L30" s="19">
        <f>Macro!L14/L14</f>
        <v>19739.130434782612</v>
      </c>
      <c r="M30" s="19">
        <f>Macro!M14/M14</f>
        <v>20434.782608695652</v>
      </c>
      <c r="N30" s="19">
        <f>Macro!N14/N14</f>
        <v>21000</v>
      </c>
      <c r="O30" s="19">
        <f>Macro!O14/O14</f>
        <v>21761.147784506931</v>
      </c>
      <c r="P30" s="19">
        <f>Macro!P14/P14</f>
        <v>22502.683115490436</v>
      </c>
      <c r="Q30" s="51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53"/>
      <c r="AG30" s="53"/>
      <c r="AH30" s="53"/>
      <c r="AI30" s="53"/>
      <c r="AJ30" s="53"/>
      <c r="AK30" s="53"/>
      <c r="AL30" s="53"/>
      <c r="AM30" s="53"/>
      <c r="AN30" s="53"/>
      <c r="AO30" s="53"/>
      <c r="AP30" s="53"/>
      <c r="AQ30" s="53"/>
      <c r="AR30" s="53"/>
      <c r="AS30" s="53"/>
      <c r="AT30" s="53"/>
      <c r="AU30" s="53"/>
      <c r="AV30" s="53"/>
      <c r="AW30" s="53"/>
      <c r="AX30" s="53"/>
      <c r="AY30" s="53"/>
      <c r="AZ30" s="53"/>
      <c r="BA30" s="53"/>
      <c r="BB30" s="53"/>
      <c r="BC30" s="53"/>
      <c r="BD30" s="53"/>
      <c r="BE30" s="53"/>
      <c r="BF30" s="53"/>
      <c r="BG30" s="53"/>
      <c r="BH30" s="53"/>
      <c r="BI30" s="53"/>
      <c r="BJ30" s="53"/>
      <c r="BK30" s="53"/>
      <c r="BL30" s="53"/>
      <c r="BM30" s="53"/>
      <c r="BN30" s="53"/>
      <c r="BO30" s="53"/>
      <c r="BP30" s="53"/>
      <c r="BQ30" s="53"/>
      <c r="BR30" s="53"/>
      <c r="BS30" s="53"/>
      <c r="BT30" s="53"/>
      <c r="BU30" s="53"/>
      <c r="BV30" s="53"/>
      <c r="BW30" s="53"/>
      <c r="BX30" s="53"/>
      <c r="BY30" s="53"/>
      <c r="BZ30" s="53"/>
    </row>
    <row r="31" spans="1:78" x14ac:dyDescent="0.25">
      <c r="A31" s="7"/>
      <c r="B31" s="37"/>
      <c r="C31" s="37" t="s">
        <v>116</v>
      </c>
      <c r="D31" s="37" t="s">
        <v>101</v>
      </c>
      <c r="E31" s="18" t="s">
        <v>104</v>
      </c>
      <c r="F31" s="19">
        <f>Macro!F15/F15</f>
        <v>13958.620689655172</v>
      </c>
      <c r="G31" s="19">
        <f>Macro!G15/G15</f>
        <v>14965.517241379312</v>
      </c>
      <c r="H31" s="19">
        <f>Macro!H15/H15</f>
        <v>15349.290780141844</v>
      </c>
      <c r="I31" s="19">
        <f>Macro!I15/I15</f>
        <v>16263.60294117647</v>
      </c>
      <c r="J31" s="19">
        <f>Macro!J15/J15</f>
        <v>16703.703703703704</v>
      </c>
      <c r="K31" s="19">
        <f>Macro!K15/K15</f>
        <v>17185.185185185182</v>
      </c>
      <c r="L31" s="19">
        <f>Macro!L15/L15</f>
        <v>17555.555555555555</v>
      </c>
      <c r="M31" s="19">
        <f>Macro!M15/M15</f>
        <v>17851.85185185185</v>
      </c>
      <c r="N31" s="19">
        <f>Macro!N15/N15</f>
        <v>18000</v>
      </c>
      <c r="O31" s="19">
        <f>Macro!O15/O15</f>
        <v>18652.412386720225</v>
      </c>
      <c r="P31" s="19">
        <f>Macro!P15/P15</f>
        <v>19288.014098991796</v>
      </c>
      <c r="Q31" s="51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53"/>
      <c r="AG31" s="53"/>
      <c r="AH31" s="53"/>
      <c r="AI31" s="53"/>
      <c r="AJ31" s="53"/>
      <c r="AK31" s="53"/>
      <c r="AL31" s="53"/>
      <c r="AM31" s="53"/>
      <c r="AN31" s="53"/>
      <c r="AO31" s="53"/>
      <c r="AP31" s="53"/>
      <c r="AQ31" s="53"/>
      <c r="AR31" s="53"/>
      <c r="AS31" s="53"/>
      <c r="AT31" s="53"/>
      <c r="AU31" s="53"/>
      <c r="AV31" s="53"/>
      <c r="AW31" s="53"/>
      <c r="AX31" s="53"/>
      <c r="AY31" s="53"/>
      <c r="AZ31" s="53"/>
      <c r="BA31" s="53"/>
      <c r="BB31" s="53"/>
      <c r="BC31" s="53"/>
      <c r="BD31" s="53"/>
      <c r="BE31" s="53"/>
      <c r="BF31" s="53"/>
      <c r="BG31" s="53"/>
      <c r="BH31" s="53"/>
      <c r="BI31" s="53"/>
      <c r="BJ31" s="53"/>
      <c r="BK31" s="53"/>
      <c r="BL31" s="53"/>
      <c r="BM31" s="53"/>
      <c r="BN31" s="53"/>
      <c r="BO31" s="53"/>
      <c r="BP31" s="53"/>
      <c r="BQ31" s="53"/>
      <c r="BR31" s="53"/>
      <c r="BS31" s="53"/>
      <c r="BT31" s="53"/>
      <c r="BU31" s="53"/>
      <c r="BV31" s="53"/>
      <c r="BW31" s="53"/>
      <c r="BX31" s="53"/>
      <c r="BY31" s="53"/>
      <c r="BZ31" s="53"/>
    </row>
    <row r="32" spans="1:78" x14ac:dyDescent="0.25">
      <c r="A32" s="7"/>
      <c r="B32" s="37"/>
      <c r="C32" s="37" t="s">
        <v>115</v>
      </c>
      <c r="D32" s="37" t="s">
        <v>101</v>
      </c>
      <c r="E32" s="18" t="s">
        <v>104</v>
      </c>
      <c r="F32" s="19">
        <f>Macro!F16/F16</f>
        <v>7431.8918918918916</v>
      </c>
      <c r="G32" s="19">
        <f>Macro!G16/G16</f>
        <v>8199.72972972973</v>
      </c>
      <c r="H32" s="19">
        <f>Macro!H16/H16</f>
        <v>9014.0540540540533</v>
      </c>
      <c r="I32" s="19">
        <f>Macro!I16/I16</f>
        <v>10079.558011049723</v>
      </c>
      <c r="J32" s="19">
        <f>Macro!J16/J16</f>
        <v>10916.666666666666</v>
      </c>
      <c r="K32" s="19">
        <f>Macro!K16/K16</f>
        <v>11555.555555555555</v>
      </c>
      <c r="L32" s="19">
        <f>Macro!L16/L16</f>
        <v>12194.444444444443</v>
      </c>
      <c r="M32" s="19">
        <f>Macro!M16/M16</f>
        <v>12888.888888888889</v>
      </c>
      <c r="N32" s="19">
        <f>Macro!N16/N16</f>
        <v>13555.555555555555</v>
      </c>
      <c r="O32" s="19">
        <f>Macro!O16/O16</f>
        <v>14046.878464073256</v>
      </c>
      <c r="P32" s="19">
        <f>Macro!P16/P16</f>
        <v>14525.541481956787</v>
      </c>
      <c r="Q32" s="51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53"/>
      <c r="AG32" s="53"/>
      <c r="AH32" s="53"/>
      <c r="AI32" s="53"/>
      <c r="AJ32" s="53"/>
      <c r="AK32" s="53"/>
      <c r="AL32" s="53"/>
      <c r="AM32" s="53"/>
      <c r="AN32" s="53"/>
      <c r="AO32" s="53"/>
      <c r="AP32" s="53"/>
      <c r="AQ32" s="53"/>
      <c r="AR32" s="53"/>
      <c r="AS32" s="53"/>
      <c r="AT32" s="53"/>
      <c r="AU32" s="53"/>
      <c r="AV32" s="53"/>
      <c r="AW32" s="53"/>
      <c r="AX32" s="53"/>
      <c r="AY32" s="53"/>
      <c r="AZ32" s="53"/>
      <c r="BA32" s="53"/>
      <c r="BB32" s="53"/>
      <c r="BC32" s="53"/>
      <c r="BD32" s="53"/>
      <c r="BE32" s="53"/>
      <c r="BF32" s="53"/>
      <c r="BG32" s="53"/>
      <c r="BH32" s="53"/>
      <c r="BI32" s="53"/>
      <c r="BJ32" s="53"/>
      <c r="BK32" s="53"/>
      <c r="BL32" s="53"/>
      <c r="BM32" s="53"/>
      <c r="BN32" s="53"/>
      <c r="BO32" s="53"/>
      <c r="BP32" s="53"/>
      <c r="BQ32" s="53"/>
      <c r="BR32" s="53"/>
      <c r="BS32" s="53"/>
      <c r="BT32" s="53"/>
      <c r="BU32" s="53"/>
      <c r="BV32" s="53"/>
      <c r="BW32" s="53"/>
      <c r="BX32" s="53"/>
      <c r="BY32" s="53"/>
      <c r="BZ32" s="53"/>
    </row>
    <row r="33" spans="1:34" x14ac:dyDescent="0.25">
      <c r="A33" s="7"/>
      <c r="B33" s="37"/>
      <c r="C33" s="37"/>
      <c r="D33" s="37"/>
      <c r="E33" s="18"/>
      <c r="F33" s="42"/>
      <c r="G33" s="42"/>
      <c r="H33" s="42"/>
      <c r="I33" s="42"/>
      <c r="Q33" s="51"/>
    </row>
    <row r="34" spans="1:34" x14ac:dyDescent="0.25">
      <c r="A34" s="7"/>
      <c r="B34" s="37"/>
      <c r="C34" s="37"/>
      <c r="D34" s="37"/>
      <c r="E34" s="18"/>
      <c r="F34" s="42"/>
      <c r="G34" s="42"/>
      <c r="H34" s="42"/>
      <c r="I34" s="42"/>
      <c r="Q34" s="51"/>
    </row>
    <row r="35" spans="1:34" x14ac:dyDescent="0.25">
      <c r="A35" s="7"/>
      <c r="B35" s="71" t="s">
        <v>169</v>
      </c>
      <c r="C35" s="37"/>
      <c r="D35" s="37"/>
      <c r="E35" s="18"/>
      <c r="F35" s="42"/>
      <c r="G35" s="42"/>
      <c r="H35" s="42"/>
      <c r="I35" s="42"/>
      <c r="Q35" s="51"/>
    </row>
    <row r="36" spans="1:34" outlineLevel="1" x14ac:dyDescent="0.25">
      <c r="A36" s="7"/>
      <c r="B36" s="37" t="s">
        <v>171</v>
      </c>
      <c r="C36" s="37" t="s">
        <v>59</v>
      </c>
      <c r="D36" s="37" t="s">
        <v>170</v>
      </c>
      <c r="E36" s="39" t="s">
        <v>100</v>
      </c>
      <c r="F36" s="42">
        <f t="shared" ref="F36:I51" si="5">INDEX($R36:$BZ36,MATCH(F$1,$R$1:$BZ$1,0))</f>
        <v>0</v>
      </c>
      <c r="G36" s="42">
        <f t="shared" si="5"/>
        <v>0</v>
      </c>
      <c r="H36" s="42">
        <f t="shared" si="5"/>
        <v>0</v>
      </c>
      <c r="I36" s="42">
        <f t="shared" si="5"/>
        <v>0</v>
      </c>
      <c r="J36" s="57">
        <f t="shared" ref="J36:P72" si="6">$AH36</f>
        <v>0</v>
      </c>
      <c r="K36" s="57">
        <f t="shared" si="6"/>
        <v>0</v>
      </c>
      <c r="L36" s="57">
        <f t="shared" si="6"/>
        <v>0</v>
      </c>
      <c r="M36" s="57">
        <f t="shared" si="6"/>
        <v>0</v>
      </c>
      <c r="N36" s="57">
        <f t="shared" si="6"/>
        <v>0</v>
      </c>
      <c r="O36" s="57">
        <f t="shared" si="6"/>
        <v>0</v>
      </c>
      <c r="P36" s="57">
        <f t="shared" si="6"/>
        <v>0</v>
      </c>
      <c r="Q36" s="51"/>
    </row>
    <row r="37" spans="1:34" outlineLevel="1" x14ac:dyDescent="0.25">
      <c r="A37" s="7"/>
      <c r="B37" s="37" t="s">
        <v>171</v>
      </c>
      <c r="C37" s="15" t="s">
        <v>106</v>
      </c>
      <c r="D37" s="37" t="s">
        <v>170</v>
      </c>
      <c r="E37" s="39" t="s">
        <v>100</v>
      </c>
      <c r="F37" s="42">
        <f t="shared" si="5"/>
        <v>0</v>
      </c>
      <c r="G37" s="42">
        <f t="shared" si="5"/>
        <v>0</v>
      </c>
      <c r="H37" s="42">
        <f t="shared" si="5"/>
        <v>0</v>
      </c>
      <c r="I37" s="42">
        <f t="shared" si="5"/>
        <v>0</v>
      </c>
      <c r="J37" s="57">
        <f t="shared" si="6"/>
        <v>0</v>
      </c>
      <c r="K37" s="57">
        <f t="shared" si="6"/>
        <v>0</v>
      </c>
      <c r="L37" s="57">
        <f t="shared" si="6"/>
        <v>0</v>
      </c>
      <c r="M37" s="57">
        <f t="shared" si="6"/>
        <v>0</v>
      </c>
      <c r="N37" s="57">
        <f t="shared" si="6"/>
        <v>0</v>
      </c>
      <c r="O37" s="57">
        <f t="shared" si="6"/>
        <v>0</v>
      </c>
      <c r="P37" s="57">
        <f t="shared" si="6"/>
        <v>0</v>
      </c>
      <c r="Q37" s="51"/>
    </row>
    <row r="38" spans="1:34" outlineLevel="1" x14ac:dyDescent="0.25">
      <c r="A38" s="7"/>
      <c r="B38" s="37" t="s">
        <v>171</v>
      </c>
      <c r="C38" s="37" t="s">
        <v>107</v>
      </c>
      <c r="D38" s="37" t="s">
        <v>170</v>
      </c>
      <c r="E38" s="39" t="s">
        <v>100</v>
      </c>
      <c r="F38" s="42">
        <f t="shared" si="5"/>
        <v>0</v>
      </c>
      <c r="G38" s="42">
        <f t="shared" si="5"/>
        <v>0</v>
      </c>
      <c r="H38" s="42">
        <f t="shared" si="5"/>
        <v>0</v>
      </c>
      <c r="I38" s="42">
        <f t="shared" si="5"/>
        <v>0</v>
      </c>
      <c r="J38" s="57">
        <f t="shared" si="6"/>
        <v>0</v>
      </c>
      <c r="K38" s="57">
        <f t="shared" si="6"/>
        <v>0</v>
      </c>
      <c r="L38" s="57">
        <f t="shared" si="6"/>
        <v>0</v>
      </c>
      <c r="M38" s="57">
        <f t="shared" si="6"/>
        <v>0</v>
      </c>
      <c r="N38" s="57">
        <f t="shared" si="6"/>
        <v>0</v>
      </c>
      <c r="O38" s="57">
        <f t="shared" si="6"/>
        <v>0</v>
      </c>
      <c r="P38" s="57">
        <f t="shared" si="6"/>
        <v>0</v>
      </c>
      <c r="Q38" s="51"/>
    </row>
    <row r="39" spans="1:34" outlineLevel="1" x14ac:dyDescent="0.25">
      <c r="A39" s="7"/>
      <c r="B39" s="37" t="s">
        <v>171</v>
      </c>
      <c r="C39" s="37" t="s">
        <v>108</v>
      </c>
      <c r="D39" s="37" t="s">
        <v>170</v>
      </c>
      <c r="E39" s="39" t="s">
        <v>100</v>
      </c>
      <c r="F39" s="42">
        <f t="shared" si="5"/>
        <v>0</v>
      </c>
      <c r="G39" s="42">
        <f t="shared" si="5"/>
        <v>0</v>
      </c>
      <c r="H39" s="42">
        <f t="shared" si="5"/>
        <v>0</v>
      </c>
      <c r="I39" s="42">
        <f t="shared" si="5"/>
        <v>0</v>
      </c>
      <c r="J39" s="57">
        <f t="shared" si="6"/>
        <v>0</v>
      </c>
      <c r="K39" s="57">
        <f t="shared" si="6"/>
        <v>0</v>
      </c>
      <c r="L39" s="57">
        <f t="shared" si="6"/>
        <v>0</v>
      </c>
      <c r="M39" s="57">
        <f t="shared" si="6"/>
        <v>0</v>
      </c>
      <c r="N39" s="57">
        <f t="shared" si="6"/>
        <v>0</v>
      </c>
      <c r="O39" s="57">
        <f t="shared" si="6"/>
        <v>0</v>
      </c>
      <c r="P39" s="57">
        <f t="shared" si="6"/>
        <v>0</v>
      </c>
      <c r="Q39" s="51"/>
    </row>
    <row r="40" spans="1:34" outlineLevel="1" x14ac:dyDescent="0.25">
      <c r="A40" s="7"/>
      <c r="B40" s="37" t="s">
        <v>171</v>
      </c>
      <c r="C40" s="37" t="s">
        <v>109</v>
      </c>
      <c r="D40" s="37" t="s">
        <v>170</v>
      </c>
      <c r="E40" s="39" t="s">
        <v>100</v>
      </c>
      <c r="F40" s="42">
        <f t="shared" si="5"/>
        <v>0</v>
      </c>
      <c r="G40" s="42">
        <f t="shared" si="5"/>
        <v>0</v>
      </c>
      <c r="H40" s="42">
        <f t="shared" si="5"/>
        <v>0</v>
      </c>
      <c r="I40" s="42">
        <f t="shared" si="5"/>
        <v>0</v>
      </c>
      <c r="J40" s="57">
        <f t="shared" si="6"/>
        <v>0</v>
      </c>
      <c r="K40" s="57">
        <f t="shared" si="6"/>
        <v>0</v>
      </c>
      <c r="L40" s="57">
        <f t="shared" si="6"/>
        <v>0</v>
      </c>
      <c r="M40" s="57">
        <f t="shared" si="6"/>
        <v>0</v>
      </c>
      <c r="N40" s="57">
        <f t="shared" si="6"/>
        <v>0</v>
      </c>
      <c r="O40" s="57">
        <f t="shared" si="6"/>
        <v>0</v>
      </c>
      <c r="P40" s="57">
        <f t="shared" si="6"/>
        <v>0</v>
      </c>
      <c r="Q40" s="51"/>
    </row>
    <row r="41" spans="1:34" outlineLevel="1" x14ac:dyDescent="0.25">
      <c r="A41" s="7"/>
      <c r="B41" s="37" t="s">
        <v>171</v>
      </c>
      <c r="C41" s="37" t="s">
        <v>110</v>
      </c>
      <c r="D41" s="37" t="s">
        <v>170</v>
      </c>
      <c r="E41" s="39" t="s">
        <v>100</v>
      </c>
      <c r="F41" s="42">
        <f t="shared" si="5"/>
        <v>0</v>
      </c>
      <c r="G41" s="42">
        <f t="shared" si="5"/>
        <v>0</v>
      </c>
      <c r="H41" s="42">
        <f t="shared" si="5"/>
        <v>0</v>
      </c>
      <c r="I41" s="42">
        <f t="shared" si="5"/>
        <v>0</v>
      </c>
      <c r="J41" s="57">
        <f t="shared" si="6"/>
        <v>0</v>
      </c>
      <c r="K41" s="57">
        <f t="shared" si="6"/>
        <v>0</v>
      </c>
      <c r="L41" s="57">
        <f t="shared" si="6"/>
        <v>0</v>
      </c>
      <c r="M41" s="57">
        <f t="shared" si="6"/>
        <v>0</v>
      </c>
      <c r="N41" s="57">
        <f t="shared" si="6"/>
        <v>0</v>
      </c>
      <c r="O41" s="57">
        <f t="shared" si="6"/>
        <v>0</v>
      </c>
      <c r="P41" s="57">
        <f t="shared" si="6"/>
        <v>0</v>
      </c>
      <c r="Q41" s="51"/>
    </row>
    <row r="42" spans="1:34" outlineLevel="1" x14ac:dyDescent="0.25">
      <c r="A42" s="7"/>
      <c r="B42" s="37" t="s">
        <v>171</v>
      </c>
      <c r="C42" s="37" t="s">
        <v>111</v>
      </c>
      <c r="D42" s="37" t="s">
        <v>170</v>
      </c>
      <c r="E42" s="39" t="s">
        <v>100</v>
      </c>
      <c r="F42" s="42">
        <f t="shared" si="5"/>
        <v>0</v>
      </c>
      <c r="G42" s="42">
        <f t="shared" si="5"/>
        <v>0</v>
      </c>
      <c r="H42" s="42">
        <f t="shared" si="5"/>
        <v>0</v>
      </c>
      <c r="I42" s="42">
        <f t="shared" si="5"/>
        <v>0</v>
      </c>
      <c r="J42" s="57">
        <f t="shared" si="6"/>
        <v>0</v>
      </c>
      <c r="K42" s="57">
        <f t="shared" si="6"/>
        <v>0</v>
      </c>
      <c r="L42" s="57">
        <f t="shared" si="6"/>
        <v>0</v>
      </c>
      <c r="M42" s="57">
        <f t="shared" si="6"/>
        <v>0</v>
      </c>
      <c r="N42" s="57">
        <f t="shared" si="6"/>
        <v>0</v>
      </c>
      <c r="O42" s="57">
        <f t="shared" si="6"/>
        <v>0</v>
      </c>
      <c r="P42" s="57">
        <f t="shared" si="6"/>
        <v>0</v>
      </c>
      <c r="Q42" s="51"/>
    </row>
    <row r="43" spans="1:34" outlineLevel="1" x14ac:dyDescent="0.25">
      <c r="A43" s="7"/>
      <c r="B43" s="37" t="s">
        <v>171</v>
      </c>
      <c r="C43" s="37" t="s">
        <v>112</v>
      </c>
      <c r="D43" s="37" t="s">
        <v>170</v>
      </c>
      <c r="E43" s="39" t="s">
        <v>100</v>
      </c>
      <c r="F43" s="42">
        <f t="shared" si="5"/>
        <v>0</v>
      </c>
      <c r="G43" s="42">
        <f t="shared" si="5"/>
        <v>0</v>
      </c>
      <c r="H43" s="42">
        <f t="shared" si="5"/>
        <v>0</v>
      </c>
      <c r="I43" s="42">
        <f t="shared" si="5"/>
        <v>0</v>
      </c>
      <c r="J43" s="57">
        <f t="shared" si="6"/>
        <v>0</v>
      </c>
      <c r="K43" s="57">
        <f t="shared" si="6"/>
        <v>0</v>
      </c>
      <c r="L43" s="57">
        <f t="shared" si="6"/>
        <v>0</v>
      </c>
      <c r="M43" s="57">
        <f t="shared" si="6"/>
        <v>0</v>
      </c>
      <c r="N43" s="57">
        <f t="shared" si="6"/>
        <v>0</v>
      </c>
      <c r="O43" s="57">
        <f t="shared" si="6"/>
        <v>0</v>
      </c>
      <c r="P43" s="57">
        <f t="shared" si="6"/>
        <v>0</v>
      </c>
      <c r="Q43" s="51"/>
    </row>
    <row r="44" spans="1:34" outlineLevel="1" x14ac:dyDescent="0.25">
      <c r="A44" s="7"/>
      <c r="B44" s="37" t="s">
        <v>171</v>
      </c>
      <c r="C44" s="37" t="s">
        <v>113</v>
      </c>
      <c r="D44" s="37" t="s">
        <v>170</v>
      </c>
      <c r="E44" s="39" t="s">
        <v>100</v>
      </c>
      <c r="F44" s="42">
        <f t="shared" si="5"/>
        <v>0</v>
      </c>
      <c r="G44" s="42">
        <f t="shared" si="5"/>
        <v>0</v>
      </c>
      <c r="H44" s="42">
        <f t="shared" si="5"/>
        <v>0</v>
      </c>
      <c r="I44" s="42">
        <f t="shared" si="5"/>
        <v>0</v>
      </c>
      <c r="J44" s="57">
        <f t="shared" si="6"/>
        <v>0</v>
      </c>
      <c r="K44" s="57">
        <f t="shared" si="6"/>
        <v>0</v>
      </c>
      <c r="L44" s="57">
        <f t="shared" si="6"/>
        <v>0</v>
      </c>
      <c r="M44" s="57">
        <f t="shared" si="6"/>
        <v>0</v>
      </c>
      <c r="N44" s="57">
        <f t="shared" si="6"/>
        <v>0</v>
      </c>
      <c r="O44" s="57">
        <f t="shared" si="6"/>
        <v>0</v>
      </c>
      <c r="P44" s="57">
        <f t="shared" si="6"/>
        <v>0</v>
      </c>
      <c r="Q44" s="51"/>
    </row>
    <row r="45" spans="1:34" outlineLevel="1" x14ac:dyDescent="0.25">
      <c r="A45" s="7"/>
      <c r="B45" s="37" t="s">
        <v>171</v>
      </c>
      <c r="C45" s="37" t="s">
        <v>5</v>
      </c>
      <c r="D45" s="37" t="s">
        <v>170</v>
      </c>
      <c r="E45" s="39" t="s">
        <v>100</v>
      </c>
      <c r="F45" s="42">
        <f t="shared" si="5"/>
        <v>736.77800000000002</v>
      </c>
      <c r="G45" s="42">
        <f t="shared" si="5"/>
        <v>835.74400000000003</v>
      </c>
      <c r="H45" s="42">
        <f t="shared" si="5"/>
        <v>933.23800000000006</v>
      </c>
      <c r="I45" s="42">
        <f t="shared" si="5"/>
        <v>1005.0069999999999</v>
      </c>
      <c r="J45" s="57">
        <f t="shared" si="6"/>
        <v>1014.869</v>
      </c>
      <c r="K45" s="57">
        <f t="shared" si="6"/>
        <v>1014.869</v>
      </c>
      <c r="L45" s="57">
        <f t="shared" si="6"/>
        <v>1014.869</v>
      </c>
      <c r="M45" s="57">
        <f t="shared" si="6"/>
        <v>1014.869</v>
      </c>
      <c r="N45" s="57">
        <f t="shared" si="6"/>
        <v>1014.869</v>
      </c>
      <c r="O45" s="57">
        <f t="shared" si="6"/>
        <v>1014.869</v>
      </c>
      <c r="P45" s="57">
        <f t="shared" si="6"/>
        <v>1014.869</v>
      </c>
      <c r="Q45" s="51"/>
      <c r="R45" s="53">
        <v>736.77800000000002</v>
      </c>
      <c r="S45" s="53">
        <v>753.15700000000004</v>
      </c>
      <c r="T45" s="53">
        <v>772.95600000000002</v>
      </c>
      <c r="U45" s="53">
        <v>793.77599999999995</v>
      </c>
      <c r="V45" s="53">
        <v>813.49900000000002</v>
      </c>
      <c r="W45" s="53">
        <v>835.74400000000003</v>
      </c>
      <c r="X45" s="53">
        <v>858.995</v>
      </c>
      <c r="Y45" s="53">
        <v>884.875</v>
      </c>
      <c r="Z45" s="53">
        <v>904.78599999999994</v>
      </c>
      <c r="AA45" s="53">
        <v>917.19799999999998</v>
      </c>
      <c r="AB45" s="53">
        <v>933.23800000000006</v>
      </c>
      <c r="AC45" s="53">
        <v>946.41800000000001</v>
      </c>
      <c r="AD45" s="53">
        <v>959.68299999999999</v>
      </c>
      <c r="AE45" s="53">
        <v>975.59699999999998</v>
      </c>
      <c r="AF45" s="53">
        <v>992.43600000000004</v>
      </c>
      <c r="AG45" s="53">
        <v>1005.0069999999999</v>
      </c>
      <c r="AH45" s="53">
        <v>1014.869</v>
      </c>
    </row>
    <row r="46" spans="1:34" outlineLevel="1" x14ac:dyDescent="0.25">
      <c r="A46" s="7"/>
      <c r="B46" s="37" t="s">
        <v>171</v>
      </c>
      <c r="C46" s="37" t="s">
        <v>75</v>
      </c>
      <c r="D46" s="37" t="s">
        <v>170</v>
      </c>
      <c r="E46" s="39" t="s">
        <v>100</v>
      </c>
      <c r="F46" s="42">
        <f t="shared" si="5"/>
        <v>0</v>
      </c>
      <c r="G46" s="42">
        <f t="shared" si="5"/>
        <v>0</v>
      </c>
      <c r="H46" s="42">
        <f t="shared" si="5"/>
        <v>0</v>
      </c>
      <c r="I46" s="42">
        <f t="shared" si="5"/>
        <v>0</v>
      </c>
      <c r="J46" s="57">
        <f t="shared" si="6"/>
        <v>0</v>
      </c>
      <c r="K46" s="57">
        <f t="shared" si="6"/>
        <v>0</v>
      </c>
      <c r="L46" s="57">
        <f t="shared" si="6"/>
        <v>0</v>
      </c>
      <c r="M46" s="57">
        <f t="shared" si="6"/>
        <v>0</v>
      </c>
      <c r="N46" s="57">
        <f t="shared" si="6"/>
        <v>0</v>
      </c>
      <c r="O46" s="57">
        <f t="shared" si="6"/>
        <v>0</v>
      </c>
      <c r="P46" s="57">
        <f t="shared" si="6"/>
        <v>0</v>
      </c>
      <c r="Q46" s="51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3"/>
      <c r="AG46" s="53"/>
      <c r="AH46" s="53"/>
    </row>
    <row r="47" spans="1:34" outlineLevel="1" x14ac:dyDescent="0.25">
      <c r="A47" s="7"/>
      <c r="B47" s="37" t="s">
        <v>171</v>
      </c>
      <c r="C47" s="37" t="s">
        <v>114</v>
      </c>
      <c r="D47" s="37" t="s">
        <v>170</v>
      </c>
      <c r="E47" s="39" t="s">
        <v>100</v>
      </c>
      <c r="F47" s="42">
        <f t="shared" si="5"/>
        <v>0</v>
      </c>
      <c r="G47" s="42">
        <f t="shared" si="5"/>
        <v>0</v>
      </c>
      <c r="H47" s="42">
        <f t="shared" si="5"/>
        <v>0</v>
      </c>
      <c r="I47" s="42">
        <f t="shared" si="5"/>
        <v>0</v>
      </c>
      <c r="J47" s="57">
        <f t="shared" si="6"/>
        <v>0</v>
      </c>
      <c r="K47" s="57">
        <f t="shared" si="6"/>
        <v>0</v>
      </c>
      <c r="L47" s="57">
        <f t="shared" si="6"/>
        <v>0</v>
      </c>
      <c r="M47" s="57">
        <f t="shared" si="6"/>
        <v>0</v>
      </c>
      <c r="N47" s="57">
        <f t="shared" si="6"/>
        <v>0</v>
      </c>
      <c r="O47" s="57">
        <f t="shared" si="6"/>
        <v>0</v>
      </c>
      <c r="P47" s="57">
        <f t="shared" si="6"/>
        <v>0</v>
      </c>
      <c r="Q47" s="51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53"/>
      <c r="AG47" s="53"/>
      <c r="AH47" s="53"/>
    </row>
    <row r="48" spans="1:34" outlineLevel="1" x14ac:dyDescent="0.25">
      <c r="A48" s="7"/>
      <c r="B48" s="37" t="s">
        <v>171</v>
      </c>
      <c r="C48" s="37" t="s">
        <v>116</v>
      </c>
      <c r="D48" s="37" t="s">
        <v>170</v>
      </c>
      <c r="E48" s="39" t="s">
        <v>100</v>
      </c>
      <c r="F48" s="42">
        <f t="shared" si="5"/>
        <v>0</v>
      </c>
      <c r="G48" s="42">
        <f t="shared" si="5"/>
        <v>0</v>
      </c>
      <c r="H48" s="42">
        <f t="shared" si="5"/>
        <v>0</v>
      </c>
      <c r="I48" s="42">
        <f t="shared" si="5"/>
        <v>0</v>
      </c>
      <c r="J48" s="57">
        <f t="shared" si="6"/>
        <v>0</v>
      </c>
      <c r="K48" s="57">
        <f t="shared" si="6"/>
        <v>0</v>
      </c>
      <c r="L48" s="57">
        <f t="shared" si="6"/>
        <v>0</v>
      </c>
      <c r="M48" s="57">
        <f t="shared" si="6"/>
        <v>0</v>
      </c>
      <c r="N48" s="57">
        <f t="shared" si="6"/>
        <v>0</v>
      </c>
      <c r="O48" s="57">
        <f t="shared" si="6"/>
        <v>0</v>
      </c>
      <c r="P48" s="57">
        <f t="shared" si="6"/>
        <v>0</v>
      </c>
      <c r="Q48" s="51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53"/>
      <c r="AG48" s="53"/>
      <c r="AH48" s="53"/>
    </row>
    <row r="49" spans="1:34" outlineLevel="1" x14ac:dyDescent="0.25">
      <c r="A49" s="7"/>
      <c r="B49" s="37" t="s">
        <v>171</v>
      </c>
      <c r="C49" s="37" t="s">
        <v>115</v>
      </c>
      <c r="D49" s="37" t="s">
        <v>170</v>
      </c>
      <c r="E49" s="39" t="s">
        <v>100</v>
      </c>
      <c r="F49" s="42">
        <f t="shared" si="5"/>
        <v>0</v>
      </c>
      <c r="G49" s="42">
        <f t="shared" si="5"/>
        <v>0</v>
      </c>
      <c r="H49" s="42">
        <f t="shared" si="5"/>
        <v>0</v>
      </c>
      <c r="I49" s="42">
        <f t="shared" si="5"/>
        <v>0</v>
      </c>
      <c r="J49" s="57">
        <f t="shared" si="6"/>
        <v>0</v>
      </c>
      <c r="K49" s="57">
        <f t="shared" si="6"/>
        <v>0</v>
      </c>
      <c r="L49" s="57">
        <f t="shared" si="6"/>
        <v>0</v>
      </c>
      <c r="M49" s="57">
        <f t="shared" si="6"/>
        <v>0</v>
      </c>
      <c r="N49" s="57">
        <f t="shared" si="6"/>
        <v>0</v>
      </c>
      <c r="O49" s="57">
        <f t="shared" si="6"/>
        <v>0</v>
      </c>
      <c r="P49" s="57">
        <f t="shared" si="6"/>
        <v>0</v>
      </c>
      <c r="Q49" s="51"/>
    </row>
    <row r="50" spans="1:34" outlineLevel="1" x14ac:dyDescent="0.25">
      <c r="A50" s="7"/>
      <c r="B50" s="37" t="s">
        <v>172</v>
      </c>
      <c r="C50" s="37" t="s">
        <v>59</v>
      </c>
      <c r="D50" s="37" t="s">
        <v>170</v>
      </c>
      <c r="E50" s="39" t="s">
        <v>100</v>
      </c>
      <c r="F50" s="42">
        <f t="shared" si="5"/>
        <v>0</v>
      </c>
      <c r="G50" s="42">
        <f t="shared" si="5"/>
        <v>0</v>
      </c>
      <c r="H50" s="42">
        <f t="shared" si="5"/>
        <v>0</v>
      </c>
      <c r="I50" s="42">
        <f t="shared" si="5"/>
        <v>0</v>
      </c>
      <c r="J50" s="57">
        <f t="shared" si="6"/>
        <v>0</v>
      </c>
      <c r="K50" s="57">
        <f t="shared" si="6"/>
        <v>0</v>
      </c>
      <c r="L50" s="57">
        <f t="shared" si="6"/>
        <v>0</v>
      </c>
      <c r="M50" s="57">
        <f t="shared" si="6"/>
        <v>0</v>
      </c>
      <c r="N50" s="57">
        <f t="shared" si="6"/>
        <v>0</v>
      </c>
      <c r="O50" s="57">
        <f t="shared" si="6"/>
        <v>0</v>
      </c>
      <c r="P50" s="57">
        <f t="shared" si="6"/>
        <v>0</v>
      </c>
      <c r="Q50" s="51"/>
    </row>
    <row r="51" spans="1:34" outlineLevel="1" x14ac:dyDescent="0.25">
      <c r="A51" s="7"/>
      <c r="B51" s="37" t="s">
        <v>172</v>
      </c>
      <c r="C51" s="15" t="s">
        <v>106</v>
      </c>
      <c r="D51" s="37" t="s">
        <v>170</v>
      </c>
      <c r="E51" s="39" t="s">
        <v>100</v>
      </c>
      <c r="F51" s="42">
        <f t="shared" si="5"/>
        <v>0</v>
      </c>
      <c r="G51" s="42">
        <f t="shared" si="5"/>
        <v>0</v>
      </c>
      <c r="H51" s="42">
        <f t="shared" si="5"/>
        <v>0</v>
      </c>
      <c r="I51" s="42">
        <f t="shared" si="5"/>
        <v>0</v>
      </c>
      <c r="J51" s="57">
        <f t="shared" si="6"/>
        <v>0</v>
      </c>
      <c r="K51" s="57">
        <f t="shared" si="6"/>
        <v>0</v>
      </c>
      <c r="L51" s="57">
        <f t="shared" si="6"/>
        <v>0</v>
      </c>
      <c r="M51" s="57">
        <f t="shared" si="6"/>
        <v>0</v>
      </c>
      <c r="N51" s="57">
        <f t="shared" si="6"/>
        <v>0</v>
      </c>
      <c r="O51" s="57">
        <f t="shared" si="6"/>
        <v>0</v>
      </c>
      <c r="P51" s="57">
        <f t="shared" si="6"/>
        <v>0</v>
      </c>
      <c r="Q51" s="51"/>
    </row>
    <row r="52" spans="1:34" outlineLevel="1" x14ac:dyDescent="0.25">
      <c r="A52" s="7"/>
      <c r="B52" s="37" t="s">
        <v>172</v>
      </c>
      <c r="C52" s="37" t="s">
        <v>107</v>
      </c>
      <c r="D52" s="37" t="s">
        <v>170</v>
      </c>
      <c r="E52" s="39" t="s">
        <v>100</v>
      </c>
      <c r="F52" s="42">
        <f t="shared" ref="F52:I67" si="7">INDEX($R52:$BZ52,MATCH(F$1,$R$1:$BZ$1,0))</f>
        <v>0</v>
      </c>
      <c r="G52" s="42">
        <f t="shared" si="7"/>
        <v>0</v>
      </c>
      <c r="H52" s="42">
        <f t="shared" si="7"/>
        <v>0</v>
      </c>
      <c r="I52" s="42">
        <f t="shared" si="7"/>
        <v>0</v>
      </c>
      <c r="J52" s="57">
        <f t="shared" si="6"/>
        <v>0</v>
      </c>
      <c r="K52" s="57">
        <f t="shared" si="6"/>
        <v>0</v>
      </c>
      <c r="L52" s="57">
        <f t="shared" si="6"/>
        <v>0</v>
      </c>
      <c r="M52" s="57">
        <f t="shared" si="6"/>
        <v>0</v>
      </c>
      <c r="N52" s="57">
        <f t="shared" si="6"/>
        <v>0</v>
      </c>
      <c r="O52" s="57">
        <f t="shared" si="6"/>
        <v>0</v>
      </c>
      <c r="P52" s="57">
        <f t="shared" si="6"/>
        <v>0</v>
      </c>
      <c r="Q52" s="51"/>
    </row>
    <row r="53" spans="1:34" outlineLevel="1" x14ac:dyDescent="0.25">
      <c r="A53" s="7"/>
      <c r="B53" s="37" t="s">
        <v>172</v>
      </c>
      <c r="C53" s="37" t="s">
        <v>108</v>
      </c>
      <c r="D53" s="37" t="s">
        <v>170</v>
      </c>
      <c r="E53" s="39" t="s">
        <v>100</v>
      </c>
      <c r="F53" s="42">
        <f t="shared" si="7"/>
        <v>0</v>
      </c>
      <c r="G53" s="42">
        <f t="shared" si="7"/>
        <v>0</v>
      </c>
      <c r="H53" s="42">
        <f t="shared" si="7"/>
        <v>0</v>
      </c>
      <c r="I53" s="42">
        <f t="shared" si="7"/>
        <v>0</v>
      </c>
      <c r="J53" s="57">
        <f t="shared" si="6"/>
        <v>0</v>
      </c>
      <c r="K53" s="57">
        <f t="shared" si="6"/>
        <v>0</v>
      </c>
      <c r="L53" s="57">
        <f t="shared" si="6"/>
        <v>0</v>
      </c>
      <c r="M53" s="57">
        <f t="shared" si="6"/>
        <v>0</v>
      </c>
      <c r="N53" s="57">
        <f t="shared" si="6"/>
        <v>0</v>
      </c>
      <c r="O53" s="57">
        <f t="shared" si="6"/>
        <v>0</v>
      </c>
      <c r="P53" s="57">
        <f t="shared" si="6"/>
        <v>0</v>
      </c>
      <c r="Q53" s="51"/>
    </row>
    <row r="54" spans="1:34" outlineLevel="1" x14ac:dyDescent="0.25">
      <c r="A54" s="7"/>
      <c r="B54" s="37" t="s">
        <v>172</v>
      </c>
      <c r="C54" s="37" t="s">
        <v>109</v>
      </c>
      <c r="D54" s="37" t="s">
        <v>170</v>
      </c>
      <c r="E54" s="39" t="s">
        <v>100</v>
      </c>
      <c r="F54" s="42">
        <f t="shared" si="7"/>
        <v>0</v>
      </c>
      <c r="G54" s="42">
        <f t="shared" si="7"/>
        <v>0</v>
      </c>
      <c r="H54" s="42">
        <f t="shared" si="7"/>
        <v>0</v>
      </c>
      <c r="I54" s="42">
        <f t="shared" si="7"/>
        <v>0</v>
      </c>
      <c r="J54" s="57">
        <f t="shared" si="6"/>
        <v>0</v>
      </c>
      <c r="K54" s="57">
        <f t="shared" si="6"/>
        <v>0</v>
      </c>
      <c r="L54" s="57">
        <f t="shared" si="6"/>
        <v>0</v>
      </c>
      <c r="M54" s="57">
        <f t="shared" si="6"/>
        <v>0</v>
      </c>
      <c r="N54" s="57">
        <f t="shared" si="6"/>
        <v>0</v>
      </c>
      <c r="O54" s="57">
        <f t="shared" si="6"/>
        <v>0</v>
      </c>
      <c r="P54" s="57">
        <f t="shared" si="6"/>
        <v>0</v>
      </c>
      <c r="Q54" s="51"/>
    </row>
    <row r="55" spans="1:34" outlineLevel="1" x14ac:dyDescent="0.25">
      <c r="A55" s="7"/>
      <c r="B55" s="37" t="s">
        <v>172</v>
      </c>
      <c r="C55" s="37" t="s">
        <v>110</v>
      </c>
      <c r="D55" s="37" t="s">
        <v>170</v>
      </c>
      <c r="E55" s="39" t="s">
        <v>100</v>
      </c>
      <c r="F55" s="42">
        <f t="shared" si="7"/>
        <v>0</v>
      </c>
      <c r="G55" s="42">
        <f t="shared" si="7"/>
        <v>0</v>
      </c>
      <c r="H55" s="42">
        <f t="shared" si="7"/>
        <v>0</v>
      </c>
      <c r="I55" s="42">
        <f t="shared" si="7"/>
        <v>0</v>
      </c>
      <c r="J55" s="57">
        <f t="shared" si="6"/>
        <v>0</v>
      </c>
      <c r="K55" s="57">
        <f t="shared" si="6"/>
        <v>0</v>
      </c>
      <c r="L55" s="57">
        <f t="shared" si="6"/>
        <v>0</v>
      </c>
      <c r="M55" s="57">
        <f t="shared" si="6"/>
        <v>0</v>
      </c>
      <c r="N55" s="57">
        <f t="shared" si="6"/>
        <v>0</v>
      </c>
      <c r="O55" s="57">
        <f t="shared" si="6"/>
        <v>0</v>
      </c>
      <c r="P55" s="57">
        <f t="shared" si="6"/>
        <v>0</v>
      </c>
      <c r="Q55" s="51"/>
    </row>
    <row r="56" spans="1:34" outlineLevel="1" x14ac:dyDescent="0.25">
      <c r="A56" s="7"/>
      <c r="B56" s="37" t="s">
        <v>172</v>
      </c>
      <c r="C56" s="37" t="s">
        <v>111</v>
      </c>
      <c r="D56" s="37" t="s">
        <v>170</v>
      </c>
      <c r="E56" s="39" t="s">
        <v>100</v>
      </c>
      <c r="F56" s="42">
        <f t="shared" si="7"/>
        <v>0</v>
      </c>
      <c r="G56" s="42">
        <f t="shared" si="7"/>
        <v>0</v>
      </c>
      <c r="H56" s="42">
        <f t="shared" si="7"/>
        <v>0</v>
      </c>
      <c r="I56" s="42">
        <f t="shared" si="7"/>
        <v>0</v>
      </c>
      <c r="J56" s="57">
        <f t="shared" si="6"/>
        <v>0</v>
      </c>
      <c r="K56" s="57">
        <f t="shared" si="6"/>
        <v>0</v>
      </c>
      <c r="L56" s="57">
        <f t="shared" si="6"/>
        <v>0</v>
      </c>
      <c r="M56" s="57">
        <f t="shared" si="6"/>
        <v>0</v>
      </c>
      <c r="N56" s="57">
        <f t="shared" si="6"/>
        <v>0</v>
      </c>
      <c r="O56" s="57">
        <f t="shared" si="6"/>
        <v>0</v>
      </c>
      <c r="P56" s="57">
        <f t="shared" si="6"/>
        <v>0</v>
      </c>
      <c r="Q56" s="51"/>
    </row>
    <row r="57" spans="1:34" outlineLevel="1" x14ac:dyDescent="0.25">
      <c r="A57" s="7"/>
      <c r="B57" s="37" t="s">
        <v>172</v>
      </c>
      <c r="C57" s="37" t="s">
        <v>112</v>
      </c>
      <c r="D57" s="37" t="s">
        <v>170</v>
      </c>
      <c r="E57" s="39" t="s">
        <v>100</v>
      </c>
      <c r="F57" s="42">
        <f t="shared" si="7"/>
        <v>0</v>
      </c>
      <c r="G57" s="42">
        <f t="shared" si="7"/>
        <v>0</v>
      </c>
      <c r="H57" s="42">
        <f t="shared" si="7"/>
        <v>0</v>
      </c>
      <c r="I57" s="42">
        <f t="shared" si="7"/>
        <v>0</v>
      </c>
      <c r="J57" s="57">
        <f t="shared" si="6"/>
        <v>0</v>
      </c>
      <c r="K57" s="57">
        <f t="shared" si="6"/>
        <v>0</v>
      </c>
      <c r="L57" s="57">
        <f t="shared" si="6"/>
        <v>0</v>
      </c>
      <c r="M57" s="57">
        <f t="shared" si="6"/>
        <v>0</v>
      </c>
      <c r="N57" s="57">
        <f t="shared" si="6"/>
        <v>0</v>
      </c>
      <c r="O57" s="57">
        <f t="shared" si="6"/>
        <v>0</v>
      </c>
      <c r="P57" s="57">
        <f t="shared" si="6"/>
        <v>0</v>
      </c>
      <c r="Q57" s="51"/>
    </row>
    <row r="58" spans="1:34" outlineLevel="1" x14ac:dyDescent="0.25">
      <c r="A58" s="7"/>
      <c r="B58" s="37" t="s">
        <v>172</v>
      </c>
      <c r="C58" s="37" t="s">
        <v>113</v>
      </c>
      <c r="D58" s="37" t="s">
        <v>170</v>
      </c>
      <c r="E58" s="39" t="s">
        <v>100</v>
      </c>
      <c r="F58" s="42">
        <f t="shared" si="7"/>
        <v>0</v>
      </c>
      <c r="G58" s="42">
        <f t="shared" si="7"/>
        <v>0</v>
      </c>
      <c r="H58" s="42">
        <f t="shared" si="7"/>
        <v>0</v>
      </c>
      <c r="I58" s="42">
        <f t="shared" si="7"/>
        <v>0</v>
      </c>
      <c r="J58" s="57">
        <f t="shared" si="6"/>
        <v>0</v>
      </c>
      <c r="K58" s="57">
        <f t="shared" si="6"/>
        <v>0</v>
      </c>
      <c r="L58" s="57">
        <f t="shared" si="6"/>
        <v>0</v>
      </c>
      <c r="M58" s="57">
        <f t="shared" si="6"/>
        <v>0</v>
      </c>
      <c r="N58" s="57">
        <f t="shared" si="6"/>
        <v>0</v>
      </c>
      <c r="O58" s="57">
        <f t="shared" si="6"/>
        <v>0</v>
      </c>
      <c r="P58" s="57">
        <f t="shared" si="6"/>
        <v>0</v>
      </c>
      <c r="Q58" s="51"/>
    </row>
    <row r="59" spans="1:34" outlineLevel="1" x14ac:dyDescent="0.25">
      <c r="A59" s="7"/>
      <c r="B59" s="37" t="s">
        <v>172</v>
      </c>
      <c r="C59" s="37" t="s">
        <v>5</v>
      </c>
      <c r="D59" s="37" t="s">
        <v>170</v>
      </c>
      <c r="E59" s="39" t="s">
        <v>100</v>
      </c>
      <c r="F59" s="42">
        <f t="shared" si="7"/>
        <v>131.429</v>
      </c>
      <c r="G59" s="42">
        <f t="shared" si="7"/>
        <v>154.642</v>
      </c>
      <c r="H59" s="42">
        <f t="shared" si="7"/>
        <v>182.791</v>
      </c>
      <c r="I59" s="42">
        <f t="shared" si="7"/>
        <v>219.446</v>
      </c>
      <c r="J59" s="57">
        <f t="shared" si="6"/>
        <v>225.62</v>
      </c>
      <c r="K59" s="57">
        <f t="shared" si="6"/>
        <v>225.62</v>
      </c>
      <c r="L59" s="57">
        <f t="shared" si="6"/>
        <v>225.62</v>
      </c>
      <c r="M59" s="57">
        <f t="shared" si="6"/>
        <v>225.62</v>
      </c>
      <c r="N59" s="57">
        <f t="shared" si="6"/>
        <v>225.62</v>
      </c>
      <c r="O59" s="57">
        <f t="shared" si="6"/>
        <v>225.62</v>
      </c>
      <c r="P59" s="57">
        <f t="shared" si="6"/>
        <v>225.62</v>
      </c>
      <c r="Q59" s="51"/>
      <c r="R59" s="53">
        <v>131.429</v>
      </c>
      <c r="S59" s="53">
        <v>134.709</v>
      </c>
      <c r="T59" s="53">
        <v>139.124</v>
      </c>
      <c r="U59" s="53">
        <v>143.988</v>
      </c>
      <c r="V59" s="53">
        <v>149.423</v>
      </c>
      <c r="W59" s="53">
        <v>154.642</v>
      </c>
      <c r="X59" s="53">
        <v>159.93</v>
      </c>
      <c r="Y59" s="53">
        <v>166.21299999999999</v>
      </c>
      <c r="Z59" s="53">
        <v>172.97900000000001</v>
      </c>
      <c r="AA59" s="53">
        <v>177.61099999999999</v>
      </c>
      <c r="AB59" s="53">
        <v>182.791</v>
      </c>
      <c r="AC59" s="53">
        <v>187.78200000000001</v>
      </c>
      <c r="AD59" s="53">
        <v>193.565</v>
      </c>
      <c r="AE59" s="53">
        <v>201.55099999999999</v>
      </c>
      <c r="AF59" s="53">
        <v>210.89500000000001</v>
      </c>
      <c r="AG59" s="53">
        <v>219.446</v>
      </c>
      <c r="AH59" s="53">
        <v>225.62</v>
      </c>
    </row>
    <row r="60" spans="1:34" outlineLevel="1" x14ac:dyDescent="0.25">
      <c r="A60" s="7"/>
      <c r="B60" s="37" t="s">
        <v>172</v>
      </c>
      <c r="C60" s="37" t="s">
        <v>75</v>
      </c>
      <c r="D60" s="37" t="s">
        <v>170</v>
      </c>
      <c r="E60" s="39" t="s">
        <v>100</v>
      </c>
      <c r="F60" s="42">
        <f t="shared" si="7"/>
        <v>0</v>
      </c>
      <c r="G60" s="42">
        <f t="shared" si="7"/>
        <v>0</v>
      </c>
      <c r="H60" s="42">
        <f t="shared" si="7"/>
        <v>0</v>
      </c>
      <c r="I60" s="42">
        <f t="shared" si="7"/>
        <v>0</v>
      </c>
      <c r="J60" s="57">
        <f t="shared" si="6"/>
        <v>0</v>
      </c>
      <c r="K60" s="57">
        <f t="shared" si="6"/>
        <v>0</v>
      </c>
      <c r="L60" s="57">
        <f t="shared" si="6"/>
        <v>0</v>
      </c>
      <c r="M60" s="57">
        <f t="shared" si="6"/>
        <v>0</v>
      </c>
      <c r="N60" s="57">
        <f t="shared" si="6"/>
        <v>0</v>
      </c>
      <c r="O60" s="57">
        <f t="shared" si="6"/>
        <v>0</v>
      </c>
      <c r="P60" s="57">
        <f t="shared" si="6"/>
        <v>0</v>
      </c>
      <c r="Q60" s="51"/>
      <c r="R60" s="53"/>
      <c r="S60" s="53"/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  <c r="AF60" s="53"/>
      <c r="AG60" s="53"/>
      <c r="AH60" s="53"/>
    </row>
    <row r="61" spans="1:34" outlineLevel="1" x14ac:dyDescent="0.25">
      <c r="A61" s="7"/>
      <c r="B61" s="37" t="s">
        <v>172</v>
      </c>
      <c r="C61" s="37" t="s">
        <v>114</v>
      </c>
      <c r="D61" s="37" t="s">
        <v>170</v>
      </c>
      <c r="E61" s="39" t="s">
        <v>100</v>
      </c>
      <c r="F61" s="42">
        <f t="shared" si="7"/>
        <v>0</v>
      </c>
      <c r="G61" s="42">
        <f t="shared" si="7"/>
        <v>0</v>
      </c>
      <c r="H61" s="42">
        <f t="shared" si="7"/>
        <v>0</v>
      </c>
      <c r="I61" s="42">
        <f t="shared" si="7"/>
        <v>0</v>
      </c>
      <c r="J61" s="57">
        <f t="shared" si="6"/>
        <v>0</v>
      </c>
      <c r="K61" s="57">
        <f t="shared" si="6"/>
        <v>0</v>
      </c>
      <c r="L61" s="57">
        <f t="shared" si="6"/>
        <v>0</v>
      </c>
      <c r="M61" s="57">
        <f t="shared" si="6"/>
        <v>0</v>
      </c>
      <c r="N61" s="57">
        <f t="shared" si="6"/>
        <v>0</v>
      </c>
      <c r="O61" s="57">
        <f t="shared" si="6"/>
        <v>0</v>
      </c>
      <c r="P61" s="57">
        <f t="shared" si="6"/>
        <v>0</v>
      </c>
      <c r="Q61" s="51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53"/>
      <c r="AG61" s="53"/>
      <c r="AH61" s="53"/>
    </row>
    <row r="62" spans="1:34" outlineLevel="1" x14ac:dyDescent="0.25">
      <c r="A62" s="7"/>
      <c r="B62" s="37" t="s">
        <v>172</v>
      </c>
      <c r="C62" s="37" t="s">
        <v>116</v>
      </c>
      <c r="D62" s="37" t="s">
        <v>170</v>
      </c>
      <c r="E62" s="39" t="s">
        <v>100</v>
      </c>
      <c r="F62" s="42">
        <f t="shared" si="7"/>
        <v>0</v>
      </c>
      <c r="G62" s="42">
        <f t="shared" si="7"/>
        <v>0</v>
      </c>
      <c r="H62" s="42">
        <f t="shared" si="7"/>
        <v>0</v>
      </c>
      <c r="I62" s="42">
        <f t="shared" si="7"/>
        <v>0</v>
      </c>
      <c r="J62" s="57">
        <f t="shared" si="6"/>
        <v>0</v>
      </c>
      <c r="K62" s="57">
        <f t="shared" si="6"/>
        <v>0</v>
      </c>
      <c r="L62" s="57">
        <f t="shared" si="6"/>
        <v>0</v>
      </c>
      <c r="M62" s="57">
        <f t="shared" si="6"/>
        <v>0</v>
      </c>
      <c r="N62" s="57">
        <f t="shared" si="6"/>
        <v>0</v>
      </c>
      <c r="O62" s="57">
        <f t="shared" si="6"/>
        <v>0</v>
      </c>
      <c r="P62" s="57">
        <f t="shared" si="6"/>
        <v>0</v>
      </c>
      <c r="Q62" s="51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53"/>
      <c r="AG62" s="53"/>
      <c r="AH62" s="53"/>
    </row>
    <row r="63" spans="1:34" outlineLevel="1" x14ac:dyDescent="0.25">
      <c r="A63" s="7"/>
      <c r="B63" s="37" t="s">
        <v>172</v>
      </c>
      <c r="C63" s="37" t="s">
        <v>115</v>
      </c>
      <c r="D63" s="37" t="s">
        <v>170</v>
      </c>
      <c r="E63" s="39" t="s">
        <v>100</v>
      </c>
      <c r="F63" s="42">
        <f t="shared" si="7"/>
        <v>0</v>
      </c>
      <c r="G63" s="42">
        <f t="shared" si="7"/>
        <v>0</v>
      </c>
      <c r="H63" s="42">
        <f t="shared" si="7"/>
        <v>0</v>
      </c>
      <c r="I63" s="42">
        <f t="shared" si="7"/>
        <v>0</v>
      </c>
      <c r="J63" s="57">
        <f t="shared" si="6"/>
        <v>0</v>
      </c>
      <c r="K63" s="57">
        <f t="shared" si="6"/>
        <v>0</v>
      </c>
      <c r="L63" s="57">
        <f t="shared" si="6"/>
        <v>0</v>
      </c>
      <c r="M63" s="57">
        <f t="shared" si="6"/>
        <v>0</v>
      </c>
      <c r="N63" s="57">
        <f t="shared" si="6"/>
        <v>0</v>
      </c>
      <c r="O63" s="57">
        <f t="shared" si="6"/>
        <v>0</v>
      </c>
      <c r="P63" s="57">
        <f t="shared" si="6"/>
        <v>0</v>
      </c>
      <c r="Q63" s="51"/>
    </row>
    <row r="64" spans="1:34" outlineLevel="1" x14ac:dyDescent="0.25">
      <c r="A64" s="7"/>
      <c r="B64" s="37" t="s">
        <v>27</v>
      </c>
      <c r="C64" s="37" t="s">
        <v>59</v>
      </c>
      <c r="D64" s="37" t="s">
        <v>170</v>
      </c>
      <c r="E64" s="39" t="s">
        <v>100</v>
      </c>
      <c r="F64" s="42">
        <f t="shared" si="7"/>
        <v>0</v>
      </c>
      <c r="G64" s="42">
        <f t="shared" si="7"/>
        <v>0</v>
      </c>
      <c r="H64" s="42">
        <f t="shared" si="7"/>
        <v>0</v>
      </c>
      <c r="I64" s="42">
        <f t="shared" si="7"/>
        <v>0</v>
      </c>
      <c r="J64" s="57">
        <f t="shared" si="6"/>
        <v>0</v>
      </c>
      <c r="K64" s="57">
        <f t="shared" si="6"/>
        <v>0</v>
      </c>
      <c r="L64" s="57">
        <f t="shared" si="6"/>
        <v>0</v>
      </c>
      <c r="M64" s="57">
        <f t="shared" si="6"/>
        <v>0</v>
      </c>
      <c r="N64" s="57">
        <f t="shared" si="6"/>
        <v>0</v>
      </c>
      <c r="O64" s="57">
        <f t="shared" si="6"/>
        <v>0</v>
      </c>
      <c r="P64" s="57">
        <f t="shared" si="6"/>
        <v>0</v>
      </c>
      <c r="Q64" s="51"/>
    </row>
    <row r="65" spans="1:34" outlineLevel="1" x14ac:dyDescent="0.25">
      <c r="A65" s="7"/>
      <c r="B65" s="37" t="s">
        <v>27</v>
      </c>
      <c r="C65" s="15" t="s">
        <v>106</v>
      </c>
      <c r="D65" s="37" t="s">
        <v>170</v>
      </c>
      <c r="E65" s="39" t="s">
        <v>100</v>
      </c>
      <c r="F65" s="42">
        <f t="shared" si="7"/>
        <v>0</v>
      </c>
      <c r="G65" s="42">
        <f t="shared" si="7"/>
        <v>0</v>
      </c>
      <c r="H65" s="42">
        <f t="shared" si="7"/>
        <v>0</v>
      </c>
      <c r="I65" s="42">
        <f t="shared" si="7"/>
        <v>0</v>
      </c>
      <c r="J65" s="57">
        <f t="shared" si="6"/>
        <v>0</v>
      </c>
      <c r="K65" s="57">
        <f t="shared" si="6"/>
        <v>0</v>
      </c>
      <c r="L65" s="57">
        <f t="shared" si="6"/>
        <v>0</v>
      </c>
      <c r="M65" s="57">
        <f t="shared" si="6"/>
        <v>0</v>
      </c>
      <c r="N65" s="57">
        <f t="shared" si="6"/>
        <v>0</v>
      </c>
      <c r="O65" s="57">
        <f t="shared" si="6"/>
        <v>0</v>
      </c>
      <c r="P65" s="57">
        <f t="shared" si="6"/>
        <v>0</v>
      </c>
      <c r="Q65" s="51"/>
    </row>
    <row r="66" spans="1:34" outlineLevel="1" x14ac:dyDescent="0.25">
      <c r="A66" s="7"/>
      <c r="B66" s="37" t="s">
        <v>27</v>
      </c>
      <c r="C66" s="37" t="s">
        <v>107</v>
      </c>
      <c r="D66" s="37" t="s">
        <v>170</v>
      </c>
      <c r="E66" s="39" t="s">
        <v>100</v>
      </c>
      <c r="F66" s="42">
        <f t="shared" si="7"/>
        <v>0</v>
      </c>
      <c r="G66" s="42">
        <f t="shared" si="7"/>
        <v>0</v>
      </c>
      <c r="H66" s="42">
        <f t="shared" si="7"/>
        <v>0</v>
      </c>
      <c r="I66" s="42">
        <f t="shared" si="7"/>
        <v>0</v>
      </c>
      <c r="J66" s="57">
        <f t="shared" si="6"/>
        <v>0</v>
      </c>
      <c r="K66" s="57">
        <f t="shared" si="6"/>
        <v>0</v>
      </c>
      <c r="L66" s="57">
        <f t="shared" si="6"/>
        <v>0</v>
      </c>
      <c r="M66" s="57">
        <f t="shared" si="6"/>
        <v>0</v>
      </c>
      <c r="N66" s="57">
        <f t="shared" si="6"/>
        <v>0</v>
      </c>
      <c r="O66" s="57">
        <f t="shared" si="6"/>
        <v>0</v>
      </c>
      <c r="P66" s="57">
        <f t="shared" si="6"/>
        <v>0</v>
      </c>
      <c r="Q66" s="51"/>
    </row>
    <row r="67" spans="1:34" outlineLevel="1" x14ac:dyDescent="0.25">
      <c r="A67" s="7"/>
      <c r="B67" s="37" t="s">
        <v>27</v>
      </c>
      <c r="C67" s="37" t="s">
        <v>108</v>
      </c>
      <c r="D67" s="37" t="s">
        <v>170</v>
      </c>
      <c r="E67" s="39" t="s">
        <v>100</v>
      </c>
      <c r="F67" s="42">
        <f t="shared" si="7"/>
        <v>0</v>
      </c>
      <c r="G67" s="42">
        <f t="shared" si="7"/>
        <v>0</v>
      </c>
      <c r="H67" s="42">
        <f t="shared" si="7"/>
        <v>0</v>
      </c>
      <c r="I67" s="42">
        <f t="shared" si="7"/>
        <v>0</v>
      </c>
      <c r="J67" s="57">
        <f t="shared" si="6"/>
        <v>0</v>
      </c>
      <c r="K67" s="57">
        <f t="shared" si="6"/>
        <v>0</v>
      </c>
      <c r="L67" s="57">
        <f t="shared" si="6"/>
        <v>0</v>
      </c>
      <c r="M67" s="57">
        <f t="shared" si="6"/>
        <v>0</v>
      </c>
      <c r="N67" s="57">
        <f t="shared" si="6"/>
        <v>0</v>
      </c>
      <c r="O67" s="57">
        <f t="shared" si="6"/>
        <v>0</v>
      </c>
      <c r="P67" s="57">
        <f t="shared" si="6"/>
        <v>0</v>
      </c>
      <c r="Q67" s="51"/>
    </row>
    <row r="68" spans="1:34" outlineLevel="1" x14ac:dyDescent="0.25">
      <c r="A68" s="7"/>
      <c r="B68" s="37" t="s">
        <v>27</v>
      </c>
      <c r="C68" s="37" t="s">
        <v>109</v>
      </c>
      <c r="D68" s="37" t="s">
        <v>170</v>
      </c>
      <c r="E68" s="39" t="s">
        <v>100</v>
      </c>
      <c r="F68" s="42">
        <f t="shared" ref="F68:I83" si="8">INDEX($R68:$BZ68,MATCH(F$1,$R$1:$BZ$1,0))</f>
        <v>0</v>
      </c>
      <c r="G68" s="42">
        <f t="shared" si="8"/>
        <v>0</v>
      </c>
      <c r="H68" s="42">
        <f t="shared" si="8"/>
        <v>0</v>
      </c>
      <c r="I68" s="42">
        <f t="shared" si="8"/>
        <v>0</v>
      </c>
      <c r="J68" s="57">
        <f t="shared" si="6"/>
        <v>0</v>
      </c>
      <c r="K68" s="57">
        <f t="shared" si="6"/>
        <v>0</v>
      </c>
      <c r="L68" s="57">
        <f t="shared" si="6"/>
        <v>0</v>
      </c>
      <c r="M68" s="57">
        <f t="shared" si="6"/>
        <v>0</v>
      </c>
      <c r="N68" s="57">
        <f t="shared" si="6"/>
        <v>0</v>
      </c>
      <c r="O68" s="57">
        <f t="shared" si="6"/>
        <v>0</v>
      </c>
      <c r="P68" s="57">
        <f t="shared" si="6"/>
        <v>0</v>
      </c>
      <c r="Q68" s="51"/>
    </row>
    <row r="69" spans="1:34" outlineLevel="1" x14ac:dyDescent="0.25">
      <c r="A69" s="7"/>
      <c r="B69" s="37" t="s">
        <v>27</v>
      </c>
      <c r="C69" s="37" t="s">
        <v>110</v>
      </c>
      <c r="D69" s="37" t="s">
        <v>170</v>
      </c>
      <c r="E69" s="39" t="s">
        <v>100</v>
      </c>
      <c r="F69" s="42">
        <f t="shared" si="8"/>
        <v>0</v>
      </c>
      <c r="G69" s="42">
        <f t="shared" si="8"/>
        <v>0</v>
      </c>
      <c r="H69" s="42">
        <f t="shared" si="8"/>
        <v>0</v>
      </c>
      <c r="I69" s="42">
        <f t="shared" si="8"/>
        <v>0</v>
      </c>
      <c r="J69" s="57">
        <f t="shared" si="6"/>
        <v>0</v>
      </c>
      <c r="K69" s="57">
        <f t="shared" si="6"/>
        <v>0</v>
      </c>
      <c r="L69" s="57">
        <f t="shared" si="6"/>
        <v>0</v>
      </c>
      <c r="M69" s="57">
        <f t="shared" si="6"/>
        <v>0</v>
      </c>
      <c r="N69" s="57">
        <f t="shared" si="6"/>
        <v>0</v>
      </c>
      <c r="O69" s="57">
        <f t="shared" si="6"/>
        <v>0</v>
      </c>
      <c r="P69" s="57">
        <f t="shared" si="6"/>
        <v>0</v>
      </c>
      <c r="Q69" s="51"/>
    </row>
    <row r="70" spans="1:34" outlineLevel="1" x14ac:dyDescent="0.25">
      <c r="A70" s="7"/>
      <c r="B70" s="37" t="s">
        <v>27</v>
      </c>
      <c r="C70" s="37" t="s">
        <v>111</v>
      </c>
      <c r="D70" s="37" t="s">
        <v>170</v>
      </c>
      <c r="E70" s="39" t="s">
        <v>100</v>
      </c>
      <c r="F70" s="42">
        <f t="shared" si="8"/>
        <v>0</v>
      </c>
      <c r="G70" s="42">
        <f t="shared" si="8"/>
        <v>0</v>
      </c>
      <c r="H70" s="42">
        <f t="shared" si="8"/>
        <v>0</v>
      </c>
      <c r="I70" s="42">
        <f t="shared" si="8"/>
        <v>0</v>
      </c>
      <c r="J70" s="57">
        <f t="shared" si="6"/>
        <v>0</v>
      </c>
      <c r="K70" s="57">
        <f t="shared" si="6"/>
        <v>0</v>
      </c>
      <c r="L70" s="57">
        <f t="shared" si="6"/>
        <v>0</v>
      </c>
      <c r="M70" s="57">
        <f t="shared" si="6"/>
        <v>0</v>
      </c>
      <c r="N70" s="57">
        <f t="shared" si="6"/>
        <v>0</v>
      </c>
      <c r="O70" s="57">
        <f t="shared" si="6"/>
        <v>0</v>
      </c>
      <c r="P70" s="57">
        <f t="shared" si="6"/>
        <v>0</v>
      </c>
      <c r="Q70" s="51"/>
    </row>
    <row r="71" spans="1:34" outlineLevel="1" x14ac:dyDescent="0.25">
      <c r="A71" s="7"/>
      <c r="B71" s="37" t="s">
        <v>27</v>
      </c>
      <c r="C71" s="37" t="s">
        <v>112</v>
      </c>
      <c r="D71" s="37" t="s">
        <v>170</v>
      </c>
      <c r="E71" s="39" t="s">
        <v>100</v>
      </c>
      <c r="F71" s="42">
        <f t="shared" si="8"/>
        <v>0</v>
      </c>
      <c r="G71" s="42">
        <f t="shared" si="8"/>
        <v>0</v>
      </c>
      <c r="H71" s="42">
        <f t="shared" si="8"/>
        <v>0</v>
      </c>
      <c r="I71" s="42">
        <f t="shared" si="8"/>
        <v>0</v>
      </c>
      <c r="J71" s="57">
        <f t="shared" si="6"/>
        <v>0</v>
      </c>
      <c r="K71" s="57">
        <f t="shared" si="6"/>
        <v>0</v>
      </c>
      <c r="L71" s="57">
        <f t="shared" si="6"/>
        <v>0</v>
      </c>
      <c r="M71" s="57">
        <f t="shared" si="6"/>
        <v>0</v>
      </c>
      <c r="N71" s="57">
        <f t="shared" si="6"/>
        <v>0</v>
      </c>
      <c r="O71" s="57">
        <f t="shared" si="6"/>
        <v>0</v>
      </c>
      <c r="P71" s="57">
        <f t="shared" si="6"/>
        <v>0</v>
      </c>
      <c r="Q71" s="51"/>
    </row>
    <row r="72" spans="1:34" outlineLevel="1" x14ac:dyDescent="0.25">
      <c r="A72" s="7"/>
      <c r="B72" s="37" t="s">
        <v>27</v>
      </c>
      <c r="C72" s="37" t="s">
        <v>113</v>
      </c>
      <c r="D72" s="37" t="s">
        <v>170</v>
      </c>
      <c r="E72" s="39" t="s">
        <v>100</v>
      </c>
      <c r="F72" s="42">
        <f t="shared" si="8"/>
        <v>0</v>
      </c>
      <c r="G72" s="42">
        <f t="shared" si="8"/>
        <v>0</v>
      </c>
      <c r="H72" s="42">
        <f t="shared" si="8"/>
        <v>0</v>
      </c>
      <c r="I72" s="42">
        <f t="shared" si="8"/>
        <v>0</v>
      </c>
      <c r="J72" s="57">
        <f t="shared" si="6"/>
        <v>0</v>
      </c>
      <c r="K72" s="57">
        <f t="shared" si="6"/>
        <v>0</v>
      </c>
      <c r="L72" s="57">
        <f t="shared" si="6"/>
        <v>0</v>
      </c>
      <c r="M72" s="57">
        <f t="shared" ref="J72:P91" si="9">$AH72</f>
        <v>0</v>
      </c>
      <c r="N72" s="57">
        <f t="shared" si="9"/>
        <v>0</v>
      </c>
      <c r="O72" s="57">
        <f t="shared" si="9"/>
        <v>0</v>
      </c>
      <c r="P72" s="57">
        <f t="shared" si="9"/>
        <v>0</v>
      </c>
      <c r="Q72" s="51"/>
    </row>
    <row r="73" spans="1:34" outlineLevel="1" x14ac:dyDescent="0.25">
      <c r="A73" s="7"/>
      <c r="B73" s="37" t="s">
        <v>27</v>
      </c>
      <c r="C73" s="37" t="s">
        <v>5</v>
      </c>
      <c r="D73" s="37" t="s">
        <v>170</v>
      </c>
      <c r="E73" s="39" t="s">
        <v>100</v>
      </c>
      <c r="F73" s="42">
        <f t="shared" si="8"/>
        <v>240.845</v>
      </c>
      <c r="G73" s="42">
        <f t="shared" si="8"/>
        <v>274.08699999999999</v>
      </c>
      <c r="H73" s="42">
        <f t="shared" si="8"/>
        <v>312.69900000000001</v>
      </c>
      <c r="I73" s="42">
        <f t="shared" si="8"/>
        <v>356.34800000000001</v>
      </c>
      <c r="J73" s="57">
        <f t="shared" si="9"/>
        <v>363.14299999999997</v>
      </c>
      <c r="K73" s="57">
        <f t="shared" si="9"/>
        <v>363.14299999999997</v>
      </c>
      <c r="L73" s="57">
        <f t="shared" si="9"/>
        <v>363.14299999999997</v>
      </c>
      <c r="M73" s="57">
        <f t="shared" si="9"/>
        <v>363.14299999999997</v>
      </c>
      <c r="N73" s="57">
        <f t="shared" si="9"/>
        <v>363.14299999999997</v>
      </c>
      <c r="O73" s="57">
        <f t="shared" si="9"/>
        <v>363.14299999999997</v>
      </c>
      <c r="P73" s="57">
        <f t="shared" si="9"/>
        <v>363.14299999999997</v>
      </c>
      <c r="Q73" s="51"/>
      <c r="R73" s="53">
        <v>240.845</v>
      </c>
      <c r="S73" s="53">
        <v>246.12899999999999</v>
      </c>
      <c r="T73" s="53">
        <v>251.79599999999999</v>
      </c>
      <c r="U73" s="53">
        <v>259.47800000000001</v>
      </c>
      <c r="V73" s="53">
        <v>267.27999999999997</v>
      </c>
      <c r="W73" s="53">
        <v>274.08699999999999</v>
      </c>
      <c r="X73" s="53">
        <v>281.55500000000001</v>
      </c>
      <c r="Y73" s="53">
        <v>287.86399999999998</v>
      </c>
      <c r="Z73" s="53">
        <v>297.70299999999997</v>
      </c>
      <c r="AA73" s="53">
        <v>306.57499999999999</v>
      </c>
      <c r="AB73" s="53">
        <v>312.69900000000001</v>
      </c>
      <c r="AC73" s="53">
        <v>316.55099999999999</v>
      </c>
      <c r="AD73" s="53">
        <v>321.52199999999999</v>
      </c>
      <c r="AE73" s="53">
        <v>331</v>
      </c>
      <c r="AF73" s="53">
        <v>342.41699999999997</v>
      </c>
      <c r="AG73" s="53">
        <v>356.34800000000001</v>
      </c>
      <c r="AH73" s="53">
        <v>363.14299999999997</v>
      </c>
    </row>
    <row r="74" spans="1:34" outlineLevel="1" x14ac:dyDescent="0.25">
      <c r="A74" s="7"/>
      <c r="B74" s="37" t="s">
        <v>27</v>
      </c>
      <c r="C74" s="37" t="s">
        <v>75</v>
      </c>
      <c r="D74" s="37" t="s">
        <v>170</v>
      </c>
      <c r="E74" s="39" t="s">
        <v>100</v>
      </c>
      <c r="F74" s="42">
        <f t="shared" si="8"/>
        <v>0</v>
      </c>
      <c r="G74" s="42">
        <f t="shared" si="8"/>
        <v>0</v>
      </c>
      <c r="H74" s="42">
        <f t="shared" si="8"/>
        <v>0</v>
      </c>
      <c r="I74" s="42">
        <f t="shared" si="8"/>
        <v>0</v>
      </c>
      <c r="J74" s="57">
        <f t="shared" si="9"/>
        <v>0</v>
      </c>
      <c r="K74" s="57">
        <f t="shared" si="9"/>
        <v>0</v>
      </c>
      <c r="L74" s="57">
        <f t="shared" si="9"/>
        <v>0</v>
      </c>
      <c r="M74" s="57">
        <f t="shared" si="9"/>
        <v>0</v>
      </c>
      <c r="N74" s="57">
        <f t="shared" si="9"/>
        <v>0</v>
      </c>
      <c r="O74" s="57">
        <f t="shared" si="9"/>
        <v>0</v>
      </c>
      <c r="P74" s="57">
        <f t="shared" si="9"/>
        <v>0</v>
      </c>
      <c r="Q74" s="51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53"/>
      <c r="AG74" s="53"/>
      <c r="AH74" s="53"/>
    </row>
    <row r="75" spans="1:34" outlineLevel="1" x14ac:dyDescent="0.25">
      <c r="A75" s="7"/>
      <c r="B75" s="37" t="s">
        <v>27</v>
      </c>
      <c r="C75" s="37" t="s">
        <v>114</v>
      </c>
      <c r="D75" s="37" t="s">
        <v>170</v>
      </c>
      <c r="E75" s="39" t="s">
        <v>100</v>
      </c>
      <c r="F75" s="42">
        <f t="shared" si="8"/>
        <v>0</v>
      </c>
      <c r="G75" s="42">
        <f t="shared" si="8"/>
        <v>0</v>
      </c>
      <c r="H75" s="42">
        <f t="shared" si="8"/>
        <v>0</v>
      </c>
      <c r="I75" s="42">
        <f t="shared" si="8"/>
        <v>0</v>
      </c>
      <c r="J75" s="57">
        <f t="shared" si="9"/>
        <v>0</v>
      </c>
      <c r="K75" s="57">
        <f t="shared" si="9"/>
        <v>0</v>
      </c>
      <c r="L75" s="57">
        <f t="shared" si="9"/>
        <v>0</v>
      </c>
      <c r="M75" s="57">
        <f t="shared" si="9"/>
        <v>0</v>
      </c>
      <c r="N75" s="57">
        <f t="shared" si="9"/>
        <v>0</v>
      </c>
      <c r="O75" s="57">
        <f t="shared" si="9"/>
        <v>0</v>
      </c>
      <c r="P75" s="57">
        <f t="shared" si="9"/>
        <v>0</v>
      </c>
      <c r="Q75" s="51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53"/>
      <c r="AG75" s="53"/>
      <c r="AH75" s="53"/>
    </row>
    <row r="76" spans="1:34" outlineLevel="1" x14ac:dyDescent="0.25">
      <c r="A76" s="7"/>
      <c r="B76" s="37" t="s">
        <v>27</v>
      </c>
      <c r="C76" s="37" t="s">
        <v>116</v>
      </c>
      <c r="D76" s="37" t="s">
        <v>170</v>
      </c>
      <c r="E76" s="39" t="s">
        <v>100</v>
      </c>
      <c r="F76" s="42">
        <f t="shared" si="8"/>
        <v>0</v>
      </c>
      <c r="G76" s="42">
        <f t="shared" si="8"/>
        <v>0</v>
      </c>
      <c r="H76" s="42">
        <f t="shared" si="8"/>
        <v>0</v>
      </c>
      <c r="I76" s="42">
        <f t="shared" si="8"/>
        <v>0</v>
      </c>
      <c r="J76" s="57">
        <f t="shared" si="9"/>
        <v>0</v>
      </c>
      <c r="K76" s="57">
        <f t="shared" si="9"/>
        <v>0</v>
      </c>
      <c r="L76" s="57">
        <f t="shared" si="9"/>
        <v>0</v>
      </c>
      <c r="M76" s="57">
        <f t="shared" si="9"/>
        <v>0</v>
      </c>
      <c r="N76" s="57">
        <f t="shared" si="9"/>
        <v>0</v>
      </c>
      <c r="O76" s="57">
        <f t="shared" si="9"/>
        <v>0</v>
      </c>
      <c r="P76" s="57">
        <f t="shared" si="9"/>
        <v>0</v>
      </c>
      <c r="Q76" s="51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53"/>
      <c r="AG76" s="53"/>
      <c r="AH76" s="53"/>
    </row>
    <row r="77" spans="1:34" outlineLevel="1" x14ac:dyDescent="0.25">
      <c r="A77" s="7"/>
      <c r="B77" s="37" t="s">
        <v>27</v>
      </c>
      <c r="C77" s="37" t="s">
        <v>115</v>
      </c>
      <c r="D77" s="37" t="s">
        <v>170</v>
      </c>
      <c r="E77" s="39" t="s">
        <v>100</v>
      </c>
      <c r="F77" s="42">
        <f t="shared" si="8"/>
        <v>0</v>
      </c>
      <c r="G77" s="42">
        <f t="shared" si="8"/>
        <v>0</v>
      </c>
      <c r="H77" s="42">
        <f t="shared" si="8"/>
        <v>0</v>
      </c>
      <c r="I77" s="42">
        <f t="shared" si="8"/>
        <v>0</v>
      </c>
      <c r="J77" s="57">
        <f t="shared" si="9"/>
        <v>0</v>
      </c>
      <c r="K77" s="57">
        <f t="shared" si="9"/>
        <v>0</v>
      </c>
      <c r="L77" s="57">
        <f t="shared" si="9"/>
        <v>0</v>
      </c>
      <c r="M77" s="57">
        <f t="shared" si="9"/>
        <v>0</v>
      </c>
      <c r="N77" s="57">
        <f t="shared" si="9"/>
        <v>0</v>
      </c>
      <c r="O77" s="57">
        <f t="shared" si="9"/>
        <v>0</v>
      </c>
      <c r="P77" s="57">
        <f t="shared" si="9"/>
        <v>0</v>
      </c>
      <c r="Q77" s="51"/>
    </row>
    <row r="78" spans="1:34" outlineLevel="1" x14ac:dyDescent="0.25">
      <c r="A78" s="7"/>
      <c r="B78" s="37" t="s">
        <v>28</v>
      </c>
      <c r="C78" s="37" t="s">
        <v>59</v>
      </c>
      <c r="D78" s="37" t="s">
        <v>170</v>
      </c>
      <c r="E78" s="39" t="s">
        <v>100</v>
      </c>
      <c r="F78" s="42">
        <f t="shared" si="8"/>
        <v>0</v>
      </c>
      <c r="G78" s="42">
        <f t="shared" si="8"/>
        <v>0</v>
      </c>
      <c r="H78" s="42">
        <f t="shared" si="8"/>
        <v>0</v>
      </c>
      <c r="I78" s="42">
        <f t="shared" si="8"/>
        <v>0</v>
      </c>
      <c r="J78" s="57">
        <f t="shared" si="9"/>
        <v>0</v>
      </c>
      <c r="K78" s="57">
        <f t="shared" si="9"/>
        <v>0</v>
      </c>
      <c r="L78" s="57">
        <f t="shared" si="9"/>
        <v>0</v>
      </c>
      <c r="M78" s="57">
        <f t="shared" si="9"/>
        <v>0</v>
      </c>
      <c r="N78" s="57">
        <f t="shared" si="9"/>
        <v>0</v>
      </c>
      <c r="O78" s="57">
        <f t="shared" si="9"/>
        <v>0</v>
      </c>
      <c r="P78" s="57">
        <f t="shared" si="9"/>
        <v>0</v>
      </c>
      <c r="Q78" s="51"/>
    </row>
    <row r="79" spans="1:34" outlineLevel="1" x14ac:dyDescent="0.25">
      <c r="A79" s="7"/>
      <c r="B79" s="37" t="s">
        <v>28</v>
      </c>
      <c r="C79" s="15" t="s">
        <v>106</v>
      </c>
      <c r="D79" s="37" t="s">
        <v>170</v>
      </c>
      <c r="E79" s="39" t="s">
        <v>100</v>
      </c>
      <c r="F79" s="42">
        <f t="shared" si="8"/>
        <v>0</v>
      </c>
      <c r="G79" s="42">
        <f t="shared" si="8"/>
        <v>0</v>
      </c>
      <c r="H79" s="42">
        <f t="shared" si="8"/>
        <v>0</v>
      </c>
      <c r="I79" s="42">
        <f t="shared" si="8"/>
        <v>0</v>
      </c>
      <c r="J79" s="57">
        <f t="shared" si="9"/>
        <v>0</v>
      </c>
      <c r="K79" s="57">
        <f t="shared" si="9"/>
        <v>0</v>
      </c>
      <c r="L79" s="57">
        <f t="shared" si="9"/>
        <v>0</v>
      </c>
      <c r="M79" s="57">
        <f t="shared" si="9"/>
        <v>0</v>
      </c>
      <c r="N79" s="57">
        <f t="shared" si="9"/>
        <v>0</v>
      </c>
      <c r="O79" s="57">
        <f t="shared" si="9"/>
        <v>0</v>
      </c>
      <c r="P79" s="57">
        <f t="shared" si="9"/>
        <v>0</v>
      </c>
      <c r="Q79" s="51"/>
    </row>
    <row r="80" spans="1:34" outlineLevel="1" x14ac:dyDescent="0.25">
      <c r="A80" s="7"/>
      <c r="B80" s="37" t="s">
        <v>28</v>
      </c>
      <c r="C80" s="37" t="s">
        <v>107</v>
      </c>
      <c r="D80" s="37" t="s">
        <v>170</v>
      </c>
      <c r="E80" s="39" t="s">
        <v>100</v>
      </c>
      <c r="F80" s="42">
        <f t="shared" si="8"/>
        <v>0</v>
      </c>
      <c r="G80" s="42">
        <f t="shared" si="8"/>
        <v>0</v>
      </c>
      <c r="H80" s="42">
        <f t="shared" si="8"/>
        <v>0</v>
      </c>
      <c r="I80" s="42">
        <f t="shared" si="8"/>
        <v>0</v>
      </c>
      <c r="J80" s="57">
        <f t="shared" si="9"/>
        <v>0</v>
      </c>
      <c r="K80" s="57">
        <f t="shared" si="9"/>
        <v>0</v>
      </c>
      <c r="L80" s="57">
        <f t="shared" si="9"/>
        <v>0</v>
      </c>
      <c r="M80" s="57">
        <f t="shared" si="9"/>
        <v>0</v>
      </c>
      <c r="N80" s="57">
        <f t="shared" si="9"/>
        <v>0</v>
      </c>
      <c r="O80" s="57">
        <f t="shared" si="9"/>
        <v>0</v>
      </c>
      <c r="P80" s="57">
        <f t="shared" si="9"/>
        <v>0</v>
      </c>
      <c r="Q80" s="51"/>
    </row>
    <row r="81" spans="1:34" outlineLevel="1" x14ac:dyDescent="0.25">
      <c r="A81" s="7"/>
      <c r="B81" s="37" t="s">
        <v>28</v>
      </c>
      <c r="C81" s="37" t="s">
        <v>108</v>
      </c>
      <c r="D81" s="37" t="s">
        <v>170</v>
      </c>
      <c r="E81" s="39" t="s">
        <v>100</v>
      </c>
      <c r="F81" s="42">
        <f t="shared" si="8"/>
        <v>0</v>
      </c>
      <c r="G81" s="42">
        <f t="shared" si="8"/>
        <v>0</v>
      </c>
      <c r="H81" s="42">
        <f t="shared" si="8"/>
        <v>0</v>
      </c>
      <c r="I81" s="42">
        <f t="shared" si="8"/>
        <v>0</v>
      </c>
      <c r="J81" s="57">
        <f t="shared" si="9"/>
        <v>0</v>
      </c>
      <c r="K81" s="57">
        <f t="shared" si="9"/>
        <v>0</v>
      </c>
      <c r="L81" s="57">
        <f t="shared" si="9"/>
        <v>0</v>
      </c>
      <c r="M81" s="57">
        <f t="shared" si="9"/>
        <v>0</v>
      </c>
      <c r="N81" s="57">
        <f t="shared" si="9"/>
        <v>0</v>
      </c>
      <c r="O81" s="57">
        <f t="shared" si="9"/>
        <v>0</v>
      </c>
      <c r="P81" s="57">
        <f t="shared" si="9"/>
        <v>0</v>
      </c>
      <c r="Q81" s="51"/>
    </row>
    <row r="82" spans="1:34" outlineLevel="1" x14ac:dyDescent="0.25">
      <c r="A82" s="7"/>
      <c r="B82" s="37" t="s">
        <v>28</v>
      </c>
      <c r="C82" s="37" t="s">
        <v>109</v>
      </c>
      <c r="D82" s="37" t="s">
        <v>170</v>
      </c>
      <c r="E82" s="39" t="s">
        <v>100</v>
      </c>
      <c r="F82" s="42">
        <f t="shared" si="8"/>
        <v>0</v>
      </c>
      <c r="G82" s="42">
        <f t="shared" si="8"/>
        <v>0</v>
      </c>
      <c r="H82" s="42">
        <f t="shared" si="8"/>
        <v>0</v>
      </c>
      <c r="I82" s="42">
        <f t="shared" si="8"/>
        <v>0</v>
      </c>
      <c r="J82" s="57">
        <f t="shared" si="9"/>
        <v>0</v>
      </c>
      <c r="K82" s="57">
        <f t="shared" si="9"/>
        <v>0</v>
      </c>
      <c r="L82" s="57">
        <f t="shared" si="9"/>
        <v>0</v>
      </c>
      <c r="M82" s="57">
        <f t="shared" si="9"/>
        <v>0</v>
      </c>
      <c r="N82" s="57">
        <f t="shared" si="9"/>
        <v>0</v>
      </c>
      <c r="O82" s="57">
        <f t="shared" si="9"/>
        <v>0</v>
      </c>
      <c r="P82" s="57">
        <f t="shared" si="9"/>
        <v>0</v>
      </c>
      <c r="Q82" s="51"/>
    </row>
    <row r="83" spans="1:34" outlineLevel="1" x14ac:dyDescent="0.25">
      <c r="A83" s="7"/>
      <c r="B83" s="37" t="s">
        <v>28</v>
      </c>
      <c r="C83" s="37" t="s">
        <v>110</v>
      </c>
      <c r="D83" s="37" t="s">
        <v>170</v>
      </c>
      <c r="E83" s="39" t="s">
        <v>100</v>
      </c>
      <c r="F83" s="42">
        <f t="shared" si="8"/>
        <v>0</v>
      </c>
      <c r="G83" s="42">
        <f t="shared" si="8"/>
        <v>0</v>
      </c>
      <c r="H83" s="42">
        <f t="shared" si="8"/>
        <v>0</v>
      </c>
      <c r="I83" s="42">
        <f t="shared" si="8"/>
        <v>0</v>
      </c>
      <c r="J83" s="57">
        <f t="shared" si="9"/>
        <v>0</v>
      </c>
      <c r="K83" s="57">
        <f t="shared" si="9"/>
        <v>0</v>
      </c>
      <c r="L83" s="57">
        <f t="shared" si="9"/>
        <v>0</v>
      </c>
      <c r="M83" s="57">
        <f t="shared" si="9"/>
        <v>0</v>
      </c>
      <c r="N83" s="57">
        <f t="shared" si="9"/>
        <v>0</v>
      </c>
      <c r="O83" s="57">
        <f t="shared" si="9"/>
        <v>0</v>
      </c>
      <c r="P83" s="57">
        <f t="shared" si="9"/>
        <v>0</v>
      </c>
      <c r="Q83" s="51"/>
    </row>
    <row r="84" spans="1:34" outlineLevel="1" x14ac:dyDescent="0.25">
      <c r="A84" s="7"/>
      <c r="B84" s="37" t="s">
        <v>28</v>
      </c>
      <c r="C84" s="37" t="s">
        <v>111</v>
      </c>
      <c r="D84" s="37" t="s">
        <v>170</v>
      </c>
      <c r="E84" s="39" t="s">
        <v>100</v>
      </c>
      <c r="F84" s="42">
        <f t="shared" ref="F84:I91" si="10">INDEX($R84:$BZ84,MATCH(F$1,$R$1:$BZ$1,0))</f>
        <v>0</v>
      </c>
      <c r="G84" s="42">
        <f t="shared" si="10"/>
        <v>0</v>
      </c>
      <c r="H84" s="42">
        <f t="shared" si="10"/>
        <v>0</v>
      </c>
      <c r="I84" s="42">
        <f t="shared" si="10"/>
        <v>0</v>
      </c>
      <c r="J84" s="57">
        <f t="shared" si="9"/>
        <v>0</v>
      </c>
      <c r="K84" s="57">
        <f t="shared" si="9"/>
        <v>0</v>
      </c>
      <c r="L84" s="57">
        <f t="shared" si="9"/>
        <v>0</v>
      </c>
      <c r="M84" s="57">
        <f t="shared" si="9"/>
        <v>0</v>
      </c>
      <c r="N84" s="57">
        <f t="shared" si="9"/>
        <v>0</v>
      </c>
      <c r="O84" s="57">
        <f t="shared" si="9"/>
        <v>0</v>
      </c>
      <c r="P84" s="57">
        <f t="shared" si="9"/>
        <v>0</v>
      </c>
      <c r="Q84" s="51"/>
    </row>
    <row r="85" spans="1:34" outlineLevel="1" x14ac:dyDescent="0.25">
      <c r="A85" s="7"/>
      <c r="B85" s="37" t="s">
        <v>28</v>
      </c>
      <c r="C85" s="37" t="s">
        <v>112</v>
      </c>
      <c r="D85" s="37" t="s">
        <v>170</v>
      </c>
      <c r="E85" s="39" t="s">
        <v>100</v>
      </c>
      <c r="F85" s="42">
        <f t="shared" si="10"/>
        <v>0</v>
      </c>
      <c r="G85" s="42">
        <f t="shared" si="10"/>
        <v>0</v>
      </c>
      <c r="H85" s="42">
        <f t="shared" si="10"/>
        <v>0</v>
      </c>
      <c r="I85" s="42">
        <f t="shared" si="10"/>
        <v>0</v>
      </c>
      <c r="J85" s="57">
        <f t="shared" si="9"/>
        <v>0</v>
      </c>
      <c r="K85" s="57">
        <f t="shared" si="9"/>
        <v>0</v>
      </c>
      <c r="L85" s="57">
        <f t="shared" si="9"/>
        <v>0</v>
      </c>
      <c r="M85" s="57">
        <f t="shared" si="9"/>
        <v>0</v>
      </c>
      <c r="N85" s="57">
        <f t="shared" si="9"/>
        <v>0</v>
      </c>
      <c r="O85" s="57">
        <f t="shared" si="9"/>
        <v>0</v>
      </c>
      <c r="P85" s="57">
        <f t="shared" si="9"/>
        <v>0</v>
      </c>
      <c r="Q85" s="51"/>
    </row>
    <row r="86" spans="1:34" outlineLevel="1" x14ac:dyDescent="0.25">
      <c r="A86" s="7"/>
      <c r="B86" s="37" t="s">
        <v>28</v>
      </c>
      <c r="C86" s="37" t="s">
        <v>113</v>
      </c>
      <c r="D86" s="37" t="s">
        <v>170</v>
      </c>
      <c r="E86" s="39" t="s">
        <v>100</v>
      </c>
      <c r="F86" s="42">
        <f t="shared" si="10"/>
        <v>0</v>
      </c>
      <c r="G86" s="42">
        <f t="shared" si="10"/>
        <v>0</v>
      </c>
      <c r="H86" s="42">
        <f t="shared" si="10"/>
        <v>0</v>
      </c>
      <c r="I86" s="42">
        <f t="shared" si="10"/>
        <v>0</v>
      </c>
      <c r="J86" s="57">
        <f t="shared" si="9"/>
        <v>0</v>
      </c>
      <c r="K86" s="57">
        <f t="shared" si="9"/>
        <v>0</v>
      </c>
      <c r="L86" s="57">
        <f t="shared" si="9"/>
        <v>0</v>
      </c>
      <c r="M86" s="57">
        <f t="shared" si="9"/>
        <v>0</v>
      </c>
      <c r="N86" s="57">
        <f t="shared" si="9"/>
        <v>0</v>
      </c>
      <c r="O86" s="57">
        <f t="shared" si="9"/>
        <v>0</v>
      </c>
      <c r="P86" s="57">
        <f t="shared" si="9"/>
        <v>0</v>
      </c>
      <c r="Q86" s="51"/>
    </row>
    <row r="87" spans="1:34" outlineLevel="1" x14ac:dyDescent="0.25">
      <c r="A87" s="7"/>
      <c r="B87" s="37" t="s">
        <v>28</v>
      </c>
      <c r="C87" s="37" t="s">
        <v>5</v>
      </c>
      <c r="D87" s="37" t="s">
        <v>170</v>
      </c>
      <c r="E87" s="39" t="s">
        <v>100</v>
      </c>
      <c r="F87" s="42">
        <f t="shared" si="10"/>
        <v>51.143999999999998</v>
      </c>
      <c r="G87" s="42">
        <f t="shared" si="10"/>
        <v>58.040999999999997</v>
      </c>
      <c r="H87" s="42">
        <f t="shared" si="10"/>
        <v>64.87</v>
      </c>
      <c r="I87" s="42">
        <f t="shared" si="10"/>
        <v>70.494</v>
      </c>
      <c r="J87" s="57">
        <f t="shared" si="9"/>
        <v>71.623999999999995</v>
      </c>
      <c r="K87" s="57">
        <f t="shared" si="9"/>
        <v>71.623999999999995</v>
      </c>
      <c r="L87" s="57">
        <f t="shared" si="9"/>
        <v>71.623999999999995</v>
      </c>
      <c r="M87" s="57">
        <f t="shared" si="9"/>
        <v>71.623999999999995</v>
      </c>
      <c r="N87" s="57">
        <f t="shared" si="9"/>
        <v>71.623999999999995</v>
      </c>
      <c r="O87" s="57">
        <f t="shared" si="9"/>
        <v>71.623999999999995</v>
      </c>
      <c r="P87" s="57">
        <f t="shared" si="9"/>
        <v>71.623999999999995</v>
      </c>
      <c r="Q87" s="51"/>
      <c r="R87" s="53">
        <v>51.143999999999998</v>
      </c>
      <c r="S87" s="53">
        <v>52.281999999999996</v>
      </c>
      <c r="T87" s="53">
        <v>53.66</v>
      </c>
      <c r="U87" s="53">
        <v>55.110999999999997</v>
      </c>
      <c r="V87" s="53">
        <v>56.487000000000002</v>
      </c>
      <c r="W87" s="53">
        <v>58.040999999999997</v>
      </c>
      <c r="X87" s="53">
        <v>59.667000000000002</v>
      </c>
      <c r="Y87" s="53">
        <v>61.478000000000002</v>
      </c>
      <c r="Z87" s="53">
        <v>62.872999999999998</v>
      </c>
      <c r="AA87" s="53">
        <v>63.744</v>
      </c>
      <c r="AB87" s="53">
        <v>64.87</v>
      </c>
      <c r="AC87" s="53">
        <v>66.188000000000002</v>
      </c>
      <c r="AD87" s="53">
        <v>67.120999999999995</v>
      </c>
      <c r="AE87" s="53">
        <v>68.241</v>
      </c>
      <c r="AF87" s="53">
        <v>69.427999999999997</v>
      </c>
      <c r="AG87" s="53">
        <v>70.494</v>
      </c>
      <c r="AH87" s="53">
        <v>71.623999999999995</v>
      </c>
    </row>
    <row r="88" spans="1:34" outlineLevel="1" x14ac:dyDescent="0.25">
      <c r="A88" s="7"/>
      <c r="B88" s="37" t="s">
        <v>28</v>
      </c>
      <c r="C88" s="37" t="s">
        <v>75</v>
      </c>
      <c r="D88" s="37" t="s">
        <v>170</v>
      </c>
      <c r="E88" s="39" t="s">
        <v>100</v>
      </c>
      <c r="F88" s="42">
        <f t="shared" si="10"/>
        <v>0</v>
      </c>
      <c r="G88" s="42">
        <f t="shared" si="10"/>
        <v>0</v>
      </c>
      <c r="H88" s="42">
        <f t="shared" si="10"/>
        <v>0</v>
      </c>
      <c r="I88" s="42">
        <f t="shared" si="10"/>
        <v>0</v>
      </c>
      <c r="J88" s="57">
        <f t="shared" si="9"/>
        <v>0</v>
      </c>
      <c r="K88" s="57">
        <f t="shared" si="9"/>
        <v>0</v>
      </c>
      <c r="L88" s="57">
        <f t="shared" si="9"/>
        <v>0</v>
      </c>
      <c r="M88" s="57">
        <f t="shared" si="9"/>
        <v>0</v>
      </c>
      <c r="N88" s="57">
        <f t="shared" si="9"/>
        <v>0</v>
      </c>
      <c r="O88" s="57">
        <f t="shared" si="9"/>
        <v>0</v>
      </c>
      <c r="P88" s="57">
        <f t="shared" si="9"/>
        <v>0</v>
      </c>
      <c r="Q88" s="51"/>
      <c r="R88" s="53"/>
      <c r="S88" s="53"/>
      <c r="T88" s="53"/>
      <c r="U88" s="53"/>
      <c r="V88" s="53"/>
      <c r="W88" s="53"/>
      <c r="X88" s="53"/>
      <c r="Y88" s="53"/>
      <c r="Z88" s="53"/>
      <c r="AA88" s="53"/>
      <c r="AB88" s="53"/>
      <c r="AC88" s="53"/>
      <c r="AD88" s="53"/>
      <c r="AE88" s="53"/>
      <c r="AF88" s="53"/>
      <c r="AG88" s="53"/>
      <c r="AH88" s="53"/>
    </row>
    <row r="89" spans="1:34" outlineLevel="1" x14ac:dyDescent="0.25">
      <c r="A89" s="7"/>
      <c r="B89" s="37" t="s">
        <v>28</v>
      </c>
      <c r="C89" s="37" t="s">
        <v>114</v>
      </c>
      <c r="D89" s="37" t="s">
        <v>170</v>
      </c>
      <c r="E89" s="39" t="s">
        <v>100</v>
      </c>
      <c r="F89" s="42">
        <f t="shared" si="10"/>
        <v>0</v>
      </c>
      <c r="G89" s="42">
        <f t="shared" si="10"/>
        <v>0</v>
      </c>
      <c r="H89" s="42">
        <f t="shared" si="10"/>
        <v>0</v>
      </c>
      <c r="I89" s="42">
        <f t="shared" si="10"/>
        <v>0</v>
      </c>
      <c r="J89" s="57">
        <f t="shared" si="9"/>
        <v>0</v>
      </c>
      <c r="K89" s="57">
        <f t="shared" si="9"/>
        <v>0</v>
      </c>
      <c r="L89" s="57">
        <f t="shared" si="9"/>
        <v>0</v>
      </c>
      <c r="M89" s="57">
        <f t="shared" si="9"/>
        <v>0</v>
      </c>
      <c r="N89" s="57">
        <f t="shared" si="9"/>
        <v>0</v>
      </c>
      <c r="O89" s="57">
        <f t="shared" si="9"/>
        <v>0</v>
      </c>
      <c r="P89" s="57">
        <f t="shared" si="9"/>
        <v>0</v>
      </c>
      <c r="Q89" s="51"/>
      <c r="R89" s="53"/>
      <c r="S89" s="53"/>
      <c r="T89" s="53"/>
      <c r="U89" s="53"/>
      <c r="V89" s="53"/>
      <c r="W89" s="53"/>
      <c r="X89" s="53"/>
      <c r="Y89" s="53"/>
      <c r="Z89" s="53"/>
      <c r="AA89" s="53"/>
      <c r="AB89" s="53"/>
      <c r="AC89" s="53"/>
      <c r="AD89" s="53"/>
      <c r="AE89" s="53"/>
      <c r="AF89" s="53"/>
      <c r="AG89" s="53"/>
      <c r="AH89" s="53"/>
    </row>
    <row r="90" spans="1:34" outlineLevel="1" x14ac:dyDescent="0.25">
      <c r="A90" s="7"/>
      <c r="B90" s="37" t="s">
        <v>28</v>
      </c>
      <c r="C90" s="37" t="s">
        <v>116</v>
      </c>
      <c r="D90" s="37" t="s">
        <v>170</v>
      </c>
      <c r="E90" s="39" t="s">
        <v>100</v>
      </c>
      <c r="F90" s="42">
        <f t="shared" si="10"/>
        <v>0</v>
      </c>
      <c r="G90" s="42">
        <f t="shared" si="10"/>
        <v>0</v>
      </c>
      <c r="H90" s="42">
        <f t="shared" si="10"/>
        <v>0</v>
      </c>
      <c r="I90" s="42">
        <f t="shared" si="10"/>
        <v>0</v>
      </c>
      <c r="J90" s="57">
        <f t="shared" si="9"/>
        <v>0</v>
      </c>
      <c r="K90" s="57">
        <f t="shared" si="9"/>
        <v>0</v>
      </c>
      <c r="L90" s="57">
        <f t="shared" si="9"/>
        <v>0</v>
      </c>
      <c r="M90" s="57">
        <f t="shared" si="9"/>
        <v>0</v>
      </c>
      <c r="N90" s="57">
        <f t="shared" si="9"/>
        <v>0</v>
      </c>
      <c r="O90" s="57">
        <f t="shared" si="9"/>
        <v>0</v>
      </c>
      <c r="P90" s="57">
        <f t="shared" si="9"/>
        <v>0</v>
      </c>
      <c r="Q90" s="51"/>
      <c r="R90" s="53"/>
      <c r="S90" s="53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  <c r="AF90" s="53"/>
      <c r="AG90" s="53"/>
      <c r="AH90" s="53"/>
    </row>
    <row r="91" spans="1:34" outlineLevel="1" x14ac:dyDescent="0.25">
      <c r="A91" s="7"/>
      <c r="B91" s="37" t="s">
        <v>28</v>
      </c>
      <c r="C91" s="37" t="s">
        <v>115</v>
      </c>
      <c r="D91" s="37" t="s">
        <v>170</v>
      </c>
      <c r="E91" s="39" t="s">
        <v>100</v>
      </c>
      <c r="F91" s="42">
        <f t="shared" si="10"/>
        <v>0</v>
      </c>
      <c r="G91" s="42">
        <f t="shared" si="10"/>
        <v>0</v>
      </c>
      <c r="H91" s="42">
        <f t="shared" si="10"/>
        <v>0</v>
      </c>
      <c r="I91" s="42">
        <f t="shared" si="10"/>
        <v>0</v>
      </c>
      <c r="J91" s="57">
        <f t="shared" si="9"/>
        <v>0</v>
      </c>
      <c r="K91" s="57">
        <f t="shared" si="9"/>
        <v>0</v>
      </c>
      <c r="L91" s="57">
        <f t="shared" si="9"/>
        <v>0</v>
      </c>
      <c r="M91" s="57">
        <f t="shared" si="9"/>
        <v>0</v>
      </c>
      <c r="N91" s="57">
        <f t="shared" si="9"/>
        <v>0</v>
      </c>
      <c r="O91" s="57">
        <f t="shared" si="9"/>
        <v>0</v>
      </c>
      <c r="P91" s="57">
        <f t="shared" si="9"/>
        <v>0</v>
      </c>
      <c r="Q91" s="51"/>
    </row>
    <row r="92" spans="1:34" x14ac:dyDescent="0.25">
      <c r="A92" s="7"/>
      <c r="B92" s="37"/>
      <c r="C92" s="37"/>
      <c r="D92" s="37"/>
      <c r="E92" s="18"/>
      <c r="F92" s="42"/>
      <c r="G92" s="42"/>
      <c r="H92" s="42"/>
      <c r="I92" s="42"/>
      <c r="Q92" s="51"/>
    </row>
    <row r="93" spans="1:34" x14ac:dyDescent="0.25">
      <c r="A93" s="7"/>
      <c r="B93" s="37"/>
      <c r="C93" s="37"/>
      <c r="D93" s="37"/>
      <c r="E93" s="18"/>
      <c r="F93" s="42"/>
      <c r="G93" s="42"/>
      <c r="H93" s="42"/>
      <c r="I93" s="42"/>
      <c r="Q93" s="51"/>
    </row>
    <row r="94" spans="1:34" x14ac:dyDescent="0.25">
      <c r="A94" s="7"/>
      <c r="B94" s="71" t="s">
        <v>89</v>
      </c>
      <c r="C94" s="37"/>
      <c r="D94" s="37"/>
      <c r="E94" s="18"/>
      <c r="F94" s="42"/>
      <c r="G94" s="42"/>
      <c r="H94" s="42"/>
      <c r="I94" s="42"/>
      <c r="Q94" s="51"/>
    </row>
    <row r="95" spans="1:34" outlineLevel="1" x14ac:dyDescent="0.25">
      <c r="A95" s="7"/>
      <c r="B95" s="37" t="s">
        <v>171</v>
      </c>
      <c r="C95" s="37" t="s">
        <v>59</v>
      </c>
      <c r="D95" s="37" t="s">
        <v>99</v>
      </c>
      <c r="E95" s="39" t="s">
        <v>100</v>
      </c>
      <c r="F95" s="42">
        <f t="shared" ref="F95:I110" si="11">INDEX($R95:$BZ95,MATCH(F$1,$R$1:$BZ$1,0))</f>
        <v>0</v>
      </c>
      <c r="G95" s="42">
        <f t="shared" si="11"/>
        <v>0</v>
      </c>
      <c r="H95" s="42">
        <f t="shared" si="11"/>
        <v>0</v>
      </c>
      <c r="I95" s="42">
        <f t="shared" si="11"/>
        <v>0</v>
      </c>
      <c r="J95" s="57">
        <f t="shared" ref="J95:P131" si="12">$AH95</f>
        <v>0</v>
      </c>
      <c r="K95" s="57">
        <f t="shared" si="12"/>
        <v>0</v>
      </c>
      <c r="L95" s="57">
        <f t="shared" si="12"/>
        <v>0</v>
      </c>
      <c r="M95" s="57">
        <f t="shared" si="12"/>
        <v>0</v>
      </c>
      <c r="N95" s="57">
        <f t="shared" si="12"/>
        <v>0</v>
      </c>
      <c r="O95" s="57">
        <f t="shared" si="12"/>
        <v>0</v>
      </c>
      <c r="P95" s="57">
        <f t="shared" si="12"/>
        <v>0</v>
      </c>
      <c r="Q95" s="51"/>
    </row>
    <row r="96" spans="1:34" outlineLevel="1" x14ac:dyDescent="0.25">
      <c r="A96" s="7"/>
      <c r="B96" s="37" t="s">
        <v>171</v>
      </c>
      <c r="C96" s="15" t="s">
        <v>106</v>
      </c>
      <c r="D96" s="37" t="s">
        <v>99</v>
      </c>
      <c r="E96" s="39" t="s">
        <v>100</v>
      </c>
      <c r="F96" s="42">
        <f t="shared" si="11"/>
        <v>0</v>
      </c>
      <c r="G96" s="42">
        <f t="shared" si="11"/>
        <v>0</v>
      </c>
      <c r="H96" s="42">
        <f t="shared" si="11"/>
        <v>0</v>
      </c>
      <c r="I96" s="42">
        <f t="shared" si="11"/>
        <v>0</v>
      </c>
      <c r="J96" s="57">
        <f t="shared" si="12"/>
        <v>0</v>
      </c>
      <c r="K96" s="57">
        <f t="shared" si="12"/>
        <v>0</v>
      </c>
      <c r="L96" s="57">
        <f t="shared" si="12"/>
        <v>0</v>
      </c>
      <c r="M96" s="57">
        <f t="shared" si="12"/>
        <v>0</v>
      </c>
      <c r="N96" s="57">
        <f t="shared" si="12"/>
        <v>0</v>
      </c>
      <c r="O96" s="57">
        <f t="shared" si="12"/>
        <v>0</v>
      </c>
      <c r="P96" s="57">
        <f t="shared" si="12"/>
        <v>0</v>
      </c>
      <c r="Q96" s="51"/>
    </row>
    <row r="97" spans="1:34" outlineLevel="1" x14ac:dyDescent="0.25">
      <c r="A97" s="7"/>
      <c r="B97" s="37" t="s">
        <v>171</v>
      </c>
      <c r="C97" s="37" t="s">
        <v>107</v>
      </c>
      <c r="D97" s="37" t="s">
        <v>99</v>
      </c>
      <c r="E97" s="39" t="s">
        <v>100</v>
      </c>
      <c r="F97" s="42">
        <f t="shared" si="11"/>
        <v>0</v>
      </c>
      <c r="G97" s="42">
        <f t="shared" si="11"/>
        <v>0</v>
      </c>
      <c r="H97" s="42">
        <f t="shared" si="11"/>
        <v>0</v>
      </c>
      <c r="I97" s="42">
        <f t="shared" si="11"/>
        <v>0</v>
      </c>
      <c r="J97" s="57">
        <f t="shared" si="12"/>
        <v>0</v>
      </c>
      <c r="K97" s="57">
        <f t="shared" si="12"/>
        <v>0</v>
      </c>
      <c r="L97" s="57">
        <f t="shared" si="12"/>
        <v>0</v>
      </c>
      <c r="M97" s="57">
        <f t="shared" si="12"/>
        <v>0</v>
      </c>
      <c r="N97" s="57">
        <f t="shared" si="12"/>
        <v>0</v>
      </c>
      <c r="O97" s="57">
        <f t="shared" si="12"/>
        <v>0</v>
      </c>
      <c r="P97" s="57">
        <f t="shared" si="12"/>
        <v>0</v>
      </c>
      <c r="Q97" s="51"/>
    </row>
    <row r="98" spans="1:34" outlineLevel="1" x14ac:dyDescent="0.25">
      <c r="A98" s="7"/>
      <c r="B98" s="37" t="s">
        <v>171</v>
      </c>
      <c r="C98" s="37" t="s">
        <v>108</v>
      </c>
      <c r="D98" s="37" t="s">
        <v>99</v>
      </c>
      <c r="E98" s="39" t="s">
        <v>100</v>
      </c>
      <c r="F98" s="42">
        <f t="shared" si="11"/>
        <v>0</v>
      </c>
      <c r="G98" s="42">
        <f t="shared" si="11"/>
        <v>0</v>
      </c>
      <c r="H98" s="42">
        <f t="shared" si="11"/>
        <v>0</v>
      </c>
      <c r="I98" s="42">
        <f t="shared" si="11"/>
        <v>0</v>
      </c>
      <c r="J98" s="57">
        <f t="shared" si="12"/>
        <v>0</v>
      </c>
      <c r="K98" s="57">
        <f t="shared" si="12"/>
        <v>0</v>
      </c>
      <c r="L98" s="57">
        <f t="shared" si="12"/>
        <v>0</v>
      </c>
      <c r="M98" s="57">
        <f t="shared" si="12"/>
        <v>0</v>
      </c>
      <c r="N98" s="57">
        <f t="shared" si="12"/>
        <v>0</v>
      </c>
      <c r="O98" s="57">
        <f t="shared" si="12"/>
        <v>0</v>
      </c>
      <c r="P98" s="57">
        <f t="shared" si="12"/>
        <v>0</v>
      </c>
      <c r="Q98" s="51"/>
    </row>
    <row r="99" spans="1:34" outlineLevel="1" x14ac:dyDescent="0.25">
      <c r="A99" s="7"/>
      <c r="B99" s="37" t="s">
        <v>171</v>
      </c>
      <c r="C99" s="37" t="s">
        <v>109</v>
      </c>
      <c r="D99" s="37" t="s">
        <v>99</v>
      </c>
      <c r="E99" s="39" t="s">
        <v>100</v>
      </c>
      <c r="F99" s="42">
        <f t="shared" si="11"/>
        <v>0</v>
      </c>
      <c r="G99" s="42">
        <f t="shared" si="11"/>
        <v>0</v>
      </c>
      <c r="H99" s="42">
        <f t="shared" si="11"/>
        <v>0</v>
      </c>
      <c r="I99" s="42">
        <f t="shared" si="11"/>
        <v>0</v>
      </c>
      <c r="J99" s="57">
        <f t="shared" si="12"/>
        <v>0</v>
      </c>
      <c r="K99" s="57">
        <f t="shared" si="12"/>
        <v>0</v>
      </c>
      <c r="L99" s="57">
        <f t="shared" si="12"/>
        <v>0</v>
      </c>
      <c r="M99" s="57">
        <f t="shared" si="12"/>
        <v>0</v>
      </c>
      <c r="N99" s="57">
        <f t="shared" si="12"/>
        <v>0</v>
      </c>
      <c r="O99" s="57">
        <f t="shared" si="12"/>
        <v>0</v>
      </c>
      <c r="P99" s="57">
        <f t="shared" si="12"/>
        <v>0</v>
      </c>
      <c r="Q99" s="51"/>
    </row>
    <row r="100" spans="1:34" outlineLevel="1" x14ac:dyDescent="0.25">
      <c r="A100" s="7"/>
      <c r="B100" s="37" t="s">
        <v>171</v>
      </c>
      <c r="C100" s="37" t="s">
        <v>110</v>
      </c>
      <c r="D100" s="37" t="s">
        <v>99</v>
      </c>
      <c r="E100" s="39" t="s">
        <v>100</v>
      </c>
      <c r="F100" s="42">
        <f t="shared" si="11"/>
        <v>0</v>
      </c>
      <c r="G100" s="42">
        <f t="shared" si="11"/>
        <v>0</v>
      </c>
      <c r="H100" s="42">
        <f t="shared" si="11"/>
        <v>0</v>
      </c>
      <c r="I100" s="42">
        <f t="shared" si="11"/>
        <v>0</v>
      </c>
      <c r="J100" s="57">
        <f t="shared" si="12"/>
        <v>0</v>
      </c>
      <c r="K100" s="57">
        <f t="shared" si="12"/>
        <v>0</v>
      </c>
      <c r="L100" s="57">
        <f t="shared" si="12"/>
        <v>0</v>
      </c>
      <c r="M100" s="57">
        <f t="shared" si="12"/>
        <v>0</v>
      </c>
      <c r="N100" s="57">
        <f t="shared" si="12"/>
        <v>0</v>
      </c>
      <c r="O100" s="57">
        <f t="shared" si="12"/>
        <v>0</v>
      </c>
      <c r="P100" s="57">
        <f t="shared" si="12"/>
        <v>0</v>
      </c>
      <c r="Q100" s="51"/>
    </row>
    <row r="101" spans="1:34" outlineLevel="1" x14ac:dyDescent="0.25">
      <c r="A101" s="7"/>
      <c r="B101" s="37" t="s">
        <v>171</v>
      </c>
      <c r="C101" s="37" t="s">
        <v>111</v>
      </c>
      <c r="D101" s="37" t="s">
        <v>99</v>
      </c>
      <c r="E101" s="39" t="s">
        <v>100</v>
      </c>
      <c r="F101" s="42">
        <f t="shared" si="11"/>
        <v>0</v>
      </c>
      <c r="G101" s="42">
        <f t="shared" si="11"/>
        <v>0</v>
      </c>
      <c r="H101" s="42">
        <f t="shared" si="11"/>
        <v>0</v>
      </c>
      <c r="I101" s="42">
        <f t="shared" si="11"/>
        <v>0</v>
      </c>
      <c r="J101" s="57">
        <f t="shared" si="12"/>
        <v>0</v>
      </c>
      <c r="K101" s="57">
        <f t="shared" si="12"/>
        <v>0</v>
      </c>
      <c r="L101" s="57">
        <f t="shared" si="12"/>
        <v>0</v>
      </c>
      <c r="M101" s="57">
        <f t="shared" si="12"/>
        <v>0</v>
      </c>
      <c r="N101" s="57">
        <f t="shared" si="12"/>
        <v>0</v>
      </c>
      <c r="O101" s="57">
        <f t="shared" si="12"/>
        <v>0</v>
      </c>
      <c r="P101" s="57">
        <f t="shared" si="12"/>
        <v>0</v>
      </c>
      <c r="Q101" s="51"/>
    </row>
    <row r="102" spans="1:34" outlineLevel="1" x14ac:dyDescent="0.25">
      <c r="A102" s="7"/>
      <c r="B102" s="37" t="s">
        <v>171</v>
      </c>
      <c r="C102" s="37" t="s">
        <v>112</v>
      </c>
      <c r="D102" s="37" t="s">
        <v>99</v>
      </c>
      <c r="E102" s="39" t="s">
        <v>100</v>
      </c>
      <c r="F102" s="42">
        <f t="shared" si="11"/>
        <v>0</v>
      </c>
      <c r="G102" s="42">
        <f t="shared" si="11"/>
        <v>0</v>
      </c>
      <c r="H102" s="42">
        <f t="shared" si="11"/>
        <v>0</v>
      </c>
      <c r="I102" s="42">
        <f t="shared" si="11"/>
        <v>0</v>
      </c>
      <c r="J102" s="57">
        <f t="shared" si="12"/>
        <v>0</v>
      </c>
      <c r="K102" s="57">
        <f t="shared" si="12"/>
        <v>0</v>
      </c>
      <c r="L102" s="57">
        <f t="shared" si="12"/>
        <v>0</v>
      </c>
      <c r="M102" s="57">
        <f t="shared" si="12"/>
        <v>0</v>
      </c>
      <c r="N102" s="57">
        <f t="shared" si="12"/>
        <v>0</v>
      </c>
      <c r="O102" s="57">
        <f t="shared" si="12"/>
        <v>0</v>
      </c>
      <c r="P102" s="57">
        <f t="shared" si="12"/>
        <v>0</v>
      </c>
      <c r="Q102" s="51"/>
    </row>
    <row r="103" spans="1:34" outlineLevel="1" x14ac:dyDescent="0.25">
      <c r="A103" s="7"/>
      <c r="B103" s="37" t="s">
        <v>171</v>
      </c>
      <c r="C103" s="37" t="s">
        <v>113</v>
      </c>
      <c r="D103" s="37" t="s">
        <v>99</v>
      </c>
      <c r="E103" s="39" t="s">
        <v>100</v>
      </c>
      <c r="F103" s="42">
        <f t="shared" si="11"/>
        <v>0</v>
      </c>
      <c r="G103" s="42">
        <f t="shared" si="11"/>
        <v>0</v>
      </c>
      <c r="H103" s="42">
        <f t="shared" si="11"/>
        <v>0</v>
      </c>
      <c r="I103" s="42">
        <f t="shared" si="11"/>
        <v>0</v>
      </c>
      <c r="J103" s="57">
        <f t="shared" si="12"/>
        <v>0</v>
      </c>
      <c r="K103" s="57">
        <f t="shared" si="12"/>
        <v>0</v>
      </c>
      <c r="L103" s="57">
        <f t="shared" si="12"/>
        <v>0</v>
      </c>
      <c r="M103" s="57">
        <f t="shared" si="12"/>
        <v>0</v>
      </c>
      <c r="N103" s="57">
        <f t="shared" si="12"/>
        <v>0</v>
      </c>
      <c r="O103" s="57">
        <f t="shared" si="12"/>
        <v>0</v>
      </c>
      <c r="P103" s="57">
        <f t="shared" si="12"/>
        <v>0</v>
      </c>
      <c r="Q103" s="51"/>
    </row>
    <row r="104" spans="1:34" outlineLevel="1" x14ac:dyDescent="0.25">
      <c r="A104" s="7"/>
      <c r="B104" s="37" t="s">
        <v>171</v>
      </c>
      <c r="C104" s="37" t="s">
        <v>5</v>
      </c>
      <c r="D104" s="37" t="s">
        <v>99</v>
      </c>
      <c r="E104" s="39" t="s">
        <v>100</v>
      </c>
      <c r="F104" s="42">
        <f t="shared" si="11"/>
        <v>102.056</v>
      </c>
      <c r="G104" s="42">
        <f t="shared" si="11"/>
        <v>117.857</v>
      </c>
      <c r="H104" s="42">
        <f t="shared" si="11"/>
        <v>134.34399999999999</v>
      </c>
      <c r="I104" s="42">
        <f t="shared" si="11"/>
        <v>146.977</v>
      </c>
      <c r="J104" s="57">
        <f t="shared" si="12"/>
        <v>148.864</v>
      </c>
      <c r="K104" s="57">
        <f t="shared" si="12"/>
        <v>148.864</v>
      </c>
      <c r="L104" s="57">
        <f t="shared" si="12"/>
        <v>148.864</v>
      </c>
      <c r="M104" s="57">
        <f t="shared" si="12"/>
        <v>148.864</v>
      </c>
      <c r="N104" s="57">
        <f t="shared" si="12"/>
        <v>148.864</v>
      </c>
      <c r="O104" s="57">
        <f t="shared" si="12"/>
        <v>148.864</v>
      </c>
      <c r="P104" s="57">
        <f t="shared" si="12"/>
        <v>148.864</v>
      </c>
      <c r="Q104" s="51"/>
      <c r="R104" s="53">
        <v>102.056</v>
      </c>
      <c r="S104" s="53">
        <v>104.72199999999999</v>
      </c>
      <c r="T104" s="53">
        <v>107.886</v>
      </c>
      <c r="U104" s="53">
        <v>111.19499999999999</v>
      </c>
      <c r="V104" s="53">
        <v>114.343</v>
      </c>
      <c r="W104" s="53">
        <v>117.857</v>
      </c>
      <c r="X104" s="53">
        <v>121.78400000000001</v>
      </c>
      <c r="Y104" s="53">
        <v>126.12</v>
      </c>
      <c r="Z104" s="53">
        <v>129.46100000000001</v>
      </c>
      <c r="AA104" s="53">
        <v>131.619</v>
      </c>
      <c r="AB104" s="53">
        <v>134.34399999999999</v>
      </c>
      <c r="AC104" s="53">
        <v>136.792</v>
      </c>
      <c r="AD104" s="53">
        <v>139.107</v>
      </c>
      <c r="AE104" s="53">
        <v>141.86600000000001</v>
      </c>
      <c r="AF104" s="53">
        <v>144.78100000000001</v>
      </c>
      <c r="AG104" s="53">
        <v>146.977</v>
      </c>
      <c r="AH104" s="53">
        <v>148.864</v>
      </c>
    </row>
    <row r="105" spans="1:34" outlineLevel="1" x14ac:dyDescent="0.25">
      <c r="A105" s="7"/>
      <c r="B105" s="37" t="s">
        <v>171</v>
      </c>
      <c r="C105" s="37" t="s">
        <v>75</v>
      </c>
      <c r="D105" s="37" t="s">
        <v>99</v>
      </c>
      <c r="E105" s="39" t="s">
        <v>100</v>
      </c>
      <c r="F105" s="42">
        <f t="shared" si="11"/>
        <v>0</v>
      </c>
      <c r="G105" s="42">
        <f t="shared" si="11"/>
        <v>0</v>
      </c>
      <c r="H105" s="42">
        <f t="shared" si="11"/>
        <v>0</v>
      </c>
      <c r="I105" s="42">
        <f t="shared" si="11"/>
        <v>0</v>
      </c>
      <c r="J105" s="57">
        <f t="shared" si="12"/>
        <v>0</v>
      </c>
      <c r="K105" s="57">
        <f t="shared" si="12"/>
        <v>0</v>
      </c>
      <c r="L105" s="57">
        <f t="shared" si="12"/>
        <v>0</v>
      </c>
      <c r="M105" s="57">
        <f t="shared" si="12"/>
        <v>0</v>
      </c>
      <c r="N105" s="57">
        <f t="shared" si="12"/>
        <v>0</v>
      </c>
      <c r="O105" s="57">
        <f t="shared" si="12"/>
        <v>0</v>
      </c>
      <c r="P105" s="57">
        <f t="shared" si="12"/>
        <v>0</v>
      </c>
      <c r="Q105" s="51"/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53"/>
      <c r="AG105" s="53"/>
      <c r="AH105" s="53"/>
    </row>
    <row r="106" spans="1:34" outlineLevel="1" x14ac:dyDescent="0.25">
      <c r="A106" s="7"/>
      <c r="B106" s="37" t="s">
        <v>171</v>
      </c>
      <c r="C106" s="37" t="s">
        <v>114</v>
      </c>
      <c r="D106" s="37" t="s">
        <v>99</v>
      </c>
      <c r="E106" s="39" t="s">
        <v>100</v>
      </c>
      <c r="F106" s="42">
        <f t="shared" si="11"/>
        <v>0</v>
      </c>
      <c r="G106" s="42">
        <f t="shared" si="11"/>
        <v>0</v>
      </c>
      <c r="H106" s="42">
        <f t="shared" si="11"/>
        <v>0</v>
      </c>
      <c r="I106" s="42">
        <f t="shared" si="11"/>
        <v>0</v>
      </c>
      <c r="J106" s="57">
        <f t="shared" si="12"/>
        <v>0</v>
      </c>
      <c r="K106" s="57">
        <f t="shared" si="12"/>
        <v>0</v>
      </c>
      <c r="L106" s="57">
        <f t="shared" si="12"/>
        <v>0</v>
      </c>
      <c r="M106" s="57">
        <f t="shared" si="12"/>
        <v>0</v>
      </c>
      <c r="N106" s="57">
        <f t="shared" si="12"/>
        <v>0</v>
      </c>
      <c r="O106" s="57">
        <f t="shared" si="12"/>
        <v>0</v>
      </c>
      <c r="P106" s="57">
        <f t="shared" si="12"/>
        <v>0</v>
      </c>
      <c r="Q106" s="51"/>
      <c r="R106" s="53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53"/>
      <c r="AG106" s="53"/>
      <c r="AH106" s="53"/>
    </row>
    <row r="107" spans="1:34" outlineLevel="1" x14ac:dyDescent="0.25">
      <c r="A107" s="7"/>
      <c r="B107" s="37" t="s">
        <v>171</v>
      </c>
      <c r="C107" s="37" t="s">
        <v>116</v>
      </c>
      <c r="D107" s="37" t="s">
        <v>99</v>
      </c>
      <c r="E107" s="39" t="s">
        <v>100</v>
      </c>
      <c r="F107" s="42">
        <f t="shared" si="11"/>
        <v>0</v>
      </c>
      <c r="G107" s="42">
        <f t="shared" si="11"/>
        <v>0</v>
      </c>
      <c r="H107" s="42">
        <f t="shared" si="11"/>
        <v>0</v>
      </c>
      <c r="I107" s="42">
        <f t="shared" si="11"/>
        <v>0</v>
      </c>
      <c r="J107" s="57">
        <f t="shared" si="12"/>
        <v>0</v>
      </c>
      <c r="K107" s="57">
        <f t="shared" si="12"/>
        <v>0</v>
      </c>
      <c r="L107" s="57">
        <f t="shared" si="12"/>
        <v>0</v>
      </c>
      <c r="M107" s="57">
        <f t="shared" si="12"/>
        <v>0</v>
      </c>
      <c r="N107" s="57">
        <f t="shared" si="12"/>
        <v>0</v>
      </c>
      <c r="O107" s="57">
        <f t="shared" si="12"/>
        <v>0</v>
      </c>
      <c r="P107" s="57">
        <f t="shared" si="12"/>
        <v>0</v>
      </c>
      <c r="Q107" s="51"/>
      <c r="R107" s="53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53"/>
      <c r="AG107" s="53"/>
      <c r="AH107" s="53"/>
    </row>
    <row r="108" spans="1:34" outlineLevel="1" x14ac:dyDescent="0.25">
      <c r="A108" s="7"/>
      <c r="B108" s="37" t="s">
        <v>171</v>
      </c>
      <c r="C108" s="37" t="s">
        <v>115</v>
      </c>
      <c r="D108" s="37" t="s">
        <v>99</v>
      </c>
      <c r="E108" s="39" t="s">
        <v>100</v>
      </c>
      <c r="F108" s="42">
        <f t="shared" si="11"/>
        <v>0</v>
      </c>
      <c r="G108" s="42">
        <f t="shared" si="11"/>
        <v>0</v>
      </c>
      <c r="H108" s="42">
        <f t="shared" si="11"/>
        <v>0</v>
      </c>
      <c r="I108" s="42">
        <f t="shared" si="11"/>
        <v>0</v>
      </c>
      <c r="J108" s="57">
        <f t="shared" si="12"/>
        <v>0</v>
      </c>
      <c r="K108" s="57">
        <f t="shared" si="12"/>
        <v>0</v>
      </c>
      <c r="L108" s="57">
        <f t="shared" si="12"/>
        <v>0</v>
      </c>
      <c r="M108" s="57">
        <f t="shared" si="12"/>
        <v>0</v>
      </c>
      <c r="N108" s="57">
        <f t="shared" si="12"/>
        <v>0</v>
      </c>
      <c r="O108" s="57">
        <f t="shared" si="12"/>
        <v>0</v>
      </c>
      <c r="P108" s="57">
        <f t="shared" si="12"/>
        <v>0</v>
      </c>
      <c r="Q108" s="51"/>
    </row>
    <row r="109" spans="1:34" outlineLevel="1" x14ac:dyDescent="0.25">
      <c r="A109" s="7"/>
      <c r="B109" s="37" t="s">
        <v>172</v>
      </c>
      <c r="C109" s="37" t="s">
        <v>59</v>
      </c>
      <c r="D109" s="37" t="s">
        <v>99</v>
      </c>
      <c r="E109" s="39" t="s">
        <v>100</v>
      </c>
      <c r="F109" s="42">
        <f t="shared" si="11"/>
        <v>0</v>
      </c>
      <c r="G109" s="42">
        <f t="shared" si="11"/>
        <v>0</v>
      </c>
      <c r="H109" s="42">
        <f t="shared" si="11"/>
        <v>0</v>
      </c>
      <c r="I109" s="42">
        <f t="shared" si="11"/>
        <v>0</v>
      </c>
      <c r="J109" s="57">
        <f t="shared" si="12"/>
        <v>0</v>
      </c>
      <c r="K109" s="57">
        <f t="shared" si="12"/>
        <v>0</v>
      </c>
      <c r="L109" s="57">
        <f t="shared" si="12"/>
        <v>0</v>
      </c>
      <c r="M109" s="57">
        <f t="shared" si="12"/>
        <v>0</v>
      </c>
      <c r="N109" s="57">
        <f t="shared" si="12"/>
        <v>0</v>
      </c>
      <c r="O109" s="57">
        <f t="shared" si="12"/>
        <v>0</v>
      </c>
      <c r="P109" s="57">
        <f t="shared" si="12"/>
        <v>0</v>
      </c>
      <c r="Q109" s="51"/>
    </row>
    <row r="110" spans="1:34" outlineLevel="1" x14ac:dyDescent="0.25">
      <c r="A110" s="7"/>
      <c r="B110" s="37" t="s">
        <v>172</v>
      </c>
      <c r="C110" s="15" t="s">
        <v>106</v>
      </c>
      <c r="D110" s="37" t="s">
        <v>99</v>
      </c>
      <c r="E110" s="39" t="s">
        <v>100</v>
      </c>
      <c r="F110" s="42">
        <f t="shared" si="11"/>
        <v>0</v>
      </c>
      <c r="G110" s="42">
        <f t="shared" si="11"/>
        <v>0</v>
      </c>
      <c r="H110" s="42">
        <f t="shared" si="11"/>
        <v>0</v>
      </c>
      <c r="I110" s="42">
        <f t="shared" si="11"/>
        <v>0</v>
      </c>
      <c r="J110" s="57">
        <f t="shared" si="12"/>
        <v>0</v>
      </c>
      <c r="K110" s="57">
        <f t="shared" si="12"/>
        <v>0</v>
      </c>
      <c r="L110" s="57">
        <f t="shared" si="12"/>
        <v>0</v>
      </c>
      <c r="M110" s="57">
        <f t="shared" si="12"/>
        <v>0</v>
      </c>
      <c r="N110" s="57">
        <f t="shared" si="12"/>
        <v>0</v>
      </c>
      <c r="O110" s="57">
        <f t="shared" si="12"/>
        <v>0</v>
      </c>
      <c r="P110" s="57">
        <f t="shared" si="12"/>
        <v>0</v>
      </c>
      <c r="Q110" s="51"/>
    </row>
    <row r="111" spans="1:34" outlineLevel="1" x14ac:dyDescent="0.25">
      <c r="A111" s="7"/>
      <c r="B111" s="37" t="s">
        <v>172</v>
      </c>
      <c r="C111" s="37" t="s">
        <v>107</v>
      </c>
      <c r="D111" s="37" t="s">
        <v>99</v>
      </c>
      <c r="E111" s="39" t="s">
        <v>100</v>
      </c>
      <c r="F111" s="42">
        <f t="shared" ref="F111:I126" si="13">INDEX($R111:$BZ111,MATCH(F$1,$R$1:$BZ$1,0))</f>
        <v>0</v>
      </c>
      <c r="G111" s="42">
        <f t="shared" si="13"/>
        <v>0</v>
      </c>
      <c r="H111" s="42">
        <f t="shared" si="13"/>
        <v>0</v>
      </c>
      <c r="I111" s="42">
        <f t="shared" si="13"/>
        <v>0</v>
      </c>
      <c r="J111" s="57">
        <f t="shared" si="12"/>
        <v>0</v>
      </c>
      <c r="K111" s="57">
        <f t="shared" si="12"/>
        <v>0</v>
      </c>
      <c r="L111" s="57">
        <f t="shared" si="12"/>
        <v>0</v>
      </c>
      <c r="M111" s="57">
        <f t="shared" si="12"/>
        <v>0</v>
      </c>
      <c r="N111" s="57">
        <f t="shared" si="12"/>
        <v>0</v>
      </c>
      <c r="O111" s="57">
        <f t="shared" si="12"/>
        <v>0</v>
      </c>
      <c r="P111" s="57">
        <f t="shared" si="12"/>
        <v>0</v>
      </c>
      <c r="Q111" s="51"/>
    </row>
    <row r="112" spans="1:34" outlineLevel="1" x14ac:dyDescent="0.25">
      <c r="A112" s="7"/>
      <c r="B112" s="37" t="s">
        <v>172</v>
      </c>
      <c r="C112" s="37" t="s">
        <v>108</v>
      </c>
      <c r="D112" s="37" t="s">
        <v>99</v>
      </c>
      <c r="E112" s="39" t="s">
        <v>100</v>
      </c>
      <c r="F112" s="42">
        <f t="shared" si="13"/>
        <v>0</v>
      </c>
      <c r="G112" s="42">
        <f t="shared" si="13"/>
        <v>0</v>
      </c>
      <c r="H112" s="42">
        <f t="shared" si="13"/>
        <v>0</v>
      </c>
      <c r="I112" s="42">
        <f t="shared" si="13"/>
        <v>0</v>
      </c>
      <c r="J112" s="57">
        <f t="shared" si="12"/>
        <v>0</v>
      </c>
      <c r="K112" s="57">
        <f t="shared" si="12"/>
        <v>0</v>
      </c>
      <c r="L112" s="57">
        <f t="shared" si="12"/>
        <v>0</v>
      </c>
      <c r="M112" s="57">
        <f t="shared" si="12"/>
        <v>0</v>
      </c>
      <c r="N112" s="57">
        <f t="shared" si="12"/>
        <v>0</v>
      </c>
      <c r="O112" s="57">
        <f t="shared" si="12"/>
        <v>0</v>
      </c>
      <c r="P112" s="57">
        <f t="shared" si="12"/>
        <v>0</v>
      </c>
      <c r="Q112" s="51"/>
    </row>
    <row r="113" spans="1:34" outlineLevel="1" x14ac:dyDescent="0.25">
      <c r="A113" s="7"/>
      <c r="B113" s="37" t="s">
        <v>172</v>
      </c>
      <c r="C113" s="37" t="s">
        <v>109</v>
      </c>
      <c r="D113" s="37" t="s">
        <v>99</v>
      </c>
      <c r="E113" s="39" t="s">
        <v>100</v>
      </c>
      <c r="F113" s="42">
        <f t="shared" si="13"/>
        <v>0</v>
      </c>
      <c r="G113" s="42">
        <f t="shared" si="13"/>
        <v>0</v>
      </c>
      <c r="H113" s="42">
        <f t="shared" si="13"/>
        <v>0</v>
      </c>
      <c r="I113" s="42">
        <f t="shared" si="13"/>
        <v>0</v>
      </c>
      <c r="J113" s="57">
        <f t="shared" si="12"/>
        <v>0</v>
      </c>
      <c r="K113" s="57">
        <f t="shared" si="12"/>
        <v>0</v>
      </c>
      <c r="L113" s="57">
        <f t="shared" si="12"/>
        <v>0</v>
      </c>
      <c r="M113" s="57">
        <f t="shared" si="12"/>
        <v>0</v>
      </c>
      <c r="N113" s="57">
        <f t="shared" si="12"/>
        <v>0</v>
      </c>
      <c r="O113" s="57">
        <f t="shared" si="12"/>
        <v>0</v>
      </c>
      <c r="P113" s="57">
        <f t="shared" si="12"/>
        <v>0</v>
      </c>
      <c r="Q113" s="51"/>
    </row>
    <row r="114" spans="1:34" outlineLevel="1" x14ac:dyDescent="0.25">
      <c r="A114" s="7"/>
      <c r="B114" s="37" t="s">
        <v>172</v>
      </c>
      <c r="C114" s="37" t="s">
        <v>110</v>
      </c>
      <c r="D114" s="37" t="s">
        <v>99</v>
      </c>
      <c r="E114" s="39" t="s">
        <v>100</v>
      </c>
      <c r="F114" s="42">
        <f t="shared" si="13"/>
        <v>0</v>
      </c>
      <c r="G114" s="42">
        <f t="shared" si="13"/>
        <v>0</v>
      </c>
      <c r="H114" s="42">
        <f t="shared" si="13"/>
        <v>0</v>
      </c>
      <c r="I114" s="42">
        <f t="shared" si="13"/>
        <v>0</v>
      </c>
      <c r="J114" s="57">
        <f t="shared" si="12"/>
        <v>0</v>
      </c>
      <c r="K114" s="57">
        <f t="shared" si="12"/>
        <v>0</v>
      </c>
      <c r="L114" s="57">
        <f t="shared" si="12"/>
        <v>0</v>
      </c>
      <c r="M114" s="57">
        <f t="shared" si="12"/>
        <v>0</v>
      </c>
      <c r="N114" s="57">
        <f t="shared" si="12"/>
        <v>0</v>
      </c>
      <c r="O114" s="57">
        <f t="shared" si="12"/>
        <v>0</v>
      </c>
      <c r="P114" s="57">
        <f t="shared" si="12"/>
        <v>0</v>
      </c>
      <c r="Q114" s="51"/>
    </row>
    <row r="115" spans="1:34" outlineLevel="1" x14ac:dyDescent="0.25">
      <c r="A115" s="7"/>
      <c r="B115" s="37" t="s">
        <v>172</v>
      </c>
      <c r="C115" s="37" t="s">
        <v>111</v>
      </c>
      <c r="D115" s="37" t="s">
        <v>99</v>
      </c>
      <c r="E115" s="39" t="s">
        <v>100</v>
      </c>
      <c r="F115" s="42">
        <f t="shared" si="13"/>
        <v>0</v>
      </c>
      <c r="G115" s="42">
        <f t="shared" si="13"/>
        <v>0</v>
      </c>
      <c r="H115" s="42">
        <f t="shared" si="13"/>
        <v>0</v>
      </c>
      <c r="I115" s="42">
        <f t="shared" si="13"/>
        <v>0</v>
      </c>
      <c r="J115" s="57">
        <f t="shared" si="12"/>
        <v>0</v>
      </c>
      <c r="K115" s="57">
        <f t="shared" si="12"/>
        <v>0</v>
      </c>
      <c r="L115" s="57">
        <f t="shared" si="12"/>
        <v>0</v>
      </c>
      <c r="M115" s="57">
        <f t="shared" si="12"/>
        <v>0</v>
      </c>
      <c r="N115" s="57">
        <f t="shared" si="12"/>
        <v>0</v>
      </c>
      <c r="O115" s="57">
        <f t="shared" si="12"/>
        <v>0</v>
      </c>
      <c r="P115" s="57">
        <f t="shared" si="12"/>
        <v>0</v>
      </c>
      <c r="Q115" s="51"/>
    </row>
    <row r="116" spans="1:34" outlineLevel="1" x14ac:dyDescent="0.25">
      <c r="A116" s="7"/>
      <c r="B116" s="37" t="s">
        <v>172</v>
      </c>
      <c r="C116" s="37" t="s">
        <v>112</v>
      </c>
      <c r="D116" s="37" t="s">
        <v>99</v>
      </c>
      <c r="E116" s="39" t="s">
        <v>100</v>
      </c>
      <c r="F116" s="42">
        <f t="shared" si="13"/>
        <v>0</v>
      </c>
      <c r="G116" s="42">
        <f t="shared" si="13"/>
        <v>0</v>
      </c>
      <c r="H116" s="42">
        <f t="shared" si="13"/>
        <v>0</v>
      </c>
      <c r="I116" s="42">
        <f t="shared" si="13"/>
        <v>0</v>
      </c>
      <c r="J116" s="57">
        <f t="shared" si="12"/>
        <v>0</v>
      </c>
      <c r="K116" s="57">
        <f t="shared" si="12"/>
        <v>0</v>
      </c>
      <c r="L116" s="57">
        <f t="shared" si="12"/>
        <v>0</v>
      </c>
      <c r="M116" s="57">
        <f t="shared" si="12"/>
        <v>0</v>
      </c>
      <c r="N116" s="57">
        <f t="shared" si="12"/>
        <v>0</v>
      </c>
      <c r="O116" s="57">
        <f t="shared" si="12"/>
        <v>0</v>
      </c>
      <c r="P116" s="57">
        <f t="shared" si="12"/>
        <v>0</v>
      </c>
      <c r="Q116" s="51"/>
    </row>
    <row r="117" spans="1:34" outlineLevel="1" x14ac:dyDescent="0.25">
      <c r="A117" s="7"/>
      <c r="B117" s="37" t="s">
        <v>172</v>
      </c>
      <c r="C117" s="37" t="s">
        <v>113</v>
      </c>
      <c r="D117" s="37" t="s">
        <v>99</v>
      </c>
      <c r="E117" s="39" t="s">
        <v>100</v>
      </c>
      <c r="F117" s="42">
        <f t="shared" si="13"/>
        <v>0</v>
      </c>
      <c r="G117" s="42">
        <f t="shared" si="13"/>
        <v>0</v>
      </c>
      <c r="H117" s="42">
        <f t="shared" si="13"/>
        <v>0</v>
      </c>
      <c r="I117" s="42">
        <f t="shared" si="13"/>
        <v>0</v>
      </c>
      <c r="J117" s="57">
        <f t="shared" si="12"/>
        <v>0</v>
      </c>
      <c r="K117" s="57">
        <f t="shared" si="12"/>
        <v>0</v>
      </c>
      <c r="L117" s="57">
        <f t="shared" si="12"/>
        <v>0</v>
      </c>
      <c r="M117" s="57">
        <f t="shared" si="12"/>
        <v>0</v>
      </c>
      <c r="N117" s="57">
        <f t="shared" si="12"/>
        <v>0</v>
      </c>
      <c r="O117" s="57">
        <f t="shared" si="12"/>
        <v>0</v>
      </c>
      <c r="P117" s="57">
        <f t="shared" si="12"/>
        <v>0</v>
      </c>
      <c r="Q117" s="51"/>
    </row>
    <row r="118" spans="1:34" outlineLevel="1" x14ac:dyDescent="0.25">
      <c r="A118" s="7"/>
      <c r="B118" s="37" t="s">
        <v>172</v>
      </c>
      <c r="C118" s="37" t="s">
        <v>5</v>
      </c>
      <c r="D118" s="37" t="s">
        <v>99</v>
      </c>
      <c r="E118" s="39" t="s">
        <v>100</v>
      </c>
      <c r="F118" s="42">
        <f t="shared" si="13"/>
        <v>14.111000000000001</v>
      </c>
      <c r="G118" s="42">
        <f t="shared" si="13"/>
        <v>17.201000000000001</v>
      </c>
      <c r="H118" s="42">
        <f t="shared" si="13"/>
        <v>21.187999999999999</v>
      </c>
      <c r="I118" s="42">
        <f t="shared" si="13"/>
        <v>26.67</v>
      </c>
      <c r="J118" s="57">
        <f t="shared" si="12"/>
        <v>27.663</v>
      </c>
      <c r="K118" s="57">
        <f t="shared" si="12"/>
        <v>27.663</v>
      </c>
      <c r="L118" s="57">
        <f t="shared" si="12"/>
        <v>27.663</v>
      </c>
      <c r="M118" s="57">
        <f t="shared" si="12"/>
        <v>27.663</v>
      </c>
      <c r="N118" s="57">
        <f t="shared" si="12"/>
        <v>27.663</v>
      </c>
      <c r="O118" s="57">
        <f t="shared" si="12"/>
        <v>27.663</v>
      </c>
      <c r="P118" s="57">
        <f t="shared" si="12"/>
        <v>27.663</v>
      </c>
      <c r="Q118" s="51"/>
      <c r="R118" s="53">
        <v>14.111000000000001</v>
      </c>
      <c r="S118" s="53">
        <v>14.555999999999999</v>
      </c>
      <c r="T118" s="53">
        <v>15.145</v>
      </c>
      <c r="U118" s="53">
        <v>15.792</v>
      </c>
      <c r="V118" s="53">
        <v>16.510999999999999</v>
      </c>
      <c r="W118" s="53">
        <v>17.201000000000001</v>
      </c>
      <c r="X118" s="53">
        <v>17.952000000000002</v>
      </c>
      <c r="Y118" s="53">
        <v>18.838999999999999</v>
      </c>
      <c r="Z118" s="53">
        <v>19.792999999999999</v>
      </c>
      <c r="AA118" s="53">
        <v>20.452999999999999</v>
      </c>
      <c r="AB118" s="53">
        <v>21.187999999999999</v>
      </c>
      <c r="AC118" s="53">
        <v>21.949000000000002</v>
      </c>
      <c r="AD118" s="53">
        <v>22.815999999999999</v>
      </c>
      <c r="AE118" s="53">
        <v>24.007000000000001</v>
      </c>
      <c r="AF118" s="53">
        <v>25.396999999999998</v>
      </c>
      <c r="AG118" s="53">
        <v>26.67</v>
      </c>
      <c r="AH118" s="53">
        <v>27.663</v>
      </c>
    </row>
    <row r="119" spans="1:34" outlineLevel="1" x14ac:dyDescent="0.25">
      <c r="A119" s="7"/>
      <c r="B119" s="37" t="s">
        <v>172</v>
      </c>
      <c r="C119" s="37" t="s">
        <v>75</v>
      </c>
      <c r="D119" s="37" t="s">
        <v>99</v>
      </c>
      <c r="E119" s="39" t="s">
        <v>100</v>
      </c>
      <c r="F119" s="42">
        <f t="shared" si="13"/>
        <v>0</v>
      </c>
      <c r="G119" s="42">
        <f t="shared" si="13"/>
        <v>0</v>
      </c>
      <c r="H119" s="42">
        <f t="shared" si="13"/>
        <v>0</v>
      </c>
      <c r="I119" s="42">
        <f t="shared" si="13"/>
        <v>0</v>
      </c>
      <c r="J119" s="57">
        <f t="shared" si="12"/>
        <v>0</v>
      </c>
      <c r="K119" s="57">
        <f t="shared" si="12"/>
        <v>0</v>
      </c>
      <c r="L119" s="57">
        <f t="shared" si="12"/>
        <v>0</v>
      </c>
      <c r="M119" s="57">
        <f t="shared" si="12"/>
        <v>0</v>
      </c>
      <c r="N119" s="57">
        <f t="shared" si="12"/>
        <v>0</v>
      </c>
      <c r="O119" s="57">
        <f t="shared" si="12"/>
        <v>0</v>
      </c>
      <c r="P119" s="57">
        <f t="shared" si="12"/>
        <v>0</v>
      </c>
      <c r="Q119" s="51"/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53"/>
      <c r="AG119" s="53"/>
      <c r="AH119" s="53"/>
    </row>
    <row r="120" spans="1:34" outlineLevel="1" x14ac:dyDescent="0.25">
      <c r="A120" s="7"/>
      <c r="B120" s="37" t="s">
        <v>172</v>
      </c>
      <c r="C120" s="37" t="s">
        <v>114</v>
      </c>
      <c r="D120" s="37" t="s">
        <v>99</v>
      </c>
      <c r="E120" s="39" t="s">
        <v>100</v>
      </c>
      <c r="F120" s="42">
        <f t="shared" si="13"/>
        <v>0</v>
      </c>
      <c r="G120" s="42">
        <f t="shared" si="13"/>
        <v>0</v>
      </c>
      <c r="H120" s="42">
        <f t="shared" si="13"/>
        <v>0</v>
      </c>
      <c r="I120" s="42">
        <f t="shared" si="13"/>
        <v>0</v>
      </c>
      <c r="J120" s="57">
        <f t="shared" si="12"/>
        <v>0</v>
      </c>
      <c r="K120" s="57">
        <f t="shared" si="12"/>
        <v>0</v>
      </c>
      <c r="L120" s="57">
        <f t="shared" si="12"/>
        <v>0</v>
      </c>
      <c r="M120" s="57">
        <f t="shared" si="12"/>
        <v>0</v>
      </c>
      <c r="N120" s="57">
        <f t="shared" si="12"/>
        <v>0</v>
      </c>
      <c r="O120" s="57">
        <f t="shared" si="12"/>
        <v>0</v>
      </c>
      <c r="P120" s="57">
        <f t="shared" si="12"/>
        <v>0</v>
      </c>
      <c r="Q120" s="51"/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53"/>
      <c r="AG120" s="53"/>
      <c r="AH120" s="53"/>
    </row>
    <row r="121" spans="1:34" outlineLevel="1" x14ac:dyDescent="0.25">
      <c r="A121" s="7"/>
      <c r="B121" s="37" t="s">
        <v>172</v>
      </c>
      <c r="C121" s="37" t="s">
        <v>116</v>
      </c>
      <c r="D121" s="37" t="s">
        <v>99</v>
      </c>
      <c r="E121" s="39" t="s">
        <v>100</v>
      </c>
      <c r="F121" s="42">
        <f t="shared" si="13"/>
        <v>0</v>
      </c>
      <c r="G121" s="42">
        <f t="shared" si="13"/>
        <v>0</v>
      </c>
      <c r="H121" s="42">
        <f t="shared" si="13"/>
        <v>0</v>
      </c>
      <c r="I121" s="42">
        <f t="shared" si="13"/>
        <v>0</v>
      </c>
      <c r="J121" s="57">
        <f t="shared" si="12"/>
        <v>0</v>
      </c>
      <c r="K121" s="57">
        <f t="shared" si="12"/>
        <v>0</v>
      </c>
      <c r="L121" s="57">
        <f t="shared" si="12"/>
        <v>0</v>
      </c>
      <c r="M121" s="57">
        <f t="shared" si="12"/>
        <v>0</v>
      </c>
      <c r="N121" s="57">
        <f t="shared" si="12"/>
        <v>0</v>
      </c>
      <c r="O121" s="57">
        <f t="shared" si="12"/>
        <v>0</v>
      </c>
      <c r="P121" s="57">
        <f t="shared" si="12"/>
        <v>0</v>
      </c>
      <c r="Q121" s="51"/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53"/>
      <c r="AG121" s="53"/>
      <c r="AH121" s="53"/>
    </row>
    <row r="122" spans="1:34" outlineLevel="1" x14ac:dyDescent="0.25">
      <c r="A122" s="7"/>
      <c r="B122" s="37" t="s">
        <v>172</v>
      </c>
      <c r="C122" s="37" t="s">
        <v>115</v>
      </c>
      <c r="D122" s="37" t="s">
        <v>99</v>
      </c>
      <c r="E122" s="39" t="s">
        <v>100</v>
      </c>
      <c r="F122" s="42">
        <f t="shared" si="13"/>
        <v>0</v>
      </c>
      <c r="G122" s="42">
        <f t="shared" si="13"/>
        <v>0</v>
      </c>
      <c r="H122" s="42">
        <f t="shared" si="13"/>
        <v>0</v>
      </c>
      <c r="I122" s="42">
        <f t="shared" si="13"/>
        <v>0</v>
      </c>
      <c r="J122" s="57">
        <f t="shared" si="12"/>
        <v>0</v>
      </c>
      <c r="K122" s="57">
        <f t="shared" si="12"/>
        <v>0</v>
      </c>
      <c r="L122" s="57">
        <f t="shared" si="12"/>
        <v>0</v>
      </c>
      <c r="M122" s="57">
        <f t="shared" si="12"/>
        <v>0</v>
      </c>
      <c r="N122" s="57">
        <f t="shared" si="12"/>
        <v>0</v>
      </c>
      <c r="O122" s="57">
        <f t="shared" si="12"/>
        <v>0</v>
      </c>
      <c r="P122" s="57">
        <f t="shared" si="12"/>
        <v>0</v>
      </c>
      <c r="Q122" s="51"/>
    </row>
    <row r="123" spans="1:34" outlineLevel="1" x14ac:dyDescent="0.25">
      <c r="A123" s="7"/>
      <c r="B123" s="37" t="s">
        <v>27</v>
      </c>
      <c r="C123" s="37" t="s">
        <v>59</v>
      </c>
      <c r="D123" s="37" t="s">
        <v>99</v>
      </c>
      <c r="E123" s="39" t="s">
        <v>100</v>
      </c>
      <c r="F123" s="42">
        <f t="shared" si="13"/>
        <v>0</v>
      </c>
      <c r="G123" s="42">
        <f t="shared" si="13"/>
        <v>0</v>
      </c>
      <c r="H123" s="42">
        <f t="shared" si="13"/>
        <v>0</v>
      </c>
      <c r="I123" s="42">
        <f t="shared" si="13"/>
        <v>0</v>
      </c>
      <c r="J123" s="57">
        <f t="shared" si="12"/>
        <v>0</v>
      </c>
      <c r="K123" s="57">
        <f t="shared" si="12"/>
        <v>0</v>
      </c>
      <c r="L123" s="57">
        <f t="shared" si="12"/>
        <v>0</v>
      </c>
      <c r="M123" s="57">
        <f t="shared" si="12"/>
        <v>0</v>
      </c>
      <c r="N123" s="57">
        <f t="shared" si="12"/>
        <v>0</v>
      </c>
      <c r="O123" s="57">
        <f t="shared" si="12"/>
        <v>0</v>
      </c>
      <c r="P123" s="57">
        <f t="shared" si="12"/>
        <v>0</v>
      </c>
      <c r="Q123" s="51"/>
    </row>
    <row r="124" spans="1:34" outlineLevel="1" x14ac:dyDescent="0.25">
      <c r="A124" s="7"/>
      <c r="B124" s="37" t="s">
        <v>27</v>
      </c>
      <c r="C124" s="15" t="s">
        <v>106</v>
      </c>
      <c r="D124" s="37" t="s">
        <v>99</v>
      </c>
      <c r="E124" s="39" t="s">
        <v>100</v>
      </c>
      <c r="F124" s="42">
        <f t="shared" si="13"/>
        <v>0</v>
      </c>
      <c r="G124" s="42">
        <f t="shared" si="13"/>
        <v>0</v>
      </c>
      <c r="H124" s="42">
        <f t="shared" si="13"/>
        <v>0</v>
      </c>
      <c r="I124" s="42">
        <f t="shared" si="13"/>
        <v>0</v>
      </c>
      <c r="J124" s="57">
        <f t="shared" si="12"/>
        <v>0</v>
      </c>
      <c r="K124" s="57">
        <f t="shared" si="12"/>
        <v>0</v>
      </c>
      <c r="L124" s="57">
        <f t="shared" si="12"/>
        <v>0</v>
      </c>
      <c r="M124" s="57">
        <f t="shared" si="12"/>
        <v>0</v>
      </c>
      <c r="N124" s="57">
        <f t="shared" si="12"/>
        <v>0</v>
      </c>
      <c r="O124" s="57">
        <f t="shared" si="12"/>
        <v>0</v>
      </c>
      <c r="P124" s="57">
        <f t="shared" si="12"/>
        <v>0</v>
      </c>
      <c r="Q124" s="51"/>
    </row>
    <row r="125" spans="1:34" outlineLevel="1" x14ac:dyDescent="0.25">
      <c r="A125" s="7"/>
      <c r="B125" s="37" t="s">
        <v>27</v>
      </c>
      <c r="C125" s="37" t="s">
        <v>107</v>
      </c>
      <c r="D125" s="37" t="s">
        <v>99</v>
      </c>
      <c r="E125" s="39" t="s">
        <v>100</v>
      </c>
      <c r="F125" s="42">
        <f t="shared" si="13"/>
        <v>0</v>
      </c>
      <c r="G125" s="42">
        <f t="shared" si="13"/>
        <v>0</v>
      </c>
      <c r="H125" s="42">
        <f t="shared" si="13"/>
        <v>0</v>
      </c>
      <c r="I125" s="42">
        <f t="shared" si="13"/>
        <v>0</v>
      </c>
      <c r="J125" s="57">
        <f t="shared" si="12"/>
        <v>0</v>
      </c>
      <c r="K125" s="57">
        <f t="shared" si="12"/>
        <v>0</v>
      </c>
      <c r="L125" s="57">
        <f t="shared" si="12"/>
        <v>0</v>
      </c>
      <c r="M125" s="57">
        <f t="shared" si="12"/>
        <v>0</v>
      </c>
      <c r="N125" s="57">
        <f t="shared" si="12"/>
        <v>0</v>
      </c>
      <c r="O125" s="57">
        <f t="shared" si="12"/>
        <v>0</v>
      </c>
      <c r="P125" s="57">
        <f t="shared" si="12"/>
        <v>0</v>
      </c>
      <c r="Q125" s="51"/>
    </row>
    <row r="126" spans="1:34" outlineLevel="1" x14ac:dyDescent="0.25">
      <c r="A126" s="7"/>
      <c r="B126" s="37" t="s">
        <v>27</v>
      </c>
      <c r="C126" s="37" t="s">
        <v>108</v>
      </c>
      <c r="D126" s="37" t="s">
        <v>99</v>
      </c>
      <c r="E126" s="39" t="s">
        <v>100</v>
      </c>
      <c r="F126" s="42">
        <f t="shared" si="13"/>
        <v>0</v>
      </c>
      <c r="G126" s="42">
        <f t="shared" si="13"/>
        <v>0</v>
      </c>
      <c r="H126" s="42">
        <f t="shared" si="13"/>
        <v>0</v>
      </c>
      <c r="I126" s="42">
        <f t="shared" si="13"/>
        <v>0</v>
      </c>
      <c r="J126" s="57">
        <f t="shared" si="12"/>
        <v>0</v>
      </c>
      <c r="K126" s="57">
        <f t="shared" si="12"/>
        <v>0</v>
      </c>
      <c r="L126" s="57">
        <f t="shared" si="12"/>
        <v>0</v>
      </c>
      <c r="M126" s="57">
        <f t="shared" si="12"/>
        <v>0</v>
      </c>
      <c r="N126" s="57">
        <f t="shared" si="12"/>
        <v>0</v>
      </c>
      <c r="O126" s="57">
        <f t="shared" si="12"/>
        <v>0</v>
      </c>
      <c r="P126" s="57">
        <f t="shared" si="12"/>
        <v>0</v>
      </c>
      <c r="Q126" s="51"/>
    </row>
    <row r="127" spans="1:34" outlineLevel="1" x14ac:dyDescent="0.25">
      <c r="A127" s="7"/>
      <c r="B127" s="37" t="s">
        <v>27</v>
      </c>
      <c r="C127" s="37" t="s">
        <v>109</v>
      </c>
      <c r="D127" s="37" t="s">
        <v>99</v>
      </c>
      <c r="E127" s="39" t="s">
        <v>100</v>
      </c>
      <c r="F127" s="42">
        <f t="shared" ref="F127:I142" si="14">INDEX($R127:$BZ127,MATCH(F$1,$R$1:$BZ$1,0))</f>
        <v>0</v>
      </c>
      <c r="G127" s="42">
        <f t="shared" si="14"/>
        <v>0</v>
      </c>
      <c r="H127" s="42">
        <f t="shared" si="14"/>
        <v>0</v>
      </c>
      <c r="I127" s="42">
        <f t="shared" si="14"/>
        <v>0</v>
      </c>
      <c r="J127" s="57">
        <f t="shared" si="12"/>
        <v>0</v>
      </c>
      <c r="K127" s="57">
        <f t="shared" si="12"/>
        <v>0</v>
      </c>
      <c r="L127" s="57">
        <f t="shared" si="12"/>
        <v>0</v>
      </c>
      <c r="M127" s="57">
        <f t="shared" si="12"/>
        <v>0</v>
      </c>
      <c r="N127" s="57">
        <f t="shared" si="12"/>
        <v>0</v>
      </c>
      <c r="O127" s="57">
        <f t="shared" si="12"/>
        <v>0</v>
      </c>
      <c r="P127" s="57">
        <f t="shared" si="12"/>
        <v>0</v>
      </c>
      <c r="Q127" s="51"/>
    </row>
    <row r="128" spans="1:34" outlineLevel="1" x14ac:dyDescent="0.25">
      <c r="A128" s="7"/>
      <c r="B128" s="37" t="s">
        <v>27</v>
      </c>
      <c r="C128" s="37" t="s">
        <v>110</v>
      </c>
      <c r="D128" s="37" t="s">
        <v>99</v>
      </c>
      <c r="E128" s="39" t="s">
        <v>100</v>
      </c>
      <c r="F128" s="42">
        <f t="shared" si="14"/>
        <v>0</v>
      </c>
      <c r="G128" s="42">
        <f t="shared" si="14"/>
        <v>0</v>
      </c>
      <c r="H128" s="42">
        <f t="shared" si="14"/>
        <v>0</v>
      </c>
      <c r="I128" s="42">
        <f t="shared" si="14"/>
        <v>0</v>
      </c>
      <c r="J128" s="57">
        <f t="shared" si="12"/>
        <v>0</v>
      </c>
      <c r="K128" s="57">
        <f t="shared" si="12"/>
        <v>0</v>
      </c>
      <c r="L128" s="57">
        <f t="shared" si="12"/>
        <v>0</v>
      </c>
      <c r="M128" s="57">
        <f t="shared" si="12"/>
        <v>0</v>
      </c>
      <c r="N128" s="57">
        <f t="shared" si="12"/>
        <v>0</v>
      </c>
      <c r="O128" s="57">
        <f t="shared" si="12"/>
        <v>0</v>
      </c>
      <c r="P128" s="57">
        <f t="shared" si="12"/>
        <v>0</v>
      </c>
      <c r="Q128" s="51"/>
    </row>
    <row r="129" spans="1:34" outlineLevel="1" x14ac:dyDescent="0.25">
      <c r="A129" s="7"/>
      <c r="B129" s="37" t="s">
        <v>27</v>
      </c>
      <c r="C129" s="37" t="s">
        <v>111</v>
      </c>
      <c r="D129" s="37" t="s">
        <v>99</v>
      </c>
      <c r="E129" s="39" t="s">
        <v>100</v>
      </c>
      <c r="F129" s="42">
        <f t="shared" si="14"/>
        <v>0</v>
      </c>
      <c r="G129" s="42">
        <f t="shared" si="14"/>
        <v>0</v>
      </c>
      <c r="H129" s="42">
        <f t="shared" si="14"/>
        <v>0</v>
      </c>
      <c r="I129" s="42">
        <f t="shared" si="14"/>
        <v>0</v>
      </c>
      <c r="J129" s="57">
        <f t="shared" si="12"/>
        <v>0</v>
      </c>
      <c r="K129" s="57">
        <f t="shared" si="12"/>
        <v>0</v>
      </c>
      <c r="L129" s="57">
        <f t="shared" si="12"/>
        <v>0</v>
      </c>
      <c r="M129" s="57">
        <f t="shared" si="12"/>
        <v>0</v>
      </c>
      <c r="N129" s="57">
        <f t="shared" si="12"/>
        <v>0</v>
      </c>
      <c r="O129" s="57">
        <f t="shared" si="12"/>
        <v>0</v>
      </c>
      <c r="P129" s="57">
        <f t="shared" si="12"/>
        <v>0</v>
      </c>
      <c r="Q129" s="51"/>
    </row>
    <row r="130" spans="1:34" outlineLevel="1" x14ac:dyDescent="0.25">
      <c r="A130" s="7"/>
      <c r="B130" s="37" t="s">
        <v>27</v>
      </c>
      <c r="C130" s="37" t="s">
        <v>112</v>
      </c>
      <c r="D130" s="37" t="s">
        <v>99</v>
      </c>
      <c r="E130" s="39" t="s">
        <v>100</v>
      </c>
      <c r="F130" s="42">
        <f t="shared" si="14"/>
        <v>0</v>
      </c>
      <c r="G130" s="42">
        <f t="shared" si="14"/>
        <v>0</v>
      </c>
      <c r="H130" s="42">
        <f t="shared" si="14"/>
        <v>0</v>
      </c>
      <c r="I130" s="42">
        <f t="shared" si="14"/>
        <v>0</v>
      </c>
      <c r="J130" s="57">
        <f t="shared" si="12"/>
        <v>0</v>
      </c>
      <c r="K130" s="57">
        <f t="shared" si="12"/>
        <v>0</v>
      </c>
      <c r="L130" s="57">
        <f t="shared" si="12"/>
        <v>0</v>
      </c>
      <c r="M130" s="57">
        <f t="shared" si="12"/>
        <v>0</v>
      </c>
      <c r="N130" s="57">
        <f t="shared" si="12"/>
        <v>0</v>
      </c>
      <c r="O130" s="57">
        <f t="shared" si="12"/>
        <v>0</v>
      </c>
      <c r="P130" s="57">
        <f t="shared" si="12"/>
        <v>0</v>
      </c>
      <c r="Q130" s="51"/>
    </row>
    <row r="131" spans="1:34" outlineLevel="1" x14ac:dyDescent="0.25">
      <c r="A131" s="7"/>
      <c r="B131" s="37" t="s">
        <v>27</v>
      </c>
      <c r="C131" s="37" t="s">
        <v>113</v>
      </c>
      <c r="D131" s="37" t="s">
        <v>99</v>
      </c>
      <c r="E131" s="39" t="s">
        <v>100</v>
      </c>
      <c r="F131" s="42">
        <f t="shared" si="14"/>
        <v>0</v>
      </c>
      <c r="G131" s="42">
        <f t="shared" si="14"/>
        <v>0</v>
      </c>
      <c r="H131" s="42">
        <f t="shared" si="14"/>
        <v>0</v>
      </c>
      <c r="I131" s="42">
        <f t="shared" si="14"/>
        <v>0</v>
      </c>
      <c r="J131" s="57">
        <f t="shared" si="12"/>
        <v>0</v>
      </c>
      <c r="K131" s="57">
        <f t="shared" si="12"/>
        <v>0</v>
      </c>
      <c r="L131" s="57">
        <f t="shared" si="12"/>
        <v>0</v>
      </c>
      <c r="M131" s="57">
        <f t="shared" ref="J131:P150" si="15">$AH131</f>
        <v>0</v>
      </c>
      <c r="N131" s="57">
        <f t="shared" si="15"/>
        <v>0</v>
      </c>
      <c r="O131" s="57">
        <f t="shared" si="15"/>
        <v>0</v>
      </c>
      <c r="P131" s="57">
        <f t="shared" si="15"/>
        <v>0</v>
      </c>
      <c r="Q131" s="51"/>
    </row>
    <row r="132" spans="1:34" outlineLevel="1" x14ac:dyDescent="0.25">
      <c r="A132" s="7"/>
      <c r="B132" s="37" t="s">
        <v>27</v>
      </c>
      <c r="C132" s="37" t="s">
        <v>5</v>
      </c>
      <c r="D132" s="37" t="s">
        <v>99</v>
      </c>
      <c r="E132" s="39" t="s">
        <v>100</v>
      </c>
      <c r="F132" s="42">
        <f t="shared" si="14"/>
        <v>20.414000000000001</v>
      </c>
      <c r="G132" s="42">
        <f t="shared" si="14"/>
        <v>24.308</v>
      </c>
      <c r="H132" s="42">
        <f t="shared" si="14"/>
        <v>29.071000000000002</v>
      </c>
      <c r="I132" s="42">
        <f t="shared" si="14"/>
        <v>34.631</v>
      </c>
      <c r="J132" s="57">
        <f t="shared" si="15"/>
        <v>35.563000000000002</v>
      </c>
      <c r="K132" s="57">
        <f t="shared" si="15"/>
        <v>35.563000000000002</v>
      </c>
      <c r="L132" s="57">
        <f t="shared" si="15"/>
        <v>35.563000000000002</v>
      </c>
      <c r="M132" s="57">
        <f t="shared" si="15"/>
        <v>35.563000000000002</v>
      </c>
      <c r="N132" s="57">
        <f t="shared" si="15"/>
        <v>35.563000000000002</v>
      </c>
      <c r="O132" s="57">
        <f t="shared" si="15"/>
        <v>35.563000000000002</v>
      </c>
      <c r="P132" s="57">
        <f t="shared" si="15"/>
        <v>35.563000000000002</v>
      </c>
      <c r="Q132" s="51"/>
      <c r="R132" s="53">
        <v>20.414000000000001</v>
      </c>
      <c r="S132" s="53">
        <v>21.052</v>
      </c>
      <c r="T132" s="53">
        <v>21.728000000000002</v>
      </c>
      <c r="U132" s="53">
        <v>22.617999999999999</v>
      </c>
      <c r="V132" s="53">
        <v>23.516999999999999</v>
      </c>
      <c r="W132" s="53">
        <v>24.308</v>
      </c>
      <c r="X132" s="53">
        <v>25.233000000000001</v>
      </c>
      <c r="Y132" s="53">
        <v>26.024999999999999</v>
      </c>
      <c r="Z132" s="53">
        <v>27.22</v>
      </c>
      <c r="AA132" s="53">
        <v>28.303000000000001</v>
      </c>
      <c r="AB132" s="53">
        <v>29.071000000000002</v>
      </c>
      <c r="AC132" s="53">
        <v>29.616</v>
      </c>
      <c r="AD132" s="53">
        <v>30.26</v>
      </c>
      <c r="AE132" s="53">
        <v>31.456</v>
      </c>
      <c r="AF132" s="53">
        <v>32.889000000000003</v>
      </c>
      <c r="AG132" s="53">
        <v>34.631</v>
      </c>
      <c r="AH132" s="53">
        <v>35.563000000000002</v>
      </c>
    </row>
    <row r="133" spans="1:34" outlineLevel="1" x14ac:dyDescent="0.25">
      <c r="A133" s="7"/>
      <c r="B133" s="37" t="s">
        <v>27</v>
      </c>
      <c r="C133" s="37" t="s">
        <v>75</v>
      </c>
      <c r="D133" s="37" t="s">
        <v>99</v>
      </c>
      <c r="E133" s="39" t="s">
        <v>100</v>
      </c>
      <c r="F133" s="42">
        <f t="shared" si="14"/>
        <v>0</v>
      </c>
      <c r="G133" s="42">
        <f t="shared" si="14"/>
        <v>0</v>
      </c>
      <c r="H133" s="42">
        <f t="shared" si="14"/>
        <v>0</v>
      </c>
      <c r="I133" s="42">
        <f t="shared" si="14"/>
        <v>0</v>
      </c>
      <c r="J133" s="57">
        <f t="shared" si="15"/>
        <v>0</v>
      </c>
      <c r="K133" s="57">
        <f t="shared" si="15"/>
        <v>0</v>
      </c>
      <c r="L133" s="57">
        <f t="shared" si="15"/>
        <v>0</v>
      </c>
      <c r="M133" s="57">
        <f t="shared" si="15"/>
        <v>0</v>
      </c>
      <c r="N133" s="57">
        <f t="shared" si="15"/>
        <v>0</v>
      </c>
      <c r="O133" s="57">
        <f t="shared" si="15"/>
        <v>0</v>
      </c>
      <c r="P133" s="57">
        <f t="shared" si="15"/>
        <v>0</v>
      </c>
      <c r="Q133" s="51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53"/>
      <c r="AG133" s="53"/>
      <c r="AH133" s="53"/>
    </row>
    <row r="134" spans="1:34" outlineLevel="1" x14ac:dyDescent="0.25">
      <c r="A134" s="7"/>
      <c r="B134" s="37" t="s">
        <v>27</v>
      </c>
      <c r="C134" s="37" t="s">
        <v>114</v>
      </c>
      <c r="D134" s="37" t="s">
        <v>99</v>
      </c>
      <c r="E134" s="39" t="s">
        <v>100</v>
      </c>
      <c r="F134" s="42">
        <f t="shared" si="14"/>
        <v>0</v>
      </c>
      <c r="G134" s="42">
        <f t="shared" si="14"/>
        <v>0</v>
      </c>
      <c r="H134" s="42">
        <f t="shared" si="14"/>
        <v>0</v>
      </c>
      <c r="I134" s="42">
        <f t="shared" si="14"/>
        <v>0</v>
      </c>
      <c r="J134" s="57">
        <f t="shared" si="15"/>
        <v>0</v>
      </c>
      <c r="K134" s="57">
        <f t="shared" si="15"/>
        <v>0</v>
      </c>
      <c r="L134" s="57">
        <f t="shared" si="15"/>
        <v>0</v>
      </c>
      <c r="M134" s="57">
        <f t="shared" si="15"/>
        <v>0</v>
      </c>
      <c r="N134" s="57">
        <f t="shared" si="15"/>
        <v>0</v>
      </c>
      <c r="O134" s="57">
        <f t="shared" si="15"/>
        <v>0</v>
      </c>
      <c r="P134" s="57">
        <f t="shared" si="15"/>
        <v>0</v>
      </c>
      <c r="Q134" s="51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53"/>
      <c r="AG134" s="53"/>
      <c r="AH134" s="53"/>
    </row>
    <row r="135" spans="1:34" outlineLevel="1" x14ac:dyDescent="0.25">
      <c r="A135" s="7"/>
      <c r="B135" s="37" t="s">
        <v>27</v>
      </c>
      <c r="C135" s="37" t="s">
        <v>116</v>
      </c>
      <c r="D135" s="37" t="s">
        <v>99</v>
      </c>
      <c r="E135" s="39" t="s">
        <v>100</v>
      </c>
      <c r="F135" s="42">
        <f t="shared" si="14"/>
        <v>0</v>
      </c>
      <c r="G135" s="42">
        <f t="shared" si="14"/>
        <v>0</v>
      </c>
      <c r="H135" s="42">
        <f t="shared" si="14"/>
        <v>0</v>
      </c>
      <c r="I135" s="42">
        <f t="shared" si="14"/>
        <v>0</v>
      </c>
      <c r="J135" s="57">
        <f t="shared" si="15"/>
        <v>0</v>
      </c>
      <c r="K135" s="57">
        <f t="shared" si="15"/>
        <v>0</v>
      </c>
      <c r="L135" s="57">
        <f t="shared" si="15"/>
        <v>0</v>
      </c>
      <c r="M135" s="57">
        <f t="shared" si="15"/>
        <v>0</v>
      </c>
      <c r="N135" s="57">
        <f t="shared" si="15"/>
        <v>0</v>
      </c>
      <c r="O135" s="57">
        <f t="shared" si="15"/>
        <v>0</v>
      </c>
      <c r="P135" s="57">
        <f t="shared" si="15"/>
        <v>0</v>
      </c>
      <c r="Q135" s="51"/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53"/>
      <c r="AG135" s="53"/>
      <c r="AH135" s="53"/>
    </row>
    <row r="136" spans="1:34" outlineLevel="1" x14ac:dyDescent="0.25">
      <c r="A136" s="7"/>
      <c r="B136" s="37" t="s">
        <v>27</v>
      </c>
      <c r="C136" s="37" t="s">
        <v>115</v>
      </c>
      <c r="D136" s="37" t="s">
        <v>99</v>
      </c>
      <c r="E136" s="39" t="s">
        <v>100</v>
      </c>
      <c r="F136" s="42">
        <f t="shared" si="14"/>
        <v>0</v>
      </c>
      <c r="G136" s="42">
        <f t="shared" si="14"/>
        <v>0</v>
      </c>
      <c r="H136" s="42">
        <f t="shared" si="14"/>
        <v>0</v>
      </c>
      <c r="I136" s="42">
        <f t="shared" si="14"/>
        <v>0</v>
      </c>
      <c r="J136" s="57">
        <f t="shared" si="15"/>
        <v>0</v>
      </c>
      <c r="K136" s="57">
        <f t="shared" si="15"/>
        <v>0</v>
      </c>
      <c r="L136" s="57">
        <f t="shared" si="15"/>
        <v>0</v>
      </c>
      <c r="M136" s="57">
        <f t="shared" si="15"/>
        <v>0</v>
      </c>
      <c r="N136" s="57">
        <f t="shared" si="15"/>
        <v>0</v>
      </c>
      <c r="O136" s="57">
        <f t="shared" si="15"/>
        <v>0</v>
      </c>
      <c r="P136" s="57">
        <f t="shared" si="15"/>
        <v>0</v>
      </c>
      <c r="Q136" s="51"/>
    </row>
    <row r="137" spans="1:34" outlineLevel="1" x14ac:dyDescent="0.25">
      <c r="A137" s="7"/>
      <c r="B137" s="37" t="s">
        <v>28</v>
      </c>
      <c r="C137" s="37" t="s">
        <v>59</v>
      </c>
      <c r="D137" s="37" t="s">
        <v>99</v>
      </c>
      <c r="E137" s="39" t="s">
        <v>100</v>
      </c>
      <c r="F137" s="42">
        <f t="shared" si="14"/>
        <v>0</v>
      </c>
      <c r="G137" s="42">
        <f t="shared" si="14"/>
        <v>0</v>
      </c>
      <c r="H137" s="42">
        <f t="shared" si="14"/>
        <v>0</v>
      </c>
      <c r="I137" s="42">
        <f t="shared" si="14"/>
        <v>0</v>
      </c>
      <c r="J137" s="57">
        <f t="shared" si="15"/>
        <v>0</v>
      </c>
      <c r="K137" s="57">
        <f t="shared" si="15"/>
        <v>0</v>
      </c>
      <c r="L137" s="57">
        <f t="shared" si="15"/>
        <v>0</v>
      </c>
      <c r="M137" s="57">
        <f t="shared" si="15"/>
        <v>0</v>
      </c>
      <c r="N137" s="57">
        <f t="shared" si="15"/>
        <v>0</v>
      </c>
      <c r="O137" s="57">
        <f t="shared" si="15"/>
        <v>0</v>
      </c>
      <c r="P137" s="57">
        <f t="shared" si="15"/>
        <v>0</v>
      </c>
      <c r="Q137" s="51"/>
    </row>
    <row r="138" spans="1:34" outlineLevel="1" x14ac:dyDescent="0.25">
      <c r="A138" s="7"/>
      <c r="B138" s="37" t="s">
        <v>28</v>
      </c>
      <c r="C138" s="15" t="s">
        <v>106</v>
      </c>
      <c r="D138" s="37" t="s">
        <v>99</v>
      </c>
      <c r="E138" s="39" t="s">
        <v>100</v>
      </c>
      <c r="F138" s="42">
        <f t="shared" si="14"/>
        <v>0</v>
      </c>
      <c r="G138" s="42">
        <f t="shared" si="14"/>
        <v>0</v>
      </c>
      <c r="H138" s="42">
        <f t="shared" si="14"/>
        <v>0</v>
      </c>
      <c r="I138" s="42">
        <f t="shared" si="14"/>
        <v>0</v>
      </c>
      <c r="J138" s="57">
        <f t="shared" si="15"/>
        <v>0</v>
      </c>
      <c r="K138" s="57">
        <f t="shared" si="15"/>
        <v>0</v>
      </c>
      <c r="L138" s="57">
        <f t="shared" si="15"/>
        <v>0</v>
      </c>
      <c r="M138" s="57">
        <f t="shared" si="15"/>
        <v>0</v>
      </c>
      <c r="N138" s="57">
        <f t="shared" si="15"/>
        <v>0</v>
      </c>
      <c r="O138" s="57">
        <f t="shared" si="15"/>
        <v>0</v>
      </c>
      <c r="P138" s="57">
        <f t="shared" si="15"/>
        <v>0</v>
      </c>
      <c r="Q138" s="51"/>
    </row>
    <row r="139" spans="1:34" outlineLevel="1" x14ac:dyDescent="0.25">
      <c r="A139" s="7"/>
      <c r="B139" s="37" t="s">
        <v>28</v>
      </c>
      <c r="C139" s="37" t="s">
        <v>107</v>
      </c>
      <c r="D139" s="37" t="s">
        <v>99</v>
      </c>
      <c r="E139" s="39" t="s">
        <v>100</v>
      </c>
      <c r="F139" s="42">
        <f t="shared" si="14"/>
        <v>0</v>
      </c>
      <c r="G139" s="42">
        <f t="shared" si="14"/>
        <v>0</v>
      </c>
      <c r="H139" s="42">
        <f t="shared" si="14"/>
        <v>0</v>
      </c>
      <c r="I139" s="42">
        <f t="shared" si="14"/>
        <v>0</v>
      </c>
      <c r="J139" s="57">
        <f t="shared" si="15"/>
        <v>0</v>
      </c>
      <c r="K139" s="57">
        <f t="shared" si="15"/>
        <v>0</v>
      </c>
      <c r="L139" s="57">
        <f t="shared" si="15"/>
        <v>0</v>
      </c>
      <c r="M139" s="57">
        <f t="shared" si="15"/>
        <v>0</v>
      </c>
      <c r="N139" s="57">
        <f t="shared" si="15"/>
        <v>0</v>
      </c>
      <c r="O139" s="57">
        <f t="shared" si="15"/>
        <v>0</v>
      </c>
      <c r="P139" s="57">
        <f t="shared" si="15"/>
        <v>0</v>
      </c>
      <c r="Q139" s="51"/>
    </row>
    <row r="140" spans="1:34" outlineLevel="1" x14ac:dyDescent="0.25">
      <c r="A140" s="7"/>
      <c r="B140" s="37" t="s">
        <v>28</v>
      </c>
      <c r="C140" s="37" t="s">
        <v>108</v>
      </c>
      <c r="D140" s="37" t="s">
        <v>99</v>
      </c>
      <c r="E140" s="39" t="s">
        <v>100</v>
      </c>
      <c r="F140" s="42">
        <f t="shared" si="14"/>
        <v>0</v>
      </c>
      <c r="G140" s="42">
        <f t="shared" si="14"/>
        <v>0</v>
      </c>
      <c r="H140" s="42">
        <f t="shared" si="14"/>
        <v>0</v>
      </c>
      <c r="I140" s="42">
        <f t="shared" si="14"/>
        <v>0</v>
      </c>
      <c r="J140" s="57">
        <f t="shared" si="15"/>
        <v>0</v>
      </c>
      <c r="K140" s="57">
        <f t="shared" si="15"/>
        <v>0</v>
      </c>
      <c r="L140" s="57">
        <f t="shared" si="15"/>
        <v>0</v>
      </c>
      <c r="M140" s="57">
        <f t="shared" si="15"/>
        <v>0</v>
      </c>
      <c r="N140" s="57">
        <f t="shared" si="15"/>
        <v>0</v>
      </c>
      <c r="O140" s="57">
        <f t="shared" si="15"/>
        <v>0</v>
      </c>
      <c r="P140" s="57">
        <f t="shared" si="15"/>
        <v>0</v>
      </c>
      <c r="Q140" s="51"/>
    </row>
    <row r="141" spans="1:34" outlineLevel="1" x14ac:dyDescent="0.25">
      <c r="A141" s="7"/>
      <c r="B141" s="37" t="s">
        <v>28</v>
      </c>
      <c r="C141" s="37" t="s">
        <v>109</v>
      </c>
      <c r="D141" s="37" t="s">
        <v>99</v>
      </c>
      <c r="E141" s="39" t="s">
        <v>100</v>
      </c>
      <c r="F141" s="42">
        <f t="shared" si="14"/>
        <v>0</v>
      </c>
      <c r="G141" s="42">
        <f t="shared" si="14"/>
        <v>0</v>
      </c>
      <c r="H141" s="42">
        <f t="shared" si="14"/>
        <v>0</v>
      </c>
      <c r="I141" s="42">
        <f t="shared" si="14"/>
        <v>0</v>
      </c>
      <c r="J141" s="57">
        <f t="shared" si="15"/>
        <v>0</v>
      </c>
      <c r="K141" s="57">
        <f t="shared" si="15"/>
        <v>0</v>
      </c>
      <c r="L141" s="57">
        <f t="shared" si="15"/>
        <v>0</v>
      </c>
      <c r="M141" s="57">
        <f t="shared" si="15"/>
        <v>0</v>
      </c>
      <c r="N141" s="57">
        <f t="shared" si="15"/>
        <v>0</v>
      </c>
      <c r="O141" s="57">
        <f t="shared" si="15"/>
        <v>0</v>
      </c>
      <c r="P141" s="57">
        <f t="shared" si="15"/>
        <v>0</v>
      </c>
      <c r="Q141" s="51"/>
    </row>
    <row r="142" spans="1:34" outlineLevel="1" x14ac:dyDescent="0.25">
      <c r="A142" s="7"/>
      <c r="B142" s="37" t="s">
        <v>28</v>
      </c>
      <c r="C142" s="37" t="s">
        <v>110</v>
      </c>
      <c r="D142" s="37" t="s">
        <v>99</v>
      </c>
      <c r="E142" s="39" t="s">
        <v>100</v>
      </c>
      <c r="F142" s="42">
        <f t="shared" si="14"/>
        <v>0</v>
      </c>
      <c r="G142" s="42">
        <f t="shared" si="14"/>
        <v>0</v>
      </c>
      <c r="H142" s="42">
        <f t="shared" si="14"/>
        <v>0</v>
      </c>
      <c r="I142" s="42">
        <f t="shared" si="14"/>
        <v>0</v>
      </c>
      <c r="J142" s="57">
        <f t="shared" si="15"/>
        <v>0</v>
      </c>
      <c r="K142" s="57">
        <f t="shared" si="15"/>
        <v>0</v>
      </c>
      <c r="L142" s="57">
        <f t="shared" si="15"/>
        <v>0</v>
      </c>
      <c r="M142" s="57">
        <f t="shared" si="15"/>
        <v>0</v>
      </c>
      <c r="N142" s="57">
        <f t="shared" si="15"/>
        <v>0</v>
      </c>
      <c r="O142" s="57">
        <f t="shared" si="15"/>
        <v>0</v>
      </c>
      <c r="P142" s="57">
        <f t="shared" si="15"/>
        <v>0</v>
      </c>
      <c r="Q142" s="51"/>
    </row>
    <row r="143" spans="1:34" outlineLevel="1" x14ac:dyDescent="0.25">
      <c r="A143" s="7"/>
      <c r="B143" s="37" t="s">
        <v>28</v>
      </c>
      <c r="C143" s="37" t="s">
        <v>111</v>
      </c>
      <c r="D143" s="37" t="s">
        <v>99</v>
      </c>
      <c r="E143" s="39" t="s">
        <v>100</v>
      </c>
      <c r="F143" s="42">
        <f t="shared" ref="F143:I150" si="16">INDEX($R143:$BZ143,MATCH(F$1,$R$1:$BZ$1,0))</f>
        <v>0</v>
      </c>
      <c r="G143" s="42">
        <f t="shared" si="16"/>
        <v>0</v>
      </c>
      <c r="H143" s="42">
        <f t="shared" si="16"/>
        <v>0</v>
      </c>
      <c r="I143" s="42">
        <f t="shared" si="16"/>
        <v>0</v>
      </c>
      <c r="J143" s="57">
        <f t="shared" si="15"/>
        <v>0</v>
      </c>
      <c r="K143" s="57">
        <f t="shared" si="15"/>
        <v>0</v>
      </c>
      <c r="L143" s="57">
        <f t="shared" si="15"/>
        <v>0</v>
      </c>
      <c r="M143" s="57">
        <f t="shared" si="15"/>
        <v>0</v>
      </c>
      <c r="N143" s="57">
        <f t="shared" si="15"/>
        <v>0</v>
      </c>
      <c r="O143" s="57">
        <f t="shared" si="15"/>
        <v>0</v>
      </c>
      <c r="P143" s="57">
        <f t="shared" si="15"/>
        <v>0</v>
      </c>
      <c r="Q143" s="51"/>
    </row>
    <row r="144" spans="1:34" outlineLevel="1" x14ac:dyDescent="0.25">
      <c r="A144" s="7"/>
      <c r="B144" s="37" t="s">
        <v>28</v>
      </c>
      <c r="C144" s="37" t="s">
        <v>112</v>
      </c>
      <c r="D144" s="37" t="s">
        <v>99</v>
      </c>
      <c r="E144" s="39" t="s">
        <v>100</v>
      </c>
      <c r="F144" s="42">
        <f t="shared" si="16"/>
        <v>0</v>
      </c>
      <c r="G144" s="42">
        <f t="shared" si="16"/>
        <v>0</v>
      </c>
      <c r="H144" s="42">
        <f t="shared" si="16"/>
        <v>0</v>
      </c>
      <c r="I144" s="42">
        <f t="shared" si="16"/>
        <v>0</v>
      </c>
      <c r="J144" s="57">
        <f t="shared" si="15"/>
        <v>0</v>
      </c>
      <c r="K144" s="57">
        <f t="shared" si="15"/>
        <v>0</v>
      </c>
      <c r="L144" s="57">
        <f t="shared" si="15"/>
        <v>0</v>
      </c>
      <c r="M144" s="57">
        <f t="shared" si="15"/>
        <v>0</v>
      </c>
      <c r="N144" s="57">
        <f t="shared" si="15"/>
        <v>0</v>
      </c>
      <c r="O144" s="57">
        <f t="shared" si="15"/>
        <v>0</v>
      </c>
      <c r="P144" s="57">
        <f t="shared" si="15"/>
        <v>0</v>
      </c>
      <c r="Q144" s="51"/>
    </row>
    <row r="145" spans="1:34" outlineLevel="1" x14ac:dyDescent="0.25">
      <c r="A145" s="7"/>
      <c r="B145" s="37" t="s">
        <v>28</v>
      </c>
      <c r="C145" s="37" t="s">
        <v>113</v>
      </c>
      <c r="D145" s="37" t="s">
        <v>99</v>
      </c>
      <c r="E145" s="39" t="s">
        <v>100</v>
      </c>
      <c r="F145" s="42">
        <f t="shared" si="16"/>
        <v>0</v>
      </c>
      <c r="G145" s="42">
        <f t="shared" si="16"/>
        <v>0</v>
      </c>
      <c r="H145" s="42">
        <f t="shared" si="16"/>
        <v>0</v>
      </c>
      <c r="I145" s="42">
        <f t="shared" si="16"/>
        <v>0</v>
      </c>
      <c r="J145" s="57">
        <f t="shared" si="15"/>
        <v>0</v>
      </c>
      <c r="K145" s="57">
        <f t="shared" si="15"/>
        <v>0</v>
      </c>
      <c r="L145" s="57">
        <f t="shared" si="15"/>
        <v>0</v>
      </c>
      <c r="M145" s="57">
        <f t="shared" si="15"/>
        <v>0</v>
      </c>
      <c r="N145" s="57">
        <f t="shared" si="15"/>
        <v>0</v>
      </c>
      <c r="O145" s="57">
        <f t="shared" si="15"/>
        <v>0</v>
      </c>
      <c r="P145" s="57">
        <f t="shared" si="15"/>
        <v>0</v>
      </c>
      <c r="Q145" s="51"/>
    </row>
    <row r="146" spans="1:34" outlineLevel="1" x14ac:dyDescent="0.25">
      <c r="A146" s="7"/>
      <c r="B146" s="37" t="s">
        <v>28</v>
      </c>
      <c r="C146" s="37" t="s">
        <v>5</v>
      </c>
      <c r="D146" s="37" t="s">
        <v>99</v>
      </c>
      <c r="E146" s="39" t="s">
        <v>100</v>
      </c>
      <c r="F146" s="42">
        <f t="shared" si="16"/>
        <v>4.6909999999999998</v>
      </c>
      <c r="G146" s="42">
        <f t="shared" si="16"/>
        <v>5.3550000000000004</v>
      </c>
      <c r="H146" s="42">
        <f t="shared" si="16"/>
        <v>6.0590000000000002</v>
      </c>
      <c r="I146" s="42">
        <f t="shared" si="16"/>
        <v>6.6749999999999998</v>
      </c>
      <c r="J146" s="57">
        <f t="shared" si="15"/>
        <v>6.8070000000000004</v>
      </c>
      <c r="K146" s="57">
        <f t="shared" si="15"/>
        <v>6.8070000000000004</v>
      </c>
      <c r="L146" s="57">
        <f t="shared" si="15"/>
        <v>6.8070000000000004</v>
      </c>
      <c r="M146" s="57">
        <f t="shared" si="15"/>
        <v>6.8070000000000004</v>
      </c>
      <c r="N146" s="57">
        <f t="shared" si="15"/>
        <v>6.8070000000000004</v>
      </c>
      <c r="O146" s="57">
        <f t="shared" si="15"/>
        <v>6.8070000000000004</v>
      </c>
      <c r="P146" s="57">
        <f t="shared" si="15"/>
        <v>6.8070000000000004</v>
      </c>
      <c r="Q146" s="51"/>
      <c r="R146" s="53">
        <v>4.6909999999999998</v>
      </c>
      <c r="S146" s="53">
        <v>4.8019999999999996</v>
      </c>
      <c r="T146" s="53">
        <v>4.9349999999999996</v>
      </c>
      <c r="U146" s="53">
        <v>5.0750000000000002</v>
      </c>
      <c r="V146" s="53">
        <v>5.2069999999999999</v>
      </c>
      <c r="W146" s="53">
        <v>5.3550000000000004</v>
      </c>
      <c r="X146" s="53">
        <v>5.5220000000000002</v>
      </c>
      <c r="Y146" s="53">
        <v>5.7069999999999999</v>
      </c>
      <c r="Z146" s="53">
        <v>5.851</v>
      </c>
      <c r="AA146" s="53">
        <v>5.9429999999999996</v>
      </c>
      <c r="AB146" s="53">
        <v>6.0590000000000002</v>
      </c>
      <c r="AC146" s="53">
        <v>6.2050000000000001</v>
      </c>
      <c r="AD146" s="53">
        <v>6.3079999999999998</v>
      </c>
      <c r="AE146" s="53">
        <v>6.43</v>
      </c>
      <c r="AF146" s="53">
        <v>6.5590000000000002</v>
      </c>
      <c r="AG146" s="53">
        <v>6.6749999999999998</v>
      </c>
      <c r="AH146" s="53">
        <v>6.8070000000000004</v>
      </c>
    </row>
    <row r="147" spans="1:34" outlineLevel="1" x14ac:dyDescent="0.25">
      <c r="A147" s="7"/>
      <c r="B147" s="37" t="s">
        <v>28</v>
      </c>
      <c r="C147" s="37" t="s">
        <v>75</v>
      </c>
      <c r="D147" s="37" t="s">
        <v>99</v>
      </c>
      <c r="E147" s="39" t="s">
        <v>100</v>
      </c>
      <c r="F147" s="42">
        <f t="shared" si="16"/>
        <v>0</v>
      </c>
      <c r="G147" s="42">
        <f t="shared" si="16"/>
        <v>0</v>
      </c>
      <c r="H147" s="42">
        <f t="shared" si="16"/>
        <v>0</v>
      </c>
      <c r="I147" s="42">
        <f t="shared" si="16"/>
        <v>0</v>
      </c>
      <c r="J147" s="57">
        <f t="shared" si="15"/>
        <v>0</v>
      </c>
      <c r="K147" s="57">
        <f t="shared" si="15"/>
        <v>0</v>
      </c>
      <c r="L147" s="57">
        <f t="shared" si="15"/>
        <v>0</v>
      </c>
      <c r="M147" s="57">
        <f t="shared" si="15"/>
        <v>0</v>
      </c>
      <c r="N147" s="57">
        <f t="shared" si="15"/>
        <v>0</v>
      </c>
      <c r="O147" s="57">
        <f t="shared" si="15"/>
        <v>0</v>
      </c>
      <c r="P147" s="57">
        <f t="shared" si="15"/>
        <v>0</v>
      </c>
      <c r="Q147" s="51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</row>
    <row r="148" spans="1:34" outlineLevel="1" x14ac:dyDescent="0.25">
      <c r="A148" s="7"/>
      <c r="B148" s="37" t="s">
        <v>28</v>
      </c>
      <c r="C148" s="37" t="s">
        <v>114</v>
      </c>
      <c r="D148" s="37" t="s">
        <v>99</v>
      </c>
      <c r="E148" s="39" t="s">
        <v>100</v>
      </c>
      <c r="F148" s="42">
        <f t="shared" si="16"/>
        <v>0</v>
      </c>
      <c r="G148" s="42">
        <f t="shared" si="16"/>
        <v>0</v>
      </c>
      <c r="H148" s="42">
        <f t="shared" si="16"/>
        <v>0</v>
      </c>
      <c r="I148" s="42">
        <f t="shared" si="16"/>
        <v>0</v>
      </c>
      <c r="J148" s="57">
        <f t="shared" si="15"/>
        <v>0</v>
      </c>
      <c r="K148" s="57">
        <f t="shared" si="15"/>
        <v>0</v>
      </c>
      <c r="L148" s="57">
        <f t="shared" si="15"/>
        <v>0</v>
      </c>
      <c r="M148" s="57">
        <f t="shared" si="15"/>
        <v>0</v>
      </c>
      <c r="N148" s="57">
        <f t="shared" si="15"/>
        <v>0</v>
      </c>
      <c r="O148" s="57">
        <f t="shared" si="15"/>
        <v>0</v>
      </c>
      <c r="P148" s="57">
        <f t="shared" si="15"/>
        <v>0</v>
      </c>
      <c r="Q148" s="51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53"/>
      <c r="AG148" s="53"/>
      <c r="AH148" s="53"/>
    </row>
    <row r="149" spans="1:34" outlineLevel="1" x14ac:dyDescent="0.25">
      <c r="A149" s="7"/>
      <c r="B149" s="37" t="s">
        <v>28</v>
      </c>
      <c r="C149" s="37" t="s">
        <v>116</v>
      </c>
      <c r="D149" s="37" t="s">
        <v>99</v>
      </c>
      <c r="E149" s="39" t="s">
        <v>100</v>
      </c>
      <c r="F149" s="42">
        <f t="shared" si="16"/>
        <v>0</v>
      </c>
      <c r="G149" s="42">
        <f t="shared" si="16"/>
        <v>0</v>
      </c>
      <c r="H149" s="42">
        <f t="shared" si="16"/>
        <v>0</v>
      </c>
      <c r="I149" s="42">
        <f t="shared" si="16"/>
        <v>0</v>
      </c>
      <c r="J149" s="57">
        <f t="shared" si="15"/>
        <v>0</v>
      </c>
      <c r="K149" s="57">
        <f t="shared" si="15"/>
        <v>0</v>
      </c>
      <c r="L149" s="57">
        <f t="shared" si="15"/>
        <v>0</v>
      </c>
      <c r="M149" s="57">
        <f t="shared" si="15"/>
        <v>0</v>
      </c>
      <c r="N149" s="57">
        <f t="shared" si="15"/>
        <v>0</v>
      </c>
      <c r="O149" s="57">
        <f t="shared" si="15"/>
        <v>0</v>
      </c>
      <c r="P149" s="57">
        <f t="shared" si="15"/>
        <v>0</v>
      </c>
      <c r="Q149" s="51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53"/>
      <c r="AG149" s="53"/>
      <c r="AH149" s="53"/>
    </row>
    <row r="150" spans="1:34" outlineLevel="1" x14ac:dyDescent="0.25">
      <c r="A150" s="7"/>
      <c r="B150" s="37" t="s">
        <v>28</v>
      </c>
      <c r="C150" s="37" t="s">
        <v>115</v>
      </c>
      <c r="D150" s="37" t="s">
        <v>99</v>
      </c>
      <c r="E150" s="39" t="s">
        <v>100</v>
      </c>
      <c r="F150" s="42">
        <f t="shared" si="16"/>
        <v>0</v>
      </c>
      <c r="G150" s="42">
        <f t="shared" si="16"/>
        <v>0</v>
      </c>
      <c r="H150" s="42">
        <f t="shared" si="16"/>
        <v>0</v>
      </c>
      <c r="I150" s="42">
        <f t="shared" si="16"/>
        <v>0</v>
      </c>
      <c r="J150" s="57">
        <f t="shared" si="15"/>
        <v>0</v>
      </c>
      <c r="K150" s="57">
        <f t="shared" si="15"/>
        <v>0</v>
      </c>
      <c r="L150" s="57">
        <f t="shared" si="15"/>
        <v>0</v>
      </c>
      <c r="M150" s="57">
        <f t="shared" si="15"/>
        <v>0</v>
      </c>
      <c r="N150" s="57">
        <f t="shared" si="15"/>
        <v>0</v>
      </c>
      <c r="O150" s="57">
        <f t="shared" si="15"/>
        <v>0</v>
      </c>
      <c r="P150" s="57">
        <f t="shared" si="15"/>
        <v>0</v>
      </c>
      <c r="Q150" s="51"/>
    </row>
    <row r="151" spans="1:34" x14ac:dyDescent="0.25">
      <c r="A151" s="7"/>
      <c r="B151" s="37"/>
      <c r="C151" s="37"/>
      <c r="D151" s="37"/>
      <c r="E151" s="18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51"/>
    </row>
    <row r="152" spans="1:34" x14ac:dyDescent="0.25">
      <c r="A152" s="7"/>
      <c r="B152" s="37"/>
      <c r="C152" s="37"/>
      <c r="D152" s="37"/>
      <c r="E152" s="18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51"/>
    </row>
    <row r="153" spans="1:34" x14ac:dyDescent="0.25">
      <c r="A153" s="7"/>
      <c r="B153" s="37"/>
      <c r="C153" s="37"/>
      <c r="D153" s="37"/>
      <c r="E153" s="18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51"/>
    </row>
    <row r="154" spans="1:34" x14ac:dyDescent="0.25">
      <c r="A154" s="7"/>
      <c r="B154" s="37"/>
      <c r="C154" s="37"/>
      <c r="D154" s="37"/>
      <c r="E154" s="18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51"/>
    </row>
    <row r="155" spans="1:34" x14ac:dyDescent="0.25">
      <c r="A155" s="7"/>
      <c r="B155" s="37"/>
      <c r="C155" s="37"/>
      <c r="D155" s="37"/>
      <c r="E155" s="18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51"/>
    </row>
    <row r="156" spans="1:34" x14ac:dyDescent="0.25">
      <c r="A156" s="7"/>
      <c r="B156" s="37"/>
      <c r="C156" s="37"/>
      <c r="D156" s="37"/>
      <c r="E156" s="18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51"/>
    </row>
    <row r="157" spans="1:34" x14ac:dyDescent="0.25">
      <c r="A157" s="7"/>
      <c r="B157" s="37"/>
      <c r="C157" s="37"/>
      <c r="D157" s="37"/>
      <c r="E157" s="18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51"/>
    </row>
    <row r="158" spans="1:34" x14ac:dyDescent="0.25">
      <c r="A158" s="7"/>
      <c r="B158" s="37"/>
      <c r="C158" s="37"/>
      <c r="D158" s="37"/>
      <c r="E158" s="18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51"/>
    </row>
    <row r="159" spans="1:34" x14ac:dyDescent="0.25">
      <c r="A159" s="7"/>
      <c r="B159" s="37"/>
      <c r="C159" s="37"/>
      <c r="D159" s="37"/>
      <c r="E159" s="18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51"/>
    </row>
    <row r="160" spans="1:34" x14ac:dyDescent="0.25">
      <c r="A160" s="7"/>
      <c r="B160" s="37"/>
      <c r="C160" s="37"/>
      <c r="D160" s="37"/>
      <c r="E160" s="18"/>
      <c r="G160" s="41"/>
      <c r="H160" s="41"/>
      <c r="I160" s="41"/>
      <c r="J160" s="41"/>
      <c r="K160" s="41"/>
      <c r="L160" s="41"/>
      <c r="M160" s="41"/>
      <c r="N160" s="41"/>
      <c r="O160" s="41"/>
      <c r="P160" s="41"/>
      <c r="Q160" s="51"/>
    </row>
    <row r="161" spans="1:17" x14ac:dyDescent="0.25">
      <c r="A161" s="7"/>
      <c r="B161" s="37"/>
      <c r="C161" s="37"/>
      <c r="D161" s="37"/>
      <c r="E161" s="18"/>
      <c r="G161" s="41"/>
      <c r="H161" s="41"/>
      <c r="I161" s="41"/>
      <c r="J161" s="41"/>
      <c r="K161" s="41"/>
      <c r="L161" s="41"/>
      <c r="M161" s="41"/>
      <c r="N161" s="41"/>
      <c r="O161" s="41"/>
      <c r="P161" s="41"/>
      <c r="Q161" s="51"/>
    </row>
    <row r="162" spans="1:17" x14ac:dyDescent="0.25">
      <c r="A162" s="7"/>
      <c r="B162" s="37"/>
      <c r="C162" s="37"/>
      <c r="D162" s="37"/>
      <c r="E162" s="18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51"/>
    </row>
    <row r="163" spans="1:17" x14ac:dyDescent="0.25">
      <c r="A163" s="7"/>
      <c r="B163" s="37"/>
      <c r="C163" s="37"/>
      <c r="D163" s="37"/>
      <c r="E163" s="18"/>
      <c r="G163" s="41"/>
      <c r="H163" s="41"/>
      <c r="I163" s="41"/>
      <c r="J163" s="41"/>
      <c r="K163" s="41"/>
      <c r="L163" s="41"/>
      <c r="M163" s="41"/>
      <c r="N163" s="41"/>
      <c r="O163" s="41"/>
      <c r="P163" s="41"/>
      <c r="Q163" s="51"/>
    </row>
    <row r="164" spans="1:17" x14ac:dyDescent="0.25">
      <c r="A164" s="7"/>
      <c r="B164" s="37"/>
      <c r="C164" s="37"/>
      <c r="D164" s="37"/>
      <c r="E164" s="18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51"/>
    </row>
    <row r="165" spans="1:17" x14ac:dyDescent="0.25">
      <c r="A165" s="7"/>
      <c r="B165" s="37"/>
      <c r="C165" s="37"/>
      <c r="D165" s="37"/>
      <c r="E165" s="18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51"/>
    </row>
    <row r="166" spans="1:17" x14ac:dyDescent="0.25">
      <c r="A166" s="7"/>
      <c r="B166" s="37"/>
      <c r="C166" s="37"/>
      <c r="D166" s="37"/>
      <c r="E166" s="18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51"/>
    </row>
    <row r="167" spans="1:17" x14ac:dyDescent="0.25">
      <c r="A167" s="7"/>
      <c r="B167" s="37"/>
      <c r="C167" s="37"/>
      <c r="D167" s="37"/>
      <c r="E167" s="18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51"/>
    </row>
    <row r="168" spans="1:17" x14ac:dyDescent="0.25">
      <c r="A168" s="7"/>
      <c r="B168" s="37"/>
      <c r="C168" s="37"/>
      <c r="D168" s="37"/>
      <c r="E168" s="18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51"/>
    </row>
    <row r="169" spans="1:17" x14ac:dyDescent="0.25">
      <c r="A169" s="7"/>
      <c r="B169" s="37"/>
      <c r="C169" s="37"/>
      <c r="D169" s="37"/>
      <c r="E169" s="18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51"/>
    </row>
    <row r="170" spans="1:17" x14ac:dyDescent="0.25">
      <c r="A170" s="7"/>
      <c r="B170" s="37"/>
      <c r="C170" s="37"/>
      <c r="D170" s="37"/>
      <c r="E170" s="18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51"/>
    </row>
    <row r="171" spans="1:17" x14ac:dyDescent="0.25">
      <c r="A171" s="7"/>
      <c r="B171" s="37"/>
      <c r="C171" s="37"/>
      <c r="D171" s="37"/>
      <c r="E171" s="18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51"/>
    </row>
    <row r="172" spans="1:17" x14ac:dyDescent="0.25">
      <c r="A172" s="7"/>
      <c r="B172" s="37"/>
      <c r="C172" s="37"/>
      <c r="D172" s="37"/>
      <c r="E172" s="18"/>
      <c r="G172" s="41"/>
      <c r="H172" s="41"/>
      <c r="I172" s="41"/>
      <c r="J172" s="41"/>
      <c r="K172" s="41"/>
      <c r="L172" s="41"/>
      <c r="M172" s="41"/>
      <c r="N172" s="41"/>
      <c r="O172" s="41"/>
      <c r="P172" s="41"/>
      <c r="Q172" s="51"/>
    </row>
    <row r="173" spans="1:17" x14ac:dyDescent="0.25">
      <c r="A173" s="7"/>
      <c r="B173" s="37"/>
      <c r="C173" s="37"/>
      <c r="D173" s="37"/>
      <c r="E173" s="18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51"/>
    </row>
    <row r="174" spans="1:17" x14ac:dyDescent="0.25">
      <c r="A174" s="7"/>
      <c r="B174" s="37"/>
      <c r="C174" s="37"/>
      <c r="D174" s="37"/>
      <c r="E174" s="18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51"/>
    </row>
    <row r="175" spans="1:17" x14ac:dyDescent="0.25">
      <c r="A175" s="7"/>
      <c r="B175" s="37"/>
      <c r="C175" s="37"/>
      <c r="D175" s="37"/>
      <c r="E175" s="18"/>
      <c r="G175" s="41"/>
      <c r="H175" s="41"/>
      <c r="I175" s="41"/>
      <c r="J175" s="41"/>
      <c r="K175" s="41"/>
      <c r="L175" s="41"/>
      <c r="M175" s="41"/>
      <c r="N175" s="41"/>
      <c r="O175" s="41"/>
      <c r="P175" s="41"/>
      <c r="Q175" s="51"/>
    </row>
    <row r="176" spans="1:17" x14ac:dyDescent="0.25">
      <c r="A176" s="7"/>
      <c r="B176" s="37"/>
      <c r="C176" s="37"/>
      <c r="D176" s="37"/>
      <c r="E176" s="18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51"/>
    </row>
    <row r="177" spans="1:17" x14ac:dyDescent="0.25">
      <c r="A177" s="7"/>
      <c r="B177" s="37"/>
      <c r="C177" s="37"/>
      <c r="D177" s="37"/>
      <c r="E177" s="18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51"/>
    </row>
    <row r="178" spans="1:17" x14ac:dyDescent="0.25">
      <c r="A178" s="7"/>
      <c r="B178" s="37"/>
      <c r="C178" s="37"/>
      <c r="D178" s="37"/>
      <c r="E178" s="18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51"/>
    </row>
    <row r="179" spans="1:17" x14ac:dyDescent="0.25">
      <c r="A179" s="7"/>
      <c r="B179" s="15"/>
      <c r="C179" s="15"/>
      <c r="D179" s="15"/>
      <c r="E179" s="1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51"/>
    </row>
    <row r="180" spans="1:17" x14ac:dyDescent="0.25">
      <c r="A180" s="7"/>
      <c r="B180" s="15"/>
      <c r="C180" s="15"/>
      <c r="D180" s="15"/>
      <c r="E180" s="1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51"/>
    </row>
    <row r="181" spans="1:17" x14ac:dyDescent="0.25">
      <c r="A181" s="7"/>
      <c r="B181" s="37"/>
      <c r="C181" s="37"/>
      <c r="D181" s="37"/>
      <c r="E181" s="18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51"/>
    </row>
    <row r="182" spans="1:17" x14ac:dyDescent="0.25">
      <c r="A182" s="7"/>
      <c r="B182" s="37"/>
      <c r="C182" s="37"/>
      <c r="D182" s="37"/>
      <c r="E182" s="18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51"/>
    </row>
    <row r="183" spans="1:17" x14ac:dyDescent="0.25">
      <c r="A183" s="7"/>
      <c r="B183" s="37"/>
      <c r="C183" s="37"/>
      <c r="D183" s="37"/>
      <c r="E183" s="18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51"/>
    </row>
    <row r="184" spans="1:17" x14ac:dyDescent="0.25">
      <c r="A184" s="7"/>
      <c r="B184" s="37"/>
      <c r="C184" s="37"/>
      <c r="D184" s="37"/>
      <c r="E184" s="18"/>
      <c r="G184" s="41"/>
      <c r="H184" s="41"/>
      <c r="I184" s="41"/>
      <c r="J184" s="41"/>
      <c r="K184" s="41"/>
      <c r="L184" s="41"/>
      <c r="M184" s="41"/>
      <c r="N184" s="41"/>
      <c r="O184" s="41"/>
      <c r="P184" s="41"/>
      <c r="Q184" s="51"/>
    </row>
    <row r="185" spans="1:17" x14ac:dyDescent="0.25">
      <c r="A185" s="7"/>
      <c r="B185" s="37"/>
      <c r="C185" s="37"/>
      <c r="D185" s="37"/>
      <c r="E185" s="18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51"/>
    </row>
    <row r="186" spans="1:17" x14ac:dyDescent="0.25">
      <c r="A186" s="7"/>
      <c r="B186" s="37"/>
      <c r="C186" s="37"/>
      <c r="D186" s="37"/>
      <c r="E186" s="18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51"/>
    </row>
    <row r="187" spans="1:17" x14ac:dyDescent="0.25">
      <c r="A187" s="7"/>
      <c r="B187" s="37"/>
      <c r="C187" s="37"/>
      <c r="D187" s="37"/>
      <c r="E187" s="18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51"/>
    </row>
    <row r="188" spans="1:17" x14ac:dyDescent="0.25">
      <c r="A188" s="7"/>
      <c r="B188" s="37"/>
      <c r="C188" s="37"/>
      <c r="D188" s="37"/>
      <c r="E188" s="18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51"/>
    </row>
    <row r="189" spans="1:17" x14ac:dyDescent="0.25">
      <c r="A189" s="7"/>
      <c r="B189" s="37"/>
      <c r="C189" s="37"/>
      <c r="D189" s="37"/>
      <c r="E189" s="18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51"/>
    </row>
    <row r="190" spans="1:17" x14ac:dyDescent="0.25">
      <c r="A190" s="7"/>
      <c r="B190" s="37"/>
      <c r="C190" s="37"/>
      <c r="D190" s="37"/>
      <c r="E190" s="18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51"/>
    </row>
    <row r="191" spans="1:17" x14ac:dyDescent="0.25">
      <c r="A191" s="7"/>
      <c r="B191" s="37"/>
      <c r="C191" s="37"/>
      <c r="D191" s="37"/>
      <c r="E191" s="18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51"/>
    </row>
    <row r="192" spans="1:17" x14ac:dyDescent="0.25">
      <c r="A192" s="7"/>
      <c r="B192" s="37"/>
      <c r="C192" s="37"/>
      <c r="D192" s="37"/>
      <c r="E192" s="18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51"/>
    </row>
    <row r="193" spans="1:17" x14ac:dyDescent="0.25">
      <c r="A193" s="7"/>
      <c r="B193" s="37"/>
      <c r="C193" s="37"/>
      <c r="D193" s="37"/>
      <c r="E193" s="18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51"/>
    </row>
    <row r="194" spans="1:17" x14ac:dyDescent="0.25">
      <c r="A194" s="7"/>
      <c r="B194" s="37"/>
      <c r="C194" s="37"/>
      <c r="D194" s="37"/>
      <c r="E194" s="18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51"/>
    </row>
    <row r="195" spans="1:17" x14ac:dyDescent="0.25">
      <c r="A195" s="7"/>
      <c r="B195" s="37"/>
      <c r="C195" s="37"/>
      <c r="D195" s="37"/>
      <c r="E195" s="18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51"/>
    </row>
    <row r="196" spans="1:17" x14ac:dyDescent="0.25">
      <c r="A196" s="7"/>
      <c r="B196" s="37"/>
      <c r="C196" s="37"/>
      <c r="D196" s="37"/>
      <c r="E196" s="18"/>
      <c r="G196" s="41"/>
      <c r="H196" s="41"/>
      <c r="I196" s="41"/>
      <c r="J196" s="41"/>
      <c r="K196" s="41"/>
      <c r="L196" s="41"/>
      <c r="M196" s="41"/>
      <c r="N196" s="41"/>
      <c r="O196" s="41"/>
      <c r="P196" s="41"/>
      <c r="Q196" s="51"/>
    </row>
    <row r="197" spans="1:17" x14ac:dyDescent="0.25">
      <c r="A197" s="7"/>
      <c r="B197" s="37"/>
      <c r="C197" s="37"/>
      <c r="D197" s="37"/>
      <c r="E197" s="18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51"/>
    </row>
    <row r="198" spans="1:17" x14ac:dyDescent="0.25">
      <c r="A198" s="7"/>
      <c r="B198" s="37"/>
      <c r="C198" s="37"/>
      <c r="D198" s="37"/>
      <c r="E198" s="18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51"/>
    </row>
    <row r="199" spans="1:17" x14ac:dyDescent="0.25">
      <c r="A199" s="7"/>
      <c r="B199" s="37"/>
      <c r="C199" s="37"/>
      <c r="D199" s="37"/>
      <c r="E199" s="18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51"/>
    </row>
    <row r="200" spans="1:17" x14ac:dyDescent="0.25">
      <c r="A200" s="7"/>
      <c r="B200" s="37"/>
      <c r="C200" s="37"/>
      <c r="D200" s="37"/>
      <c r="E200" s="18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51"/>
    </row>
    <row r="201" spans="1:17" x14ac:dyDescent="0.25">
      <c r="A201" s="7"/>
      <c r="B201" s="37"/>
      <c r="C201" s="37"/>
      <c r="D201" s="37"/>
      <c r="E201" s="18"/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51"/>
    </row>
    <row r="202" spans="1:17" x14ac:dyDescent="0.25">
      <c r="A202" s="7"/>
      <c r="B202" s="37"/>
      <c r="C202" s="37"/>
      <c r="D202" s="37"/>
      <c r="E202" s="18"/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51"/>
    </row>
    <row r="203" spans="1:17" x14ac:dyDescent="0.25">
      <c r="A203" s="7"/>
      <c r="B203" s="37"/>
      <c r="C203" s="37"/>
      <c r="D203" s="37"/>
      <c r="E203" s="18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51"/>
    </row>
    <row r="204" spans="1:17" x14ac:dyDescent="0.25">
      <c r="A204" s="7"/>
      <c r="B204" s="37"/>
      <c r="C204" s="37"/>
      <c r="D204" s="37"/>
      <c r="E204" s="18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51"/>
    </row>
    <row r="205" spans="1:17" x14ac:dyDescent="0.25">
      <c r="A205" s="7"/>
      <c r="B205" s="37"/>
      <c r="C205" s="37"/>
      <c r="D205" s="37"/>
      <c r="E205" s="18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51"/>
    </row>
    <row r="206" spans="1:17" x14ac:dyDescent="0.25">
      <c r="A206" s="7"/>
      <c r="B206" s="37"/>
      <c r="C206" s="37"/>
      <c r="D206" s="37"/>
      <c r="E206" s="18"/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51"/>
    </row>
    <row r="207" spans="1:17" x14ac:dyDescent="0.25">
      <c r="A207" s="7"/>
      <c r="B207" s="15"/>
      <c r="C207" s="15"/>
      <c r="D207" s="15"/>
      <c r="E207" s="11"/>
      <c r="F207" s="41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51"/>
    </row>
    <row r="208" spans="1:17" x14ac:dyDescent="0.25">
      <c r="A208" s="7"/>
      <c r="B208" s="15"/>
      <c r="C208" s="15"/>
      <c r="D208" s="15"/>
      <c r="E208" s="11"/>
      <c r="F208" s="41"/>
      <c r="G208" s="41"/>
      <c r="H208" s="41"/>
      <c r="I208" s="41"/>
      <c r="J208" s="41"/>
      <c r="K208" s="41"/>
      <c r="L208" s="41"/>
      <c r="M208" s="41"/>
      <c r="N208" s="41"/>
      <c r="O208" s="41"/>
      <c r="P208" s="41"/>
      <c r="Q208" s="51"/>
    </row>
    <row r="209" spans="1:17" x14ac:dyDescent="0.25">
      <c r="A209" s="7"/>
      <c r="B209" s="37"/>
      <c r="C209" s="37"/>
      <c r="D209" s="37"/>
      <c r="E209" s="18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51"/>
    </row>
    <row r="210" spans="1:17" x14ac:dyDescent="0.25">
      <c r="A210" s="7"/>
      <c r="B210" s="37"/>
      <c r="C210" s="37"/>
      <c r="D210" s="37"/>
      <c r="E210" s="18"/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51"/>
    </row>
    <row r="211" spans="1:17" x14ac:dyDescent="0.25">
      <c r="A211" s="7"/>
      <c r="B211" s="37"/>
      <c r="C211" s="37"/>
      <c r="D211" s="37"/>
      <c r="E211" s="18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51"/>
    </row>
    <row r="212" spans="1:17" x14ac:dyDescent="0.25">
      <c r="A212" s="7"/>
      <c r="B212" s="37"/>
      <c r="C212" s="37"/>
      <c r="D212" s="37"/>
      <c r="E212" s="18"/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51"/>
    </row>
    <row r="213" spans="1:17" x14ac:dyDescent="0.25">
      <c r="A213" s="7"/>
      <c r="B213" s="37"/>
      <c r="C213" s="37"/>
      <c r="D213" s="37"/>
      <c r="E213" s="18"/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51"/>
    </row>
    <row r="214" spans="1:17" x14ac:dyDescent="0.25">
      <c r="A214" s="7"/>
      <c r="B214" s="37"/>
      <c r="C214" s="37"/>
      <c r="D214" s="37"/>
      <c r="E214" s="18"/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51"/>
    </row>
    <row r="215" spans="1:17" x14ac:dyDescent="0.25">
      <c r="A215" s="7"/>
      <c r="B215" s="37"/>
      <c r="C215" s="37"/>
      <c r="D215" s="37"/>
      <c r="E215" s="18"/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51"/>
    </row>
    <row r="216" spans="1:17" x14ac:dyDescent="0.25">
      <c r="A216" s="7"/>
      <c r="B216" s="37"/>
      <c r="C216" s="37"/>
      <c r="D216" s="37"/>
      <c r="E216" s="18"/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51"/>
    </row>
    <row r="217" spans="1:17" x14ac:dyDescent="0.25">
      <c r="A217" s="7"/>
      <c r="B217" s="37"/>
      <c r="C217" s="37"/>
      <c r="D217" s="37"/>
      <c r="E217" s="18"/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51"/>
    </row>
    <row r="218" spans="1:17" x14ac:dyDescent="0.25">
      <c r="A218" s="7"/>
      <c r="B218" s="37"/>
      <c r="C218" s="37"/>
      <c r="D218" s="37"/>
      <c r="E218" s="18"/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51"/>
    </row>
    <row r="219" spans="1:17" x14ac:dyDescent="0.25">
      <c r="A219" s="7"/>
      <c r="B219" s="37"/>
      <c r="C219" s="37"/>
      <c r="D219" s="37"/>
      <c r="E219" s="18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51"/>
    </row>
    <row r="220" spans="1:17" x14ac:dyDescent="0.25">
      <c r="A220" s="7"/>
      <c r="B220" s="37"/>
      <c r="C220" s="37"/>
      <c r="D220" s="37"/>
      <c r="E220" s="18"/>
      <c r="G220" s="41"/>
      <c r="H220" s="41"/>
      <c r="I220" s="41"/>
      <c r="J220" s="41"/>
      <c r="K220" s="41"/>
      <c r="L220" s="41"/>
      <c r="M220" s="41"/>
      <c r="N220" s="41"/>
      <c r="O220" s="41"/>
      <c r="P220" s="41"/>
      <c r="Q220" s="51"/>
    </row>
    <row r="221" spans="1:17" x14ac:dyDescent="0.25">
      <c r="A221" s="7"/>
      <c r="B221" s="37"/>
      <c r="C221" s="37"/>
      <c r="D221" s="37"/>
      <c r="E221" s="18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51"/>
    </row>
    <row r="222" spans="1:17" x14ac:dyDescent="0.25">
      <c r="A222" s="7"/>
      <c r="B222" s="37"/>
      <c r="C222" s="37"/>
      <c r="D222" s="37"/>
      <c r="E222" s="18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51"/>
    </row>
    <row r="223" spans="1:17" x14ac:dyDescent="0.25">
      <c r="A223" s="7"/>
      <c r="B223" s="37"/>
      <c r="C223" s="37"/>
      <c r="D223" s="37"/>
      <c r="E223" s="18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51"/>
    </row>
    <row r="224" spans="1:17" x14ac:dyDescent="0.25">
      <c r="A224" s="7"/>
      <c r="B224" s="37"/>
      <c r="C224" s="37"/>
      <c r="D224" s="37"/>
      <c r="E224" s="18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51"/>
    </row>
    <row r="225" spans="1:17" x14ac:dyDescent="0.25">
      <c r="A225" s="7"/>
      <c r="B225" s="37"/>
      <c r="C225" s="37"/>
      <c r="D225" s="37"/>
      <c r="E225" s="18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51"/>
    </row>
    <row r="226" spans="1:17" x14ac:dyDescent="0.25">
      <c r="A226" s="7"/>
      <c r="B226" s="37"/>
      <c r="C226" s="37"/>
      <c r="D226" s="37"/>
      <c r="E226" s="18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51"/>
    </row>
    <row r="227" spans="1:17" x14ac:dyDescent="0.25">
      <c r="A227" s="7"/>
      <c r="B227" s="37"/>
      <c r="C227" s="37"/>
      <c r="D227" s="37"/>
      <c r="E227" s="18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51"/>
    </row>
    <row r="228" spans="1:17" x14ac:dyDescent="0.25">
      <c r="A228" s="7"/>
      <c r="B228" s="37"/>
      <c r="C228" s="37"/>
      <c r="D228" s="37"/>
      <c r="E228" s="18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51"/>
    </row>
    <row r="229" spans="1:17" x14ac:dyDescent="0.25">
      <c r="A229" s="7"/>
      <c r="B229" s="37"/>
      <c r="C229" s="37"/>
      <c r="D229" s="37"/>
      <c r="E229" s="18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51"/>
    </row>
    <row r="230" spans="1:17" x14ac:dyDescent="0.25">
      <c r="A230" s="7"/>
      <c r="B230" s="37"/>
      <c r="C230" s="37"/>
      <c r="D230" s="37"/>
      <c r="E230" s="18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51"/>
    </row>
    <row r="231" spans="1:17" x14ac:dyDescent="0.25">
      <c r="A231" s="7"/>
      <c r="B231" s="37"/>
      <c r="C231" s="37"/>
      <c r="D231" s="37"/>
      <c r="E231" s="18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51"/>
    </row>
    <row r="232" spans="1:17" x14ac:dyDescent="0.25">
      <c r="A232" s="7"/>
      <c r="B232" s="37"/>
      <c r="C232" s="37"/>
      <c r="D232" s="37"/>
      <c r="E232" s="18"/>
      <c r="G232" s="41"/>
      <c r="H232" s="41"/>
      <c r="I232" s="41"/>
      <c r="J232" s="41"/>
      <c r="K232" s="41"/>
      <c r="L232" s="41"/>
      <c r="M232" s="41"/>
      <c r="N232" s="41"/>
      <c r="O232" s="41"/>
      <c r="P232" s="41"/>
      <c r="Q232" s="51"/>
    </row>
    <row r="233" spans="1:17" x14ac:dyDescent="0.25">
      <c r="A233" s="7"/>
      <c r="B233" s="37"/>
      <c r="C233" s="37"/>
      <c r="D233" s="37"/>
      <c r="E233" s="18"/>
      <c r="G233" s="41"/>
      <c r="H233" s="41"/>
      <c r="I233" s="41"/>
      <c r="J233" s="41"/>
      <c r="K233" s="41"/>
      <c r="L233" s="41"/>
      <c r="M233" s="41"/>
      <c r="N233" s="41"/>
      <c r="O233" s="41"/>
      <c r="P233" s="41"/>
      <c r="Q233" s="51"/>
    </row>
    <row r="234" spans="1:17" x14ac:dyDescent="0.25">
      <c r="A234" s="7"/>
      <c r="B234" s="37"/>
      <c r="C234" s="37"/>
      <c r="D234" s="37"/>
      <c r="E234" s="18"/>
      <c r="G234" s="41"/>
      <c r="H234" s="41"/>
      <c r="I234" s="41"/>
      <c r="J234" s="41"/>
      <c r="K234" s="41"/>
      <c r="L234" s="41"/>
      <c r="M234" s="41"/>
      <c r="N234" s="41"/>
      <c r="O234" s="41"/>
      <c r="P234" s="41"/>
      <c r="Q234" s="51"/>
    </row>
    <row r="235" spans="1:17" x14ac:dyDescent="0.25">
      <c r="A235" s="7"/>
      <c r="B235" s="37"/>
      <c r="C235" s="37"/>
      <c r="D235" s="37"/>
      <c r="E235" s="18"/>
      <c r="G235" s="41"/>
      <c r="H235" s="41"/>
      <c r="I235" s="41"/>
      <c r="J235" s="41"/>
      <c r="K235" s="41"/>
      <c r="L235" s="41"/>
      <c r="M235" s="41"/>
      <c r="N235" s="41"/>
      <c r="O235" s="41"/>
      <c r="P235" s="41"/>
      <c r="Q235" s="51"/>
    </row>
    <row r="236" spans="1:17" x14ac:dyDescent="0.25">
      <c r="A236" s="7"/>
      <c r="B236" s="37"/>
      <c r="C236" s="37"/>
      <c r="D236" s="37"/>
      <c r="E236" s="18"/>
      <c r="G236" s="41"/>
      <c r="H236" s="41"/>
      <c r="I236" s="41"/>
      <c r="J236" s="41"/>
      <c r="K236" s="41"/>
      <c r="L236" s="41"/>
      <c r="M236" s="41"/>
      <c r="N236" s="41"/>
      <c r="O236" s="41"/>
      <c r="P236" s="41"/>
      <c r="Q236" s="51"/>
    </row>
    <row r="237" spans="1:17" x14ac:dyDescent="0.25">
      <c r="A237" s="7"/>
      <c r="B237" s="37"/>
      <c r="C237" s="37"/>
      <c r="D237" s="37"/>
      <c r="E237" s="18"/>
      <c r="G237" s="41"/>
      <c r="H237" s="41"/>
      <c r="I237" s="41"/>
      <c r="J237" s="41"/>
      <c r="K237" s="41"/>
      <c r="L237" s="41"/>
      <c r="M237" s="41"/>
      <c r="N237" s="41"/>
      <c r="O237" s="41"/>
      <c r="P237" s="41"/>
      <c r="Q237" s="51"/>
    </row>
    <row r="238" spans="1:17" x14ac:dyDescent="0.25">
      <c r="A238" s="7"/>
      <c r="B238" s="37"/>
      <c r="C238" s="37"/>
      <c r="D238" s="37"/>
      <c r="E238" s="18"/>
      <c r="G238" s="41"/>
      <c r="H238" s="41"/>
      <c r="I238" s="41"/>
      <c r="J238" s="41"/>
      <c r="K238" s="41"/>
      <c r="L238" s="41"/>
      <c r="M238" s="41"/>
      <c r="N238" s="41"/>
      <c r="O238" s="41"/>
      <c r="P238" s="41"/>
      <c r="Q238" s="51"/>
    </row>
    <row r="239" spans="1:17" x14ac:dyDescent="0.25">
      <c r="A239" s="7"/>
      <c r="B239" s="37"/>
      <c r="C239" s="37"/>
      <c r="D239" s="37"/>
      <c r="E239" s="18"/>
      <c r="G239" s="41"/>
      <c r="H239" s="41"/>
      <c r="I239" s="41"/>
      <c r="J239" s="41"/>
      <c r="K239" s="41"/>
      <c r="L239" s="41"/>
      <c r="M239" s="41"/>
      <c r="N239" s="41"/>
      <c r="O239" s="41"/>
      <c r="P239" s="41"/>
      <c r="Q239" s="51"/>
    </row>
    <row r="240" spans="1:17" x14ac:dyDescent="0.25">
      <c r="A240" s="7"/>
      <c r="B240" s="37"/>
      <c r="C240" s="37"/>
      <c r="D240" s="37"/>
      <c r="E240" s="18"/>
      <c r="G240" s="41"/>
      <c r="H240" s="41"/>
      <c r="I240" s="41"/>
      <c r="J240" s="41"/>
      <c r="K240" s="41"/>
      <c r="L240" s="41"/>
      <c r="M240" s="41"/>
      <c r="N240" s="41"/>
      <c r="O240" s="41"/>
      <c r="P240" s="41"/>
      <c r="Q240" s="51"/>
    </row>
    <row r="241" spans="1:17" x14ac:dyDescent="0.25">
      <c r="A241" s="7"/>
      <c r="B241" s="37"/>
      <c r="C241" s="37"/>
      <c r="D241" s="37"/>
      <c r="E241" s="18"/>
      <c r="G241" s="41"/>
      <c r="H241" s="41"/>
      <c r="I241" s="41"/>
      <c r="J241" s="41"/>
      <c r="K241" s="41"/>
      <c r="L241" s="41"/>
      <c r="M241" s="41"/>
      <c r="N241" s="41"/>
      <c r="O241" s="41"/>
      <c r="P241" s="41"/>
      <c r="Q241" s="51"/>
    </row>
    <row r="242" spans="1:17" x14ac:dyDescent="0.25">
      <c r="A242" s="7"/>
      <c r="B242" s="37"/>
      <c r="C242" s="37"/>
      <c r="D242" s="37"/>
      <c r="E242" s="18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51"/>
    </row>
    <row r="243" spans="1:17" x14ac:dyDescent="0.25">
      <c r="A243" s="7"/>
      <c r="B243" s="37"/>
      <c r="C243" s="37"/>
      <c r="D243" s="37"/>
      <c r="E243" s="18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51"/>
    </row>
    <row r="244" spans="1:17" x14ac:dyDescent="0.25">
      <c r="A244" s="7"/>
      <c r="B244" s="37"/>
      <c r="C244" s="37"/>
      <c r="D244" s="37"/>
      <c r="E244" s="18"/>
      <c r="G244" s="41"/>
      <c r="H244" s="41"/>
      <c r="I244" s="41"/>
      <c r="J244" s="41"/>
      <c r="K244" s="41"/>
      <c r="L244" s="41"/>
      <c r="M244" s="41"/>
      <c r="N244" s="41"/>
      <c r="O244" s="41"/>
      <c r="P244" s="41"/>
      <c r="Q244" s="51"/>
    </row>
    <row r="245" spans="1:17" x14ac:dyDescent="0.25">
      <c r="A245" s="7"/>
      <c r="B245" s="37"/>
      <c r="C245" s="37"/>
      <c r="D245" s="37"/>
      <c r="E245" s="18"/>
      <c r="G245" s="41"/>
      <c r="H245" s="41"/>
      <c r="I245" s="41"/>
      <c r="J245" s="41"/>
      <c r="K245" s="41"/>
      <c r="L245" s="41"/>
      <c r="M245" s="41"/>
      <c r="N245" s="41"/>
      <c r="O245" s="41"/>
      <c r="P245" s="41"/>
      <c r="Q245" s="51"/>
    </row>
    <row r="246" spans="1:17" x14ac:dyDescent="0.25">
      <c r="A246" s="7"/>
      <c r="B246" s="37"/>
      <c r="C246" s="37"/>
      <c r="D246" s="37"/>
      <c r="E246" s="18"/>
      <c r="G246" s="41"/>
      <c r="H246" s="41"/>
      <c r="I246" s="41"/>
      <c r="J246" s="41"/>
      <c r="K246" s="41"/>
      <c r="L246" s="41"/>
      <c r="M246" s="41"/>
      <c r="N246" s="41"/>
      <c r="O246" s="41"/>
      <c r="P246" s="41"/>
      <c r="Q246" s="51"/>
    </row>
    <row r="247" spans="1:17" x14ac:dyDescent="0.25">
      <c r="A247" s="7"/>
      <c r="B247" s="37"/>
      <c r="C247" s="37"/>
      <c r="D247" s="37"/>
      <c r="E247" s="18"/>
      <c r="G247" s="41"/>
      <c r="H247" s="41"/>
      <c r="I247" s="41"/>
      <c r="J247" s="41"/>
      <c r="K247" s="41"/>
      <c r="L247" s="41"/>
      <c r="M247" s="41"/>
      <c r="N247" s="41"/>
      <c r="O247" s="41"/>
      <c r="P247" s="41"/>
      <c r="Q247" s="51"/>
    </row>
    <row r="248" spans="1:17" x14ac:dyDescent="0.25">
      <c r="A248" s="7"/>
      <c r="B248" s="37"/>
      <c r="C248" s="37"/>
      <c r="D248" s="37"/>
      <c r="E248" s="18"/>
      <c r="G248" s="41"/>
      <c r="H248" s="41"/>
      <c r="I248" s="41"/>
      <c r="J248" s="41"/>
      <c r="K248" s="41"/>
      <c r="L248" s="41"/>
      <c r="M248" s="41"/>
      <c r="N248" s="41"/>
      <c r="O248" s="41"/>
      <c r="P248" s="41"/>
      <c r="Q248" s="51"/>
    </row>
    <row r="249" spans="1:17" x14ac:dyDescent="0.25">
      <c r="A249" s="7"/>
      <c r="B249" s="37"/>
      <c r="C249" s="37"/>
      <c r="D249" s="37"/>
      <c r="E249" s="18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51"/>
    </row>
    <row r="250" spans="1:17" x14ac:dyDescent="0.25">
      <c r="A250" s="7"/>
      <c r="B250" s="37"/>
      <c r="C250" s="37"/>
      <c r="D250" s="37"/>
      <c r="E250" s="18"/>
      <c r="G250" s="41"/>
      <c r="H250" s="41"/>
      <c r="I250" s="41"/>
      <c r="J250" s="41"/>
      <c r="K250" s="41"/>
      <c r="L250" s="41"/>
      <c r="M250" s="41"/>
      <c r="N250" s="41"/>
      <c r="O250" s="41"/>
      <c r="P250" s="41"/>
      <c r="Q250" s="51"/>
    </row>
    <row r="251" spans="1:17" x14ac:dyDescent="0.25">
      <c r="A251" s="7"/>
      <c r="B251" s="37"/>
      <c r="C251" s="37"/>
      <c r="D251" s="37"/>
      <c r="E251" s="18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51"/>
    </row>
    <row r="252" spans="1:17" x14ac:dyDescent="0.25">
      <c r="A252" s="7"/>
      <c r="B252" s="37"/>
      <c r="C252" s="37"/>
      <c r="D252" s="37"/>
      <c r="E252" s="18"/>
      <c r="G252" s="41"/>
      <c r="H252" s="41"/>
      <c r="I252" s="41"/>
      <c r="J252" s="41"/>
      <c r="K252" s="41"/>
      <c r="L252" s="41"/>
      <c r="M252" s="41"/>
      <c r="N252" s="41"/>
      <c r="O252" s="41"/>
      <c r="P252" s="41"/>
      <c r="Q252" s="51"/>
    </row>
    <row r="253" spans="1:17" x14ac:dyDescent="0.25">
      <c r="A253" s="7"/>
      <c r="B253" s="37"/>
      <c r="C253" s="37"/>
      <c r="D253" s="37"/>
      <c r="E253" s="18"/>
      <c r="G253" s="41"/>
      <c r="H253" s="41"/>
      <c r="I253" s="41"/>
      <c r="J253" s="41"/>
      <c r="K253" s="41"/>
      <c r="L253" s="41"/>
      <c r="M253" s="41"/>
      <c r="N253" s="41"/>
      <c r="O253" s="41"/>
      <c r="P253" s="41"/>
      <c r="Q253" s="51"/>
    </row>
    <row r="254" spans="1:17" x14ac:dyDescent="0.25">
      <c r="A254" s="7"/>
      <c r="B254" s="37"/>
      <c r="C254" s="37"/>
      <c r="D254" s="37"/>
      <c r="E254" s="18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51"/>
    </row>
    <row r="255" spans="1:17" x14ac:dyDescent="0.25">
      <c r="A255" s="7"/>
      <c r="B255" s="37"/>
      <c r="C255" s="37"/>
      <c r="D255" s="37"/>
      <c r="E255" s="18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51"/>
    </row>
    <row r="256" spans="1:17" x14ac:dyDescent="0.25">
      <c r="A256" s="7"/>
      <c r="B256" s="37"/>
      <c r="C256" s="37"/>
      <c r="D256" s="37"/>
      <c r="E256" s="18"/>
      <c r="G256" s="41"/>
      <c r="H256" s="41"/>
      <c r="I256" s="41"/>
      <c r="J256" s="41"/>
      <c r="K256" s="41"/>
      <c r="L256" s="41"/>
      <c r="M256" s="41"/>
      <c r="N256" s="41"/>
      <c r="O256" s="41"/>
      <c r="P256" s="41"/>
      <c r="Q256" s="51"/>
    </row>
    <row r="257" spans="1:17" x14ac:dyDescent="0.25">
      <c r="A257" s="7"/>
      <c r="B257" s="37"/>
      <c r="C257" s="37"/>
      <c r="D257" s="37"/>
      <c r="E257" s="18"/>
      <c r="G257" s="41"/>
      <c r="H257" s="41"/>
      <c r="I257" s="41"/>
      <c r="J257" s="41"/>
      <c r="K257" s="41"/>
      <c r="L257" s="41"/>
      <c r="M257" s="41"/>
      <c r="N257" s="41"/>
      <c r="O257" s="41"/>
      <c r="P257" s="41"/>
      <c r="Q257" s="51"/>
    </row>
    <row r="258" spans="1:17" x14ac:dyDescent="0.25">
      <c r="A258" s="7"/>
      <c r="B258" s="37"/>
      <c r="C258" s="37"/>
      <c r="D258" s="37"/>
      <c r="E258" s="18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51"/>
    </row>
    <row r="259" spans="1:17" x14ac:dyDescent="0.25">
      <c r="A259" s="7"/>
      <c r="B259" s="37"/>
      <c r="C259" s="37"/>
      <c r="D259" s="37"/>
      <c r="E259" s="18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51"/>
    </row>
    <row r="260" spans="1:17" x14ac:dyDescent="0.25">
      <c r="A260" s="7"/>
      <c r="B260" s="37"/>
      <c r="C260" s="37"/>
      <c r="D260" s="37"/>
      <c r="E260" s="18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51"/>
    </row>
    <row r="261" spans="1:17" x14ac:dyDescent="0.25">
      <c r="A261" s="7"/>
      <c r="B261" s="37"/>
      <c r="C261" s="37"/>
      <c r="D261" s="37"/>
      <c r="E261" s="18"/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51"/>
    </row>
    <row r="262" spans="1:17" x14ac:dyDescent="0.25">
      <c r="A262" s="7"/>
      <c r="B262" s="37"/>
      <c r="C262" s="37"/>
      <c r="D262" s="37"/>
      <c r="E262" s="18"/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51"/>
    </row>
    <row r="263" spans="1:17" x14ac:dyDescent="0.25">
      <c r="A263" s="7"/>
      <c r="B263" s="37"/>
      <c r="C263" s="37"/>
      <c r="D263" s="37"/>
      <c r="E263" s="18"/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51"/>
    </row>
    <row r="264" spans="1:17" x14ac:dyDescent="0.25">
      <c r="A264" s="7"/>
      <c r="B264" s="37"/>
      <c r="C264" s="37"/>
      <c r="D264" s="37"/>
      <c r="E264" s="18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51"/>
    </row>
    <row r="265" spans="1:17" x14ac:dyDescent="0.25">
      <c r="A265" s="7"/>
      <c r="B265" s="15"/>
      <c r="C265" s="15"/>
      <c r="D265" s="15"/>
      <c r="E265" s="11"/>
      <c r="F265" s="41"/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51"/>
    </row>
    <row r="266" spans="1:17" x14ac:dyDescent="0.25">
      <c r="A266" s="7"/>
      <c r="B266" s="15"/>
      <c r="C266" s="15"/>
      <c r="D266" s="15"/>
      <c r="E266" s="11"/>
      <c r="F266" s="41"/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51"/>
    </row>
    <row r="267" spans="1:17" x14ac:dyDescent="0.25">
      <c r="A267" s="7"/>
      <c r="B267" s="15"/>
      <c r="C267" s="15"/>
      <c r="D267" s="15"/>
      <c r="E267" s="11"/>
      <c r="F267" s="41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51"/>
    </row>
    <row r="268" spans="1:17" x14ac:dyDescent="0.25">
      <c r="A268" s="7"/>
      <c r="B268" s="15"/>
      <c r="C268" s="15"/>
      <c r="D268" s="15"/>
      <c r="E268" s="11"/>
      <c r="F268" s="41"/>
      <c r="G268" s="41"/>
      <c r="H268" s="41"/>
      <c r="I268" s="41"/>
      <c r="J268" s="41"/>
      <c r="K268" s="41"/>
      <c r="L268" s="41"/>
      <c r="M268" s="41"/>
      <c r="N268" s="41"/>
      <c r="O268" s="41"/>
      <c r="P268" s="41"/>
      <c r="Q268" s="51"/>
    </row>
    <row r="269" spans="1:17" x14ac:dyDescent="0.25">
      <c r="A269" s="7"/>
      <c r="B269" s="15"/>
      <c r="C269" s="15"/>
      <c r="D269" s="15"/>
      <c r="E269" s="11"/>
      <c r="F269" s="41"/>
      <c r="G269" s="41"/>
      <c r="H269" s="41"/>
      <c r="I269" s="41"/>
      <c r="J269" s="41"/>
      <c r="K269" s="41"/>
      <c r="L269" s="41"/>
      <c r="M269" s="41"/>
      <c r="N269" s="41"/>
      <c r="O269" s="41"/>
      <c r="P269" s="41"/>
      <c r="Q269" s="51"/>
    </row>
    <row r="270" spans="1:17" x14ac:dyDescent="0.25">
      <c r="A270" s="7"/>
      <c r="B270" s="15"/>
      <c r="C270" s="15"/>
      <c r="D270" s="15"/>
      <c r="E270" s="11"/>
      <c r="F270" s="41"/>
      <c r="G270" s="41"/>
      <c r="H270" s="41"/>
      <c r="I270" s="41"/>
      <c r="J270" s="41"/>
      <c r="K270" s="41"/>
      <c r="L270" s="41"/>
      <c r="M270" s="41"/>
      <c r="N270" s="41"/>
      <c r="O270" s="41"/>
      <c r="P270" s="41"/>
      <c r="Q270" s="51"/>
    </row>
    <row r="271" spans="1:17" x14ac:dyDescent="0.25">
      <c r="A271" s="7"/>
      <c r="B271" s="15"/>
      <c r="C271" s="15"/>
      <c r="D271" s="15"/>
      <c r="E271" s="11"/>
      <c r="F271" s="41"/>
      <c r="G271" s="41"/>
      <c r="H271" s="41"/>
      <c r="I271" s="41"/>
      <c r="J271" s="41"/>
      <c r="K271" s="41"/>
      <c r="L271" s="41"/>
      <c r="M271" s="41"/>
      <c r="N271" s="41"/>
      <c r="O271" s="41"/>
      <c r="P271" s="41"/>
      <c r="Q271" s="51"/>
    </row>
    <row r="272" spans="1:17" x14ac:dyDescent="0.25">
      <c r="A272" s="7"/>
      <c r="B272" s="15"/>
      <c r="C272" s="15"/>
      <c r="D272" s="15"/>
      <c r="E272" s="11"/>
      <c r="F272" s="41"/>
      <c r="G272" s="41"/>
      <c r="H272" s="41"/>
      <c r="I272" s="41"/>
      <c r="J272" s="41"/>
      <c r="K272" s="41"/>
      <c r="L272" s="41"/>
      <c r="M272" s="41"/>
      <c r="N272" s="41"/>
      <c r="O272" s="41"/>
      <c r="P272" s="41"/>
      <c r="Q272" s="51"/>
    </row>
    <row r="273" spans="1:17" x14ac:dyDescent="0.25">
      <c r="A273" s="7"/>
      <c r="B273" s="15"/>
      <c r="C273" s="15"/>
      <c r="D273" s="15"/>
      <c r="E273" s="11"/>
      <c r="F273" s="41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51"/>
    </row>
    <row r="274" spans="1:17" x14ac:dyDescent="0.25">
      <c r="A274" s="7"/>
      <c r="B274" s="15"/>
      <c r="C274" s="15"/>
      <c r="D274" s="15"/>
      <c r="E274" s="11"/>
      <c r="F274" s="41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51"/>
    </row>
    <row r="275" spans="1:17" x14ac:dyDescent="0.25">
      <c r="A275" s="7"/>
      <c r="B275" s="15"/>
      <c r="C275" s="15"/>
      <c r="D275" s="15"/>
      <c r="E275" s="11"/>
      <c r="F275" s="41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51"/>
    </row>
    <row r="276" spans="1:17" x14ac:dyDescent="0.25">
      <c r="A276" s="7"/>
      <c r="B276" s="15"/>
      <c r="C276" s="15"/>
      <c r="D276" s="15"/>
      <c r="E276" s="11"/>
      <c r="F276" s="41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51"/>
    </row>
    <row r="277" spans="1:17" x14ac:dyDescent="0.25">
      <c r="A277" s="7"/>
      <c r="B277" s="15"/>
      <c r="C277" s="15"/>
      <c r="D277" s="15"/>
      <c r="E277" s="11"/>
      <c r="F277" s="41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51"/>
    </row>
    <row r="278" spans="1:17" x14ac:dyDescent="0.25">
      <c r="A278" s="7"/>
      <c r="B278" s="15"/>
      <c r="C278" s="15"/>
      <c r="D278" s="15"/>
      <c r="E278" s="11"/>
      <c r="F278" s="41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51"/>
    </row>
    <row r="279" spans="1:17" x14ac:dyDescent="0.25">
      <c r="A279" s="7"/>
      <c r="B279" s="15"/>
      <c r="C279" s="15"/>
      <c r="D279" s="15"/>
      <c r="E279" s="11"/>
      <c r="F279" s="41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51"/>
    </row>
    <row r="280" spans="1:17" x14ac:dyDescent="0.25">
      <c r="A280" s="7"/>
      <c r="B280" s="15"/>
      <c r="C280" s="15"/>
      <c r="D280" s="15"/>
      <c r="E280" s="11"/>
      <c r="F280" s="41"/>
      <c r="G280" s="41"/>
      <c r="H280" s="41"/>
      <c r="I280" s="41"/>
      <c r="J280" s="41"/>
      <c r="K280" s="41"/>
      <c r="L280" s="41"/>
      <c r="M280" s="41"/>
      <c r="N280" s="41"/>
      <c r="O280" s="41"/>
      <c r="P280" s="41"/>
      <c r="Q280" s="51"/>
    </row>
    <row r="281" spans="1:17" x14ac:dyDescent="0.25">
      <c r="A281" s="7"/>
      <c r="B281" s="15"/>
      <c r="C281" s="15"/>
      <c r="D281" s="15"/>
      <c r="E281" s="11"/>
      <c r="F281" s="41"/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51"/>
    </row>
    <row r="282" spans="1:17" x14ac:dyDescent="0.25">
      <c r="A282" s="7"/>
      <c r="B282" s="15"/>
      <c r="C282" s="15"/>
      <c r="D282" s="15"/>
      <c r="E282" s="11"/>
      <c r="F282" s="41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51"/>
    </row>
    <row r="283" spans="1:17" x14ac:dyDescent="0.25">
      <c r="A283" s="7"/>
      <c r="B283" s="15"/>
      <c r="C283" s="15"/>
      <c r="D283" s="15"/>
      <c r="E283" s="11"/>
      <c r="F283" s="41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51"/>
    </row>
    <row r="284" spans="1:17" x14ac:dyDescent="0.25">
      <c r="A284" s="7"/>
      <c r="B284" s="15"/>
      <c r="C284" s="15"/>
      <c r="D284" s="15"/>
      <c r="E284" s="11"/>
      <c r="F284" s="41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51"/>
    </row>
    <row r="285" spans="1:17" x14ac:dyDescent="0.25">
      <c r="A285" s="7"/>
      <c r="B285" s="15"/>
      <c r="C285" s="15"/>
      <c r="D285" s="15"/>
      <c r="E285" s="1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51"/>
    </row>
    <row r="286" spans="1:17" x14ac:dyDescent="0.25">
      <c r="A286" s="7"/>
      <c r="B286" s="15"/>
      <c r="C286" s="15"/>
      <c r="D286" s="15"/>
      <c r="E286" s="11"/>
      <c r="F286" s="41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51"/>
    </row>
    <row r="287" spans="1:17" x14ac:dyDescent="0.25">
      <c r="A287" s="7"/>
      <c r="B287" s="15"/>
      <c r="C287" s="15"/>
      <c r="D287" s="15"/>
      <c r="E287" s="11"/>
      <c r="F287" s="41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51"/>
    </row>
    <row r="288" spans="1:17" x14ac:dyDescent="0.25">
      <c r="A288" s="7"/>
      <c r="B288" s="15"/>
      <c r="C288" s="15"/>
      <c r="D288" s="15"/>
      <c r="E288" s="11"/>
      <c r="F288" s="41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51"/>
    </row>
    <row r="289" spans="1:17" x14ac:dyDescent="0.25">
      <c r="A289" s="7"/>
      <c r="B289" s="15"/>
      <c r="C289" s="15"/>
      <c r="D289" s="15"/>
      <c r="E289" s="11"/>
      <c r="F289" s="41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51"/>
    </row>
    <row r="290" spans="1:17" x14ac:dyDescent="0.25">
      <c r="A290" s="7"/>
      <c r="B290" s="15"/>
      <c r="C290" s="15"/>
      <c r="D290" s="15"/>
      <c r="E290" s="11"/>
      <c r="F290" s="41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51"/>
    </row>
    <row r="291" spans="1:17" x14ac:dyDescent="0.25">
      <c r="A291" s="7"/>
      <c r="B291" s="15"/>
      <c r="C291" s="15"/>
      <c r="D291" s="15"/>
      <c r="E291" s="11"/>
      <c r="F291" s="41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51"/>
    </row>
    <row r="292" spans="1:17" x14ac:dyDescent="0.25">
      <c r="A292" s="7"/>
      <c r="B292" s="15"/>
      <c r="C292" s="15"/>
      <c r="D292" s="15"/>
      <c r="E292" s="11"/>
      <c r="F292" s="41"/>
      <c r="G292" s="41"/>
      <c r="H292" s="41"/>
      <c r="I292" s="41"/>
      <c r="J292" s="41"/>
      <c r="K292" s="41"/>
      <c r="L292" s="41"/>
      <c r="M292" s="41"/>
      <c r="N292" s="41"/>
      <c r="O292" s="41"/>
      <c r="P292" s="41"/>
      <c r="Q292" s="51"/>
    </row>
    <row r="293" spans="1:17" x14ac:dyDescent="0.25">
      <c r="A293" s="7"/>
      <c r="B293" s="15"/>
      <c r="C293" s="15"/>
      <c r="D293" s="15"/>
      <c r="E293" s="11"/>
      <c r="F293" s="41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51"/>
    </row>
    <row r="294" spans="1:17" x14ac:dyDescent="0.25">
      <c r="A294" s="7"/>
      <c r="B294" s="15"/>
      <c r="C294" s="15"/>
      <c r="D294" s="15"/>
      <c r="E294" s="11"/>
      <c r="F294" s="41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51"/>
    </row>
    <row r="295" spans="1:17" x14ac:dyDescent="0.25">
      <c r="A295" s="7"/>
      <c r="B295" s="15"/>
      <c r="C295" s="15"/>
      <c r="D295" s="15"/>
      <c r="E295" s="11"/>
      <c r="F295" s="41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51"/>
    </row>
    <row r="296" spans="1:17" x14ac:dyDescent="0.25">
      <c r="A296" s="7"/>
      <c r="B296" s="15"/>
      <c r="C296" s="15"/>
      <c r="D296" s="15"/>
      <c r="E296" s="1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51"/>
    </row>
    <row r="297" spans="1:17" x14ac:dyDescent="0.25">
      <c r="A297" s="7"/>
      <c r="B297" s="15"/>
      <c r="C297" s="15"/>
      <c r="D297" s="15"/>
      <c r="E297" s="11"/>
      <c r="F297" s="41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51"/>
    </row>
    <row r="298" spans="1:17" x14ac:dyDescent="0.25">
      <c r="A298" s="7"/>
      <c r="B298" s="15"/>
      <c r="C298" s="15"/>
      <c r="D298" s="15"/>
      <c r="E298" s="11"/>
      <c r="F298" s="44"/>
      <c r="G298" s="44"/>
      <c r="H298" s="44"/>
      <c r="I298" s="44"/>
      <c r="J298" s="41"/>
      <c r="K298" s="41"/>
      <c r="L298" s="41"/>
      <c r="M298" s="41"/>
      <c r="N298" s="41"/>
      <c r="O298" s="41"/>
      <c r="P298" s="41"/>
      <c r="Q298" s="51"/>
    </row>
    <row r="299" spans="1:17" x14ac:dyDescent="0.25">
      <c r="A299" s="7"/>
      <c r="B299" s="15"/>
      <c r="C299" s="15"/>
      <c r="D299" s="15"/>
      <c r="E299" s="11"/>
      <c r="F299" s="44"/>
      <c r="G299" s="44"/>
      <c r="H299" s="44"/>
      <c r="I299" s="44"/>
      <c r="J299" s="41"/>
      <c r="K299" s="41"/>
      <c r="L299" s="41"/>
      <c r="M299" s="41"/>
      <c r="N299" s="41"/>
      <c r="O299" s="41"/>
      <c r="P299" s="41"/>
      <c r="Q299" s="51"/>
    </row>
    <row r="300" spans="1:17" x14ac:dyDescent="0.25">
      <c r="A300" s="7"/>
      <c r="B300" s="15"/>
      <c r="C300" s="15"/>
      <c r="D300" s="15"/>
      <c r="E300" s="11"/>
      <c r="F300" s="44"/>
      <c r="G300" s="44"/>
      <c r="H300" s="44"/>
      <c r="I300" s="44"/>
      <c r="J300" s="41"/>
      <c r="K300" s="41"/>
      <c r="L300" s="41"/>
      <c r="M300" s="41"/>
      <c r="N300" s="41"/>
      <c r="O300" s="41"/>
      <c r="P300" s="41"/>
      <c r="Q300" s="51"/>
    </row>
    <row r="301" spans="1:17" x14ac:dyDescent="0.25">
      <c r="A301" s="7"/>
      <c r="B301" s="15"/>
      <c r="C301" s="15"/>
      <c r="D301" s="15"/>
      <c r="E301" s="11"/>
      <c r="F301" s="44"/>
      <c r="G301" s="44"/>
      <c r="H301" s="44"/>
      <c r="I301" s="44"/>
      <c r="J301" s="41"/>
      <c r="K301" s="41"/>
      <c r="L301" s="41"/>
      <c r="M301" s="41"/>
      <c r="N301" s="41"/>
      <c r="O301" s="41"/>
      <c r="P301" s="41"/>
      <c r="Q301" s="51"/>
    </row>
    <row r="302" spans="1:17" x14ac:dyDescent="0.25">
      <c r="A302" s="7"/>
      <c r="B302" s="15"/>
      <c r="C302" s="15"/>
      <c r="D302" s="15"/>
      <c r="E302" s="11"/>
      <c r="F302" s="44"/>
      <c r="G302" s="44"/>
      <c r="H302" s="44"/>
      <c r="I302" s="44"/>
      <c r="J302" s="41"/>
      <c r="K302" s="41"/>
      <c r="L302" s="41"/>
      <c r="M302" s="41"/>
      <c r="N302" s="41"/>
      <c r="O302" s="41"/>
      <c r="P302" s="41"/>
      <c r="Q302" s="51"/>
    </row>
    <row r="303" spans="1:17" x14ac:dyDescent="0.25">
      <c r="A303" s="7"/>
      <c r="B303" s="15"/>
      <c r="C303" s="15"/>
      <c r="D303" s="15"/>
      <c r="E303" s="11"/>
      <c r="F303" s="44"/>
      <c r="G303" s="44"/>
      <c r="H303" s="44"/>
      <c r="I303" s="44"/>
      <c r="J303" s="41"/>
      <c r="K303" s="41"/>
      <c r="L303" s="41"/>
      <c r="M303" s="41"/>
      <c r="N303" s="41"/>
      <c r="O303" s="41"/>
      <c r="P303" s="41"/>
      <c r="Q303" s="51"/>
    </row>
    <row r="304" spans="1:17" x14ac:dyDescent="0.25">
      <c r="A304" s="7"/>
      <c r="B304" s="15"/>
      <c r="C304" s="15"/>
      <c r="D304" s="15"/>
      <c r="E304" s="11"/>
      <c r="F304" s="44"/>
      <c r="G304" s="44"/>
      <c r="H304" s="44"/>
      <c r="I304" s="44"/>
      <c r="J304" s="41"/>
      <c r="K304" s="41"/>
      <c r="L304" s="41"/>
      <c r="M304" s="41"/>
      <c r="N304" s="41"/>
      <c r="O304" s="41"/>
      <c r="P304" s="41"/>
      <c r="Q304" s="51"/>
    </row>
    <row r="305" spans="1:17" x14ac:dyDescent="0.25">
      <c r="A305" s="7"/>
      <c r="B305" s="15"/>
      <c r="C305" s="15"/>
      <c r="D305" s="15"/>
      <c r="E305" s="11"/>
      <c r="F305" s="44"/>
      <c r="G305" s="44"/>
      <c r="H305" s="44"/>
      <c r="I305" s="44"/>
      <c r="J305" s="41"/>
      <c r="K305" s="41"/>
      <c r="L305" s="41"/>
      <c r="M305" s="41"/>
      <c r="N305" s="41"/>
      <c r="O305" s="41"/>
      <c r="P305" s="41"/>
      <c r="Q305" s="51"/>
    </row>
    <row r="306" spans="1:17" x14ac:dyDescent="0.25">
      <c r="A306" s="7"/>
      <c r="B306" s="15"/>
      <c r="C306" s="15"/>
      <c r="D306" s="15"/>
      <c r="E306" s="11"/>
      <c r="F306" s="44"/>
      <c r="G306" s="44"/>
      <c r="H306" s="44"/>
      <c r="I306" s="44"/>
      <c r="J306" s="41"/>
      <c r="K306" s="41"/>
      <c r="L306" s="41"/>
      <c r="M306" s="41"/>
      <c r="N306" s="41"/>
      <c r="O306" s="41"/>
      <c r="P306" s="41"/>
      <c r="Q306" s="51"/>
    </row>
    <row r="307" spans="1:17" x14ac:dyDescent="0.25">
      <c r="A307" s="7"/>
      <c r="B307" s="15"/>
      <c r="C307" s="15"/>
      <c r="D307" s="15"/>
      <c r="E307" s="11"/>
      <c r="F307" s="44"/>
      <c r="G307" s="44"/>
      <c r="H307" s="44"/>
      <c r="I307" s="44"/>
      <c r="J307" s="41"/>
      <c r="K307" s="41"/>
      <c r="L307" s="41"/>
      <c r="M307" s="41"/>
      <c r="N307" s="41"/>
      <c r="O307" s="41"/>
      <c r="P307" s="41"/>
      <c r="Q307" s="51"/>
    </row>
    <row r="308" spans="1:17" x14ac:dyDescent="0.25">
      <c r="A308" s="7"/>
      <c r="B308" s="15"/>
      <c r="C308" s="15"/>
      <c r="D308" s="15"/>
      <c r="E308" s="11"/>
      <c r="F308" s="44"/>
      <c r="G308" s="44"/>
      <c r="H308" s="44"/>
      <c r="I308" s="44"/>
      <c r="J308" s="41"/>
      <c r="K308" s="41"/>
      <c r="L308" s="41"/>
      <c r="M308" s="41"/>
      <c r="N308" s="41"/>
      <c r="O308" s="41"/>
      <c r="P308" s="41"/>
      <c r="Q308" s="51"/>
    </row>
    <row r="309" spans="1:17" x14ac:dyDescent="0.25">
      <c r="A309" s="7"/>
      <c r="B309" s="15"/>
      <c r="C309" s="15"/>
      <c r="D309" s="15"/>
      <c r="E309" s="11"/>
      <c r="F309" s="44"/>
      <c r="G309" s="44"/>
      <c r="H309" s="44"/>
      <c r="I309" s="44"/>
      <c r="J309" s="41"/>
      <c r="K309" s="41"/>
      <c r="L309" s="41"/>
      <c r="M309" s="41"/>
      <c r="N309" s="41"/>
      <c r="O309" s="41"/>
      <c r="P309" s="41"/>
      <c r="Q309" s="51"/>
    </row>
    <row r="310" spans="1:17" x14ac:dyDescent="0.25">
      <c r="A310" s="7"/>
      <c r="B310" s="15"/>
      <c r="C310" s="15"/>
      <c r="D310" s="15"/>
      <c r="E310" s="11"/>
      <c r="F310" s="44"/>
      <c r="G310" s="44"/>
      <c r="H310" s="44"/>
      <c r="I310" s="44"/>
      <c r="J310" s="41"/>
      <c r="K310" s="41"/>
      <c r="L310" s="41"/>
      <c r="M310" s="41"/>
      <c r="N310" s="41"/>
      <c r="O310" s="41"/>
      <c r="P310" s="41"/>
      <c r="Q310" s="51"/>
    </row>
    <row r="311" spans="1:17" x14ac:dyDescent="0.25">
      <c r="A311" s="7"/>
      <c r="B311" s="15"/>
      <c r="C311" s="15"/>
      <c r="D311" s="15"/>
      <c r="E311" s="11"/>
      <c r="F311" s="44"/>
      <c r="G311" s="44"/>
      <c r="H311" s="44"/>
      <c r="I311" s="44"/>
      <c r="J311" s="41"/>
      <c r="K311" s="41"/>
      <c r="L311" s="41"/>
      <c r="M311" s="41"/>
      <c r="N311" s="41"/>
      <c r="O311" s="41"/>
      <c r="P311" s="41"/>
      <c r="Q311" s="51"/>
    </row>
    <row r="312" spans="1:17" x14ac:dyDescent="0.25">
      <c r="A312" s="7"/>
      <c r="B312" s="15"/>
      <c r="C312" s="15"/>
      <c r="D312" s="15"/>
      <c r="E312" s="11"/>
      <c r="F312" s="44"/>
      <c r="G312" s="44"/>
      <c r="H312" s="44"/>
      <c r="I312" s="44"/>
      <c r="J312" s="41"/>
      <c r="K312" s="41"/>
      <c r="L312" s="41"/>
      <c r="M312" s="41"/>
      <c r="N312" s="41"/>
      <c r="O312" s="41"/>
      <c r="P312" s="41"/>
      <c r="Q312" s="51"/>
    </row>
    <row r="313" spans="1:17" x14ac:dyDescent="0.25">
      <c r="A313" s="7"/>
      <c r="B313" s="15"/>
      <c r="C313" s="15"/>
      <c r="D313" s="15"/>
      <c r="E313" s="11"/>
      <c r="F313" s="44"/>
      <c r="G313" s="44"/>
      <c r="H313" s="44"/>
      <c r="I313" s="44"/>
      <c r="J313" s="41"/>
      <c r="K313" s="41"/>
      <c r="L313" s="41"/>
      <c r="M313" s="41"/>
      <c r="N313" s="41"/>
      <c r="O313" s="41"/>
      <c r="P313" s="41"/>
      <c r="Q313" s="51"/>
    </row>
    <row r="314" spans="1:17" x14ac:dyDescent="0.25">
      <c r="A314" s="7"/>
      <c r="B314" s="15"/>
      <c r="C314" s="15"/>
      <c r="D314" s="15"/>
      <c r="E314" s="11"/>
      <c r="F314" s="44"/>
      <c r="G314" s="44"/>
      <c r="H314" s="44"/>
      <c r="I314" s="44"/>
      <c r="J314" s="41"/>
      <c r="K314" s="41"/>
      <c r="L314" s="41"/>
      <c r="M314" s="41"/>
      <c r="N314" s="41"/>
      <c r="O314" s="41"/>
      <c r="P314" s="41"/>
      <c r="Q314" s="51"/>
    </row>
    <row r="315" spans="1:17" x14ac:dyDescent="0.25">
      <c r="A315" s="7"/>
      <c r="B315" s="15"/>
      <c r="C315" s="15"/>
      <c r="D315" s="15"/>
      <c r="E315" s="11"/>
      <c r="F315" s="44"/>
      <c r="G315" s="44"/>
      <c r="H315" s="44"/>
      <c r="I315" s="44"/>
      <c r="J315" s="41"/>
      <c r="K315" s="41"/>
      <c r="L315" s="41"/>
      <c r="M315" s="41"/>
      <c r="N315" s="41"/>
      <c r="O315" s="41"/>
      <c r="P315" s="41"/>
      <c r="Q315" s="51"/>
    </row>
    <row r="316" spans="1:17" x14ac:dyDescent="0.25">
      <c r="A316" s="7"/>
      <c r="B316" s="15"/>
      <c r="C316" s="15"/>
      <c r="D316" s="15"/>
      <c r="E316" s="11"/>
      <c r="F316" s="44"/>
      <c r="G316" s="44"/>
      <c r="H316" s="44"/>
      <c r="I316" s="44"/>
      <c r="J316" s="41"/>
      <c r="K316" s="41"/>
      <c r="L316" s="41"/>
      <c r="M316" s="41"/>
      <c r="N316" s="41"/>
      <c r="O316" s="41"/>
      <c r="P316" s="41"/>
      <c r="Q316" s="51"/>
    </row>
    <row r="317" spans="1:17" x14ac:dyDescent="0.25">
      <c r="A317" s="7"/>
      <c r="B317" s="15"/>
      <c r="C317" s="15"/>
      <c r="D317" s="15"/>
      <c r="E317" s="11"/>
      <c r="F317" s="44"/>
      <c r="G317" s="44"/>
      <c r="H317" s="44"/>
      <c r="I317" s="44"/>
      <c r="J317" s="41"/>
      <c r="K317" s="41"/>
      <c r="L317" s="41"/>
      <c r="M317" s="41"/>
      <c r="N317" s="41"/>
      <c r="O317" s="41"/>
      <c r="P317" s="41"/>
      <c r="Q317" s="51"/>
    </row>
    <row r="318" spans="1:17" x14ac:dyDescent="0.25">
      <c r="A318" s="7"/>
      <c r="B318" s="15"/>
      <c r="C318" s="15"/>
      <c r="D318" s="15"/>
      <c r="E318" s="11"/>
      <c r="F318" s="44"/>
      <c r="G318" s="44"/>
      <c r="H318" s="44"/>
      <c r="I318" s="44"/>
      <c r="J318" s="41"/>
      <c r="K318" s="41"/>
      <c r="L318" s="41"/>
      <c r="M318" s="41"/>
      <c r="N318" s="41"/>
      <c r="O318" s="41"/>
      <c r="P318" s="41"/>
      <c r="Q318" s="51"/>
    </row>
    <row r="319" spans="1:17" x14ac:dyDescent="0.25">
      <c r="A319" s="7"/>
      <c r="B319" s="15"/>
      <c r="C319" s="15"/>
      <c r="D319" s="15"/>
      <c r="E319" s="11"/>
      <c r="F319" s="44"/>
      <c r="G319" s="44"/>
      <c r="H319" s="44"/>
      <c r="I319" s="44"/>
      <c r="J319" s="41"/>
      <c r="K319" s="41"/>
      <c r="L319" s="41"/>
      <c r="M319" s="41"/>
      <c r="N319" s="41"/>
      <c r="O319" s="41"/>
      <c r="P319" s="41"/>
      <c r="Q319" s="51"/>
    </row>
    <row r="320" spans="1:17" x14ac:dyDescent="0.25">
      <c r="A320" s="7"/>
      <c r="B320" s="15"/>
      <c r="C320" s="15"/>
      <c r="D320" s="15"/>
      <c r="E320" s="11"/>
      <c r="F320" s="44"/>
      <c r="G320" s="44"/>
      <c r="H320" s="44"/>
      <c r="I320" s="44"/>
      <c r="J320" s="41"/>
      <c r="K320" s="41"/>
      <c r="L320" s="41"/>
      <c r="M320" s="41"/>
      <c r="N320" s="41"/>
      <c r="O320" s="41"/>
      <c r="P320" s="41"/>
      <c r="Q320" s="51"/>
    </row>
    <row r="321" spans="1:17" x14ac:dyDescent="0.25">
      <c r="A321" s="7"/>
      <c r="B321" s="15"/>
      <c r="C321" s="15"/>
      <c r="D321" s="15"/>
      <c r="E321" s="11"/>
      <c r="F321" s="44"/>
      <c r="G321" s="44"/>
      <c r="H321" s="44"/>
      <c r="I321" s="44"/>
      <c r="J321" s="41"/>
      <c r="K321" s="41"/>
      <c r="L321" s="41"/>
      <c r="M321" s="41"/>
      <c r="N321" s="41"/>
      <c r="O321" s="41"/>
      <c r="P321" s="41"/>
      <c r="Q321" s="51"/>
    </row>
    <row r="322" spans="1:17" x14ac:dyDescent="0.25">
      <c r="A322" s="7"/>
      <c r="B322" s="15"/>
      <c r="C322" s="15"/>
      <c r="D322" s="15"/>
      <c r="E322" s="11"/>
      <c r="F322" s="44"/>
      <c r="G322" s="44"/>
      <c r="H322" s="44"/>
      <c r="I322" s="44"/>
      <c r="J322" s="41"/>
      <c r="K322" s="41"/>
      <c r="L322" s="41"/>
      <c r="M322" s="41"/>
      <c r="N322" s="41"/>
      <c r="O322" s="41"/>
      <c r="P322" s="41"/>
      <c r="Q322" s="51"/>
    </row>
    <row r="323" spans="1:17" x14ac:dyDescent="0.25">
      <c r="A323" s="7"/>
      <c r="B323" s="15"/>
      <c r="C323" s="15"/>
      <c r="D323" s="15"/>
      <c r="E323" s="11"/>
      <c r="F323" s="44"/>
      <c r="G323" s="44"/>
      <c r="H323" s="44"/>
      <c r="I323" s="44"/>
      <c r="J323" s="41"/>
      <c r="K323" s="41"/>
      <c r="L323" s="41"/>
      <c r="M323" s="41"/>
      <c r="N323" s="41"/>
      <c r="O323" s="41"/>
      <c r="P323" s="41"/>
      <c r="Q323" s="51"/>
    </row>
    <row r="324" spans="1:17" x14ac:dyDescent="0.25">
      <c r="A324" s="7"/>
      <c r="B324" s="15"/>
      <c r="C324" s="15"/>
      <c r="D324" s="15"/>
      <c r="E324" s="11"/>
      <c r="F324" s="44"/>
      <c r="G324" s="44"/>
      <c r="H324" s="44"/>
      <c r="I324" s="44"/>
      <c r="J324" s="41"/>
      <c r="K324" s="41"/>
      <c r="L324" s="41"/>
      <c r="M324" s="41"/>
      <c r="N324" s="41"/>
      <c r="O324" s="41"/>
      <c r="P324" s="41"/>
      <c r="Q324" s="51"/>
    </row>
    <row r="325" spans="1:17" x14ac:dyDescent="0.25">
      <c r="A325" s="7"/>
      <c r="B325" s="15"/>
      <c r="C325" s="15"/>
      <c r="D325" s="15"/>
      <c r="E325" s="11"/>
      <c r="F325" s="44"/>
      <c r="G325" s="44"/>
      <c r="H325" s="44"/>
      <c r="I325" s="44"/>
      <c r="J325" s="41"/>
      <c r="K325" s="41"/>
      <c r="L325" s="41"/>
      <c r="M325" s="41"/>
      <c r="N325" s="41"/>
      <c r="O325" s="41"/>
      <c r="P325" s="41"/>
      <c r="Q325" s="51"/>
    </row>
    <row r="326" spans="1:17" x14ac:dyDescent="0.25">
      <c r="A326" s="7"/>
      <c r="B326" s="15"/>
      <c r="C326" s="15"/>
      <c r="D326" s="15"/>
      <c r="E326" s="11"/>
      <c r="F326" s="44"/>
      <c r="G326" s="44"/>
      <c r="H326" s="44"/>
      <c r="I326" s="44"/>
      <c r="J326" s="41"/>
      <c r="K326" s="41"/>
      <c r="L326" s="41"/>
      <c r="M326" s="41"/>
      <c r="N326" s="41"/>
      <c r="O326" s="41"/>
      <c r="P326" s="41"/>
      <c r="Q326" s="51"/>
    </row>
    <row r="327" spans="1:17" x14ac:dyDescent="0.25">
      <c r="A327" s="7"/>
      <c r="B327" s="15"/>
      <c r="C327" s="15"/>
      <c r="D327" s="15"/>
      <c r="E327" s="11"/>
      <c r="F327" s="44"/>
      <c r="G327" s="44"/>
      <c r="H327" s="44"/>
      <c r="I327" s="44"/>
      <c r="J327" s="41"/>
      <c r="K327" s="41"/>
      <c r="L327" s="41"/>
      <c r="M327" s="41"/>
      <c r="N327" s="41"/>
      <c r="O327" s="41"/>
      <c r="P327" s="41"/>
      <c r="Q327" s="51"/>
    </row>
    <row r="328" spans="1:17" x14ac:dyDescent="0.25">
      <c r="A328" s="7"/>
      <c r="B328" s="15"/>
      <c r="C328" s="15"/>
      <c r="D328" s="15"/>
      <c r="E328" s="11"/>
      <c r="F328" s="44"/>
      <c r="G328" s="44"/>
      <c r="H328" s="44"/>
      <c r="I328" s="44"/>
      <c r="J328" s="41"/>
      <c r="K328" s="41"/>
      <c r="L328" s="41"/>
      <c r="M328" s="41"/>
      <c r="N328" s="41"/>
      <c r="O328" s="41"/>
      <c r="P328" s="41"/>
      <c r="Q328" s="51"/>
    </row>
    <row r="329" spans="1:17" x14ac:dyDescent="0.25">
      <c r="A329" s="7"/>
      <c r="B329" s="15"/>
      <c r="C329" s="15"/>
      <c r="D329" s="15"/>
      <c r="E329" s="11"/>
      <c r="F329" s="44"/>
      <c r="G329" s="44"/>
      <c r="H329" s="44"/>
      <c r="I329" s="44"/>
      <c r="J329" s="41"/>
      <c r="K329" s="41"/>
      <c r="L329" s="41"/>
      <c r="M329" s="41"/>
      <c r="N329" s="41"/>
      <c r="O329" s="41"/>
      <c r="P329" s="41"/>
      <c r="Q329" s="51"/>
    </row>
    <row r="330" spans="1:17" x14ac:dyDescent="0.25">
      <c r="A330" s="7"/>
      <c r="B330" s="15"/>
      <c r="C330" s="15"/>
      <c r="D330" s="15"/>
      <c r="E330" s="11"/>
      <c r="F330" s="44"/>
      <c r="G330" s="44"/>
      <c r="H330" s="44"/>
      <c r="I330" s="44"/>
      <c r="J330" s="41"/>
      <c r="K330" s="41"/>
      <c r="L330" s="41"/>
      <c r="M330" s="41"/>
      <c r="N330" s="41"/>
      <c r="O330" s="41"/>
      <c r="P330" s="41"/>
      <c r="Q330" s="51"/>
    </row>
    <row r="331" spans="1:17" x14ac:dyDescent="0.25">
      <c r="A331" s="7"/>
      <c r="B331" s="15"/>
      <c r="C331" s="15"/>
      <c r="D331" s="15"/>
      <c r="E331" s="11"/>
      <c r="F331" s="44"/>
      <c r="G331" s="44"/>
      <c r="H331" s="44"/>
      <c r="I331" s="44"/>
      <c r="J331" s="41"/>
      <c r="K331" s="41"/>
      <c r="L331" s="41"/>
      <c r="M331" s="41"/>
      <c r="N331" s="41"/>
      <c r="O331" s="41"/>
      <c r="P331" s="41"/>
      <c r="Q331" s="51"/>
    </row>
    <row r="332" spans="1:17" x14ac:dyDescent="0.25">
      <c r="A332" s="7"/>
      <c r="B332" s="15"/>
      <c r="C332" s="15"/>
      <c r="D332" s="15"/>
      <c r="E332" s="11"/>
      <c r="F332" s="44"/>
      <c r="G332" s="44"/>
      <c r="H332" s="44"/>
      <c r="I332" s="44"/>
      <c r="J332" s="41"/>
      <c r="K332" s="41"/>
      <c r="L332" s="41"/>
      <c r="M332" s="41"/>
      <c r="N332" s="41"/>
      <c r="O332" s="41"/>
      <c r="P332" s="41"/>
      <c r="Q332" s="51"/>
    </row>
    <row r="333" spans="1:17" x14ac:dyDescent="0.25">
      <c r="A333" s="7"/>
      <c r="B333" s="15"/>
      <c r="C333" s="15"/>
      <c r="D333" s="15"/>
      <c r="E333" s="11"/>
      <c r="F333" s="44"/>
      <c r="G333" s="44"/>
      <c r="H333" s="44"/>
      <c r="I333" s="44"/>
      <c r="J333" s="41"/>
      <c r="K333" s="41"/>
      <c r="L333" s="41"/>
      <c r="M333" s="41"/>
      <c r="N333" s="41"/>
      <c r="O333" s="41"/>
      <c r="P333" s="41"/>
      <c r="Q333" s="51"/>
    </row>
    <row r="334" spans="1:17" x14ac:dyDescent="0.25">
      <c r="A334" s="7"/>
      <c r="B334" s="15"/>
      <c r="C334" s="15"/>
      <c r="D334" s="15"/>
      <c r="E334" s="11"/>
      <c r="F334" s="44"/>
      <c r="G334" s="44"/>
      <c r="H334" s="44"/>
      <c r="I334" s="44"/>
      <c r="J334" s="41"/>
      <c r="K334" s="41"/>
      <c r="L334" s="41"/>
      <c r="M334" s="41"/>
      <c r="N334" s="41"/>
      <c r="O334" s="41"/>
      <c r="P334" s="41"/>
      <c r="Q334" s="51"/>
    </row>
    <row r="335" spans="1:17" x14ac:dyDescent="0.25">
      <c r="A335" s="7"/>
      <c r="B335" s="15"/>
      <c r="C335" s="15"/>
      <c r="D335" s="15"/>
      <c r="E335" s="11"/>
      <c r="F335" s="44"/>
      <c r="G335" s="44"/>
      <c r="H335" s="44"/>
      <c r="I335" s="44"/>
      <c r="J335" s="41"/>
      <c r="K335" s="41"/>
      <c r="L335" s="41"/>
      <c r="M335" s="41"/>
      <c r="N335" s="41"/>
      <c r="O335" s="41"/>
      <c r="P335" s="41"/>
      <c r="Q335" s="51"/>
    </row>
    <row r="336" spans="1:17" x14ac:dyDescent="0.25">
      <c r="A336" s="7"/>
      <c r="B336" s="15"/>
      <c r="C336" s="15"/>
      <c r="D336" s="15"/>
      <c r="E336" s="11"/>
      <c r="F336" s="44"/>
      <c r="G336" s="44"/>
      <c r="H336" s="44"/>
      <c r="I336" s="44"/>
      <c r="J336" s="41"/>
      <c r="K336" s="41"/>
      <c r="L336" s="41"/>
      <c r="M336" s="41"/>
      <c r="N336" s="41"/>
      <c r="O336" s="41"/>
      <c r="P336" s="41"/>
      <c r="Q336" s="51"/>
    </row>
    <row r="337" spans="1:17" x14ac:dyDescent="0.25">
      <c r="A337" s="7"/>
      <c r="B337" s="15"/>
      <c r="C337" s="15"/>
      <c r="D337" s="15"/>
      <c r="E337" s="11"/>
      <c r="F337" s="44"/>
      <c r="G337" s="44"/>
      <c r="H337" s="44"/>
      <c r="I337" s="44"/>
      <c r="J337" s="41"/>
      <c r="K337" s="41"/>
      <c r="L337" s="41"/>
      <c r="M337" s="41"/>
      <c r="N337" s="41"/>
      <c r="O337" s="41"/>
      <c r="P337" s="41"/>
      <c r="Q337" s="51"/>
    </row>
    <row r="338" spans="1:17" x14ac:dyDescent="0.25">
      <c r="A338" s="7"/>
      <c r="B338" s="15"/>
      <c r="C338" s="15"/>
      <c r="D338" s="15"/>
      <c r="E338" s="11"/>
      <c r="F338" s="44"/>
      <c r="G338" s="44"/>
      <c r="H338" s="44"/>
      <c r="I338" s="44"/>
      <c r="J338" s="41"/>
      <c r="K338" s="41"/>
      <c r="L338" s="41"/>
      <c r="M338" s="41"/>
      <c r="N338" s="41"/>
      <c r="O338" s="41"/>
      <c r="P338" s="41"/>
      <c r="Q338" s="51"/>
    </row>
    <row r="339" spans="1:17" x14ac:dyDescent="0.25">
      <c r="A339" s="7"/>
      <c r="B339" s="15"/>
      <c r="C339" s="15"/>
      <c r="D339" s="15"/>
      <c r="E339" s="11"/>
      <c r="F339" s="44"/>
      <c r="G339" s="44"/>
      <c r="H339" s="44"/>
      <c r="I339" s="44"/>
      <c r="J339" s="41"/>
      <c r="K339" s="41"/>
      <c r="L339" s="41"/>
      <c r="M339" s="41"/>
      <c r="N339" s="41"/>
      <c r="O339" s="41"/>
      <c r="P339" s="41"/>
      <c r="Q339" s="51"/>
    </row>
    <row r="340" spans="1:17" x14ac:dyDescent="0.25">
      <c r="A340" s="7"/>
      <c r="B340" s="15"/>
      <c r="C340" s="15"/>
      <c r="D340" s="15"/>
      <c r="E340" s="11"/>
      <c r="F340" s="44"/>
      <c r="G340" s="44"/>
      <c r="H340" s="44"/>
      <c r="I340" s="44"/>
      <c r="J340" s="41"/>
      <c r="K340" s="41"/>
      <c r="L340" s="41"/>
      <c r="M340" s="41"/>
      <c r="N340" s="41"/>
      <c r="O340" s="41"/>
      <c r="P340" s="41"/>
      <c r="Q340" s="51"/>
    </row>
    <row r="341" spans="1:17" x14ac:dyDescent="0.25">
      <c r="A341" s="7"/>
      <c r="B341" s="15"/>
      <c r="C341" s="15"/>
      <c r="D341" s="15"/>
      <c r="E341" s="11"/>
      <c r="F341" s="44"/>
      <c r="G341" s="44"/>
      <c r="H341" s="44"/>
      <c r="I341" s="44"/>
      <c r="J341" s="41"/>
      <c r="K341" s="41"/>
      <c r="L341" s="41"/>
      <c r="M341" s="41"/>
      <c r="N341" s="41"/>
      <c r="O341" s="41"/>
      <c r="P341" s="41"/>
      <c r="Q341" s="51"/>
    </row>
    <row r="342" spans="1:17" x14ac:dyDescent="0.25">
      <c r="A342" s="7"/>
      <c r="B342" s="15"/>
      <c r="C342" s="15"/>
      <c r="D342" s="15"/>
      <c r="E342" s="11"/>
      <c r="F342" s="44"/>
      <c r="G342" s="44"/>
      <c r="H342" s="44"/>
      <c r="I342" s="44"/>
      <c r="J342" s="41"/>
      <c r="K342" s="41"/>
      <c r="L342" s="41"/>
      <c r="M342" s="41"/>
      <c r="N342" s="41"/>
      <c r="O342" s="41"/>
      <c r="P342" s="41"/>
      <c r="Q342" s="51"/>
    </row>
    <row r="343" spans="1:17" x14ac:dyDescent="0.25">
      <c r="A343" s="7"/>
      <c r="B343" s="15"/>
      <c r="C343" s="15"/>
      <c r="D343" s="15"/>
      <c r="E343" s="11"/>
      <c r="F343" s="44"/>
      <c r="G343" s="44"/>
      <c r="H343" s="44"/>
      <c r="I343" s="44"/>
      <c r="J343" s="41"/>
      <c r="K343" s="41"/>
      <c r="L343" s="41"/>
      <c r="M343" s="41"/>
      <c r="N343" s="41"/>
      <c r="O343" s="41"/>
      <c r="P343" s="41"/>
      <c r="Q343" s="51"/>
    </row>
    <row r="344" spans="1:17" x14ac:dyDescent="0.25">
      <c r="A344" s="7"/>
      <c r="B344" s="15"/>
      <c r="C344" s="15"/>
      <c r="D344" s="15"/>
      <c r="E344" s="11"/>
      <c r="F344" s="44"/>
      <c r="G344" s="44"/>
      <c r="H344" s="44"/>
      <c r="I344" s="44"/>
      <c r="J344" s="41"/>
      <c r="K344" s="41"/>
      <c r="L344" s="41"/>
      <c r="M344" s="41"/>
      <c r="N344" s="41"/>
      <c r="O344" s="41"/>
      <c r="P344" s="41"/>
      <c r="Q344" s="51"/>
    </row>
    <row r="345" spans="1:17" x14ac:dyDescent="0.25">
      <c r="A345" s="7"/>
      <c r="B345" s="15"/>
      <c r="C345" s="15"/>
      <c r="D345" s="15"/>
      <c r="E345" s="11"/>
      <c r="F345" s="44"/>
      <c r="G345" s="44"/>
      <c r="H345" s="44"/>
      <c r="I345" s="44"/>
      <c r="J345" s="41"/>
      <c r="K345" s="41"/>
      <c r="L345" s="41"/>
      <c r="M345" s="41"/>
      <c r="N345" s="41"/>
      <c r="O345" s="41"/>
      <c r="P345" s="41"/>
      <c r="Q345" s="51"/>
    </row>
    <row r="346" spans="1:17" x14ac:dyDescent="0.25">
      <c r="A346" s="7"/>
      <c r="B346" s="15"/>
      <c r="C346" s="15"/>
      <c r="D346" s="15"/>
      <c r="E346" s="11"/>
      <c r="F346" s="44"/>
      <c r="G346" s="44"/>
      <c r="H346" s="44"/>
      <c r="I346" s="44"/>
      <c r="J346" s="41"/>
      <c r="K346" s="41"/>
      <c r="L346" s="41"/>
      <c r="M346" s="41"/>
      <c r="N346" s="41"/>
      <c r="O346" s="41"/>
      <c r="P346" s="41"/>
      <c r="Q346" s="51"/>
    </row>
    <row r="347" spans="1:17" x14ac:dyDescent="0.25">
      <c r="A347" s="7"/>
      <c r="B347" s="15"/>
      <c r="C347" s="15"/>
      <c r="D347" s="15"/>
      <c r="E347" s="11"/>
      <c r="F347" s="44"/>
      <c r="G347" s="44"/>
      <c r="H347" s="44"/>
      <c r="I347" s="44"/>
      <c r="J347" s="41"/>
      <c r="K347" s="41"/>
      <c r="L347" s="41"/>
      <c r="M347" s="41"/>
      <c r="N347" s="41"/>
      <c r="O347" s="41"/>
      <c r="P347" s="41"/>
      <c r="Q347" s="51"/>
    </row>
    <row r="348" spans="1:17" x14ac:dyDescent="0.25">
      <c r="A348" s="7"/>
      <c r="B348" s="15"/>
      <c r="C348" s="15"/>
      <c r="D348" s="15"/>
      <c r="E348" s="11"/>
      <c r="F348" s="44"/>
      <c r="G348" s="44"/>
      <c r="H348" s="44"/>
      <c r="I348" s="44"/>
      <c r="J348" s="41"/>
      <c r="K348" s="41"/>
      <c r="L348" s="41"/>
      <c r="M348" s="41"/>
      <c r="N348" s="41"/>
      <c r="O348" s="41"/>
      <c r="P348" s="41"/>
      <c r="Q348" s="51"/>
    </row>
    <row r="349" spans="1:17" x14ac:dyDescent="0.25">
      <c r="A349" s="7"/>
      <c r="B349" s="15"/>
      <c r="C349" s="15"/>
      <c r="D349" s="15"/>
      <c r="E349" s="11"/>
      <c r="F349" s="44"/>
      <c r="G349" s="44"/>
      <c r="H349" s="44"/>
      <c r="I349" s="44"/>
      <c r="J349" s="41"/>
      <c r="K349" s="41"/>
      <c r="L349" s="41"/>
      <c r="M349" s="41"/>
      <c r="N349" s="41"/>
      <c r="O349" s="41"/>
      <c r="P349" s="41"/>
      <c r="Q349" s="51"/>
    </row>
    <row r="350" spans="1:17" x14ac:dyDescent="0.25">
      <c r="A350" s="7"/>
      <c r="B350" s="15"/>
      <c r="C350" s="15"/>
      <c r="D350" s="15"/>
      <c r="E350" s="11"/>
      <c r="F350" s="44"/>
      <c r="G350" s="44"/>
      <c r="H350" s="44"/>
      <c r="I350" s="44"/>
      <c r="J350" s="41"/>
      <c r="K350" s="41"/>
      <c r="L350" s="41"/>
      <c r="M350" s="41"/>
      <c r="N350" s="41"/>
      <c r="O350" s="41"/>
      <c r="P350" s="41"/>
      <c r="Q350" s="51"/>
    </row>
    <row r="351" spans="1:17" x14ac:dyDescent="0.25">
      <c r="A351" s="7"/>
      <c r="B351" s="15"/>
      <c r="C351" s="15"/>
      <c r="D351" s="15"/>
      <c r="E351" s="11"/>
      <c r="F351" s="44"/>
      <c r="G351" s="44"/>
      <c r="H351" s="44"/>
      <c r="I351" s="44"/>
      <c r="J351" s="41"/>
      <c r="K351" s="41"/>
      <c r="L351" s="41"/>
      <c r="M351" s="41"/>
      <c r="N351" s="41"/>
      <c r="O351" s="41"/>
      <c r="P351" s="41"/>
      <c r="Q351" s="51"/>
    </row>
    <row r="352" spans="1:17" x14ac:dyDescent="0.25">
      <c r="A352" s="7"/>
      <c r="B352" s="15"/>
      <c r="C352" s="15"/>
      <c r="D352" s="15"/>
      <c r="E352" s="11"/>
      <c r="F352" s="44"/>
      <c r="G352" s="44"/>
      <c r="H352" s="44"/>
      <c r="I352" s="44"/>
      <c r="J352" s="41"/>
      <c r="K352" s="41"/>
      <c r="L352" s="41"/>
      <c r="M352" s="41"/>
      <c r="N352" s="41"/>
      <c r="O352" s="41"/>
      <c r="P352" s="41"/>
      <c r="Q352" s="51"/>
    </row>
    <row r="353" spans="1:17" x14ac:dyDescent="0.25">
      <c r="A353" s="7"/>
      <c r="B353" s="15"/>
      <c r="C353" s="15"/>
      <c r="D353" s="15"/>
      <c r="E353" s="11"/>
      <c r="F353" s="44"/>
      <c r="G353" s="44"/>
      <c r="H353" s="44"/>
      <c r="I353" s="44"/>
      <c r="J353" s="41"/>
      <c r="K353" s="41"/>
      <c r="L353" s="41"/>
      <c r="M353" s="41"/>
      <c r="N353" s="41"/>
      <c r="O353" s="41"/>
      <c r="P353" s="41"/>
      <c r="Q353" s="51"/>
    </row>
    <row r="354" spans="1:17" x14ac:dyDescent="0.25">
      <c r="A354" s="7"/>
      <c r="B354" s="15"/>
      <c r="C354" s="15"/>
      <c r="D354" s="15"/>
      <c r="E354" s="11"/>
      <c r="F354" s="44"/>
      <c r="G354" s="44"/>
      <c r="H354" s="44"/>
      <c r="I354" s="44"/>
      <c r="J354" s="41"/>
      <c r="K354" s="41"/>
      <c r="L354" s="41"/>
      <c r="M354" s="41"/>
      <c r="N354" s="41"/>
      <c r="O354" s="41"/>
      <c r="P354" s="41"/>
      <c r="Q354" s="51"/>
    </row>
    <row r="355" spans="1:17" x14ac:dyDescent="0.25">
      <c r="A355" s="7"/>
      <c r="B355" s="15"/>
      <c r="C355" s="15"/>
      <c r="D355" s="15"/>
      <c r="E355" s="11"/>
      <c r="F355" s="44"/>
      <c r="G355" s="44"/>
      <c r="H355" s="44"/>
      <c r="I355" s="44"/>
      <c r="J355" s="41"/>
      <c r="K355" s="41"/>
      <c r="L355" s="41"/>
      <c r="M355" s="41"/>
      <c r="N355" s="41"/>
      <c r="O355" s="41"/>
      <c r="P355" s="41"/>
      <c r="Q355" s="51"/>
    </row>
    <row r="356" spans="1:17" x14ac:dyDescent="0.25">
      <c r="A356" s="7"/>
      <c r="B356" s="15"/>
      <c r="C356" s="15"/>
      <c r="D356" s="15"/>
      <c r="E356" s="11"/>
      <c r="F356" s="44"/>
      <c r="G356" s="44"/>
      <c r="H356" s="44"/>
      <c r="I356" s="44"/>
      <c r="J356" s="41"/>
      <c r="K356" s="41"/>
      <c r="L356" s="41"/>
      <c r="M356" s="41"/>
      <c r="N356" s="41"/>
      <c r="O356" s="41"/>
      <c r="P356" s="41"/>
      <c r="Q356" s="51"/>
    </row>
    <row r="357" spans="1:17" x14ac:dyDescent="0.25">
      <c r="A357" s="7"/>
      <c r="B357" s="15"/>
      <c r="C357" s="15"/>
      <c r="D357" s="15"/>
      <c r="E357" s="11"/>
      <c r="F357" s="44"/>
      <c r="G357" s="44"/>
      <c r="H357" s="44"/>
      <c r="I357" s="44"/>
      <c r="J357" s="41"/>
      <c r="K357" s="41"/>
      <c r="L357" s="41"/>
      <c r="M357" s="41"/>
      <c r="N357" s="41"/>
      <c r="O357" s="41"/>
      <c r="P357" s="41"/>
      <c r="Q357" s="51"/>
    </row>
    <row r="358" spans="1:17" x14ac:dyDescent="0.25">
      <c r="A358" s="7"/>
      <c r="B358" s="15"/>
      <c r="C358" s="15"/>
      <c r="D358" s="15"/>
      <c r="E358" s="11"/>
      <c r="F358" s="44"/>
      <c r="G358" s="44"/>
      <c r="H358" s="44"/>
      <c r="I358" s="44"/>
      <c r="J358" s="41"/>
      <c r="K358" s="41"/>
      <c r="L358" s="41"/>
      <c r="M358" s="41"/>
      <c r="N358" s="41"/>
      <c r="O358" s="41"/>
      <c r="P358" s="41"/>
      <c r="Q358" s="51"/>
    </row>
    <row r="359" spans="1:17" x14ac:dyDescent="0.25">
      <c r="A359" s="7"/>
      <c r="B359" s="15"/>
      <c r="C359" s="15"/>
      <c r="D359" s="15"/>
      <c r="E359" s="11"/>
      <c r="F359" s="44"/>
      <c r="G359" s="44"/>
      <c r="H359" s="44"/>
      <c r="I359" s="44"/>
      <c r="J359" s="41"/>
      <c r="K359" s="41"/>
      <c r="L359" s="41"/>
      <c r="M359" s="41"/>
      <c r="N359" s="41"/>
      <c r="O359" s="41"/>
      <c r="P359" s="41"/>
      <c r="Q359" s="51"/>
    </row>
    <row r="360" spans="1:17" x14ac:dyDescent="0.25">
      <c r="A360" s="7"/>
      <c r="B360" s="15"/>
      <c r="C360" s="15"/>
      <c r="D360" s="15"/>
      <c r="E360" s="11"/>
      <c r="F360" s="44"/>
      <c r="G360" s="44"/>
      <c r="H360" s="44"/>
      <c r="I360" s="44"/>
      <c r="J360" s="41"/>
      <c r="K360" s="41"/>
      <c r="L360" s="41"/>
      <c r="M360" s="41"/>
      <c r="N360" s="41"/>
      <c r="O360" s="41"/>
      <c r="P360" s="41"/>
      <c r="Q360" s="51"/>
    </row>
    <row r="361" spans="1:17" x14ac:dyDescent="0.25">
      <c r="A361" s="7"/>
      <c r="B361" s="15"/>
      <c r="C361" s="15"/>
      <c r="D361" s="15"/>
      <c r="E361" s="11"/>
      <c r="F361" s="44"/>
      <c r="G361" s="44"/>
      <c r="H361" s="44"/>
      <c r="I361" s="44"/>
      <c r="J361" s="41"/>
      <c r="K361" s="41"/>
      <c r="L361" s="41"/>
      <c r="M361" s="41"/>
      <c r="N361" s="41"/>
      <c r="O361" s="41"/>
      <c r="P361" s="41"/>
      <c r="Q361" s="51"/>
    </row>
    <row r="362" spans="1:17" x14ac:dyDescent="0.25">
      <c r="A362" s="7"/>
      <c r="B362" s="15"/>
      <c r="C362" s="15"/>
      <c r="D362" s="15"/>
      <c r="E362" s="11"/>
      <c r="F362" s="44"/>
      <c r="G362" s="44"/>
      <c r="H362" s="44"/>
      <c r="I362" s="44"/>
      <c r="J362" s="41"/>
      <c r="K362" s="41"/>
      <c r="L362" s="41"/>
      <c r="M362" s="41"/>
      <c r="N362" s="41"/>
      <c r="O362" s="41"/>
      <c r="P362" s="41"/>
      <c r="Q362" s="51"/>
    </row>
    <row r="363" spans="1:17" x14ac:dyDescent="0.25">
      <c r="A363" s="7"/>
      <c r="B363" s="15"/>
      <c r="C363" s="15"/>
      <c r="D363" s="15"/>
      <c r="E363" s="11"/>
      <c r="F363" s="44"/>
      <c r="G363" s="44"/>
      <c r="H363" s="44"/>
      <c r="I363" s="44"/>
      <c r="J363" s="41"/>
      <c r="K363" s="41"/>
      <c r="L363" s="41"/>
      <c r="M363" s="41"/>
      <c r="N363" s="41"/>
      <c r="O363" s="41"/>
      <c r="P363" s="41"/>
      <c r="Q363" s="51"/>
    </row>
    <row r="364" spans="1:17" x14ac:dyDescent="0.25">
      <c r="A364" s="7"/>
      <c r="B364" s="15"/>
      <c r="C364" s="15"/>
      <c r="D364" s="15"/>
      <c r="E364" s="11"/>
      <c r="F364" s="44"/>
      <c r="G364" s="44"/>
      <c r="H364" s="44"/>
      <c r="I364" s="44"/>
      <c r="J364" s="41"/>
      <c r="K364" s="41"/>
      <c r="L364" s="41"/>
      <c r="M364" s="41"/>
      <c r="N364" s="41"/>
      <c r="O364" s="41"/>
      <c r="P364" s="41"/>
      <c r="Q364" s="51"/>
    </row>
    <row r="365" spans="1:17" x14ac:dyDescent="0.25">
      <c r="A365" s="7"/>
      <c r="B365" s="15"/>
      <c r="C365" s="15"/>
      <c r="D365" s="15"/>
      <c r="E365" s="11"/>
      <c r="F365" s="44"/>
      <c r="G365" s="44"/>
      <c r="H365" s="44"/>
      <c r="I365" s="44"/>
      <c r="J365" s="41"/>
      <c r="K365" s="41"/>
      <c r="L365" s="41"/>
      <c r="M365" s="41"/>
      <c r="N365" s="41"/>
      <c r="O365" s="41"/>
      <c r="P365" s="41"/>
      <c r="Q365" s="51"/>
    </row>
    <row r="366" spans="1:17" x14ac:dyDescent="0.25">
      <c r="A366" s="7"/>
      <c r="B366" s="15"/>
      <c r="C366" s="15"/>
      <c r="D366" s="15"/>
      <c r="E366" s="11"/>
      <c r="F366" s="44"/>
      <c r="G366" s="44"/>
      <c r="H366" s="44"/>
      <c r="I366" s="44"/>
      <c r="J366" s="41"/>
      <c r="K366" s="41"/>
      <c r="L366" s="41"/>
      <c r="M366" s="41"/>
      <c r="N366" s="41"/>
      <c r="O366" s="41"/>
      <c r="P366" s="41"/>
      <c r="Q366" s="51"/>
    </row>
    <row r="367" spans="1:17" x14ac:dyDescent="0.25">
      <c r="A367" s="7"/>
      <c r="B367" s="15"/>
      <c r="C367" s="15"/>
      <c r="D367" s="15"/>
      <c r="E367" s="11"/>
      <c r="F367" s="44"/>
      <c r="G367" s="44"/>
      <c r="H367" s="44"/>
      <c r="I367" s="44"/>
      <c r="J367" s="41"/>
      <c r="K367" s="41"/>
      <c r="L367" s="41"/>
      <c r="M367" s="41"/>
      <c r="N367" s="41"/>
      <c r="O367" s="41"/>
      <c r="P367" s="41"/>
      <c r="Q367" s="51"/>
    </row>
    <row r="368" spans="1:17" x14ac:dyDescent="0.25">
      <c r="A368" s="7"/>
      <c r="B368" s="15"/>
      <c r="C368" s="15"/>
      <c r="D368" s="15"/>
      <c r="E368" s="11"/>
      <c r="F368" s="44"/>
      <c r="G368" s="44"/>
      <c r="H368" s="44"/>
      <c r="I368" s="44"/>
      <c r="J368" s="41"/>
      <c r="K368" s="41"/>
      <c r="L368" s="41"/>
      <c r="M368" s="41"/>
      <c r="N368" s="41"/>
      <c r="O368" s="41"/>
      <c r="P368" s="41"/>
      <c r="Q368" s="51"/>
    </row>
    <row r="369" spans="1:17" x14ac:dyDescent="0.25">
      <c r="A369" s="7"/>
      <c r="B369" s="15"/>
      <c r="C369" s="15"/>
      <c r="D369" s="15"/>
      <c r="E369" s="11"/>
      <c r="F369" s="44"/>
      <c r="G369" s="44"/>
      <c r="H369" s="44"/>
      <c r="I369" s="44"/>
      <c r="J369" s="41"/>
      <c r="K369" s="41"/>
      <c r="L369" s="41"/>
      <c r="M369" s="41"/>
      <c r="N369" s="41"/>
      <c r="O369" s="41"/>
      <c r="P369" s="41"/>
      <c r="Q369" s="51"/>
    </row>
    <row r="370" spans="1:17" x14ac:dyDescent="0.25">
      <c r="A370" s="7"/>
      <c r="B370" s="15"/>
      <c r="C370" s="15"/>
      <c r="D370" s="15"/>
      <c r="E370" s="11"/>
      <c r="F370" s="44"/>
      <c r="G370" s="44"/>
      <c r="H370" s="44"/>
      <c r="I370" s="44"/>
      <c r="J370" s="41"/>
      <c r="K370" s="41"/>
      <c r="L370" s="41"/>
      <c r="M370" s="41"/>
      <c r="N370" s="41"/>
      <c r="O370" s="41"/>
      <c r="P370" s="41"/>
      <c r="Q370" s="51"/>
    </row>
    <row r="371" spans="1:17" x14ac:dyDescent="0.25">
      <c r="A371" s="7"/>
      <c r="B371" s="15"/>
      <c r="C371" s="15"/>
      <c r="D371" s="15"/>
      <c r="E371" s="11"/>
      <c r="F371" s="44"/>
      <c r="G371" s="44"/>
      <c r="H371" s="44"/>
      <c r="I371" s="44"/>
      <c r="J371" s="41"/>
      <c r="K371" s="41"/>
      <c r="L371" s="41"/>
      <c r="M371" s="41"/>
      <c r="N371" s="41"/>
      <c r="O371" s="41"/>
      <c r="P371" s="41"/>
      <c r="Q371" s="51"/>
    </row>
    <row r="372" spans="1:17" x14ac:dyDescent="0.25">
      <c r="A372" s="7"/>
      <c r="B372" s="15"/>
      <c r="C372" s="15"/>
      <c r="D372" s="15"/>
      <c r="E372" s="11"/>
      <c r="F372" s="44"/>
      <c r="G372" s="44"/>
      <c r="H372" s="44"/>
      <c r="I372" s="44"/>
      <c r="J372" s="41"/>
      <c r="K372" s="41"/>
      <c r="L372" s="41"/>
      <c r="M372" s="41"/>
      <c r="N372" s="41"/>
      <c r="O372" s="41"/>
      <c r="P372" s="41"/>
      <c r="Q372" s="51"/>
    </row>
    <row r="373" spans="1:17" x14ac:dyDescent="0.25">
      <c r="A373" s="7"/>
      <c r="B373" s="15"/>
      <c r="C373" s="15"/>
      <c r="D373" s="15"/>
      <c r="E373" s="11"/>
      <c r="F373" s="44"/>
      <c r="G373" s="44"/>
      <c r="H373" s="44"/>
      <c r="I373" s="44"/>
      <c r="J373" s="41"/>
      <c r="K373" s="41"/>
      <c r="L373" s="41"/>
      <c r="M373" s="41"/>
      <c r="N373" s="41"/>
      <c r="O373" s="41"/>
      <c r="P373" s="41"/>
      <c r="Q373" s="51"/>
    </row>
    <row r="374" spans="1:17" x14ac:dyDescent="0.25">
      <c r="A374" s="7"/>
      <c r="B374" s="15"/>
      <c r="C374" s="15"/>
      <c r="D374" s="15"/>
      <c r="E374" s="11"/>
      <c r="F374" s="44"/>
      <c r="G374" s="44"/>
      <c r="H374" s="44"/>
      <c r="I374" s="44"/>
      <c r="J374" s="41"/>
      <c r="K374" s="41"/>
      <c r="L374" s="41"/>
      <c r="M374" s="41"/>
      <c r="N374" s="41"/>
      <c r="O374" s="41"/>
      <c r="P374" s="41"/>
      <c r="Q374" s="51"/>
    </row>
    <row r="375" spans="1:17" x14ac:dyDescent="0.25">
      <c r="A375" s="7"/>
      <c r="B375" s="15"/>
      <c r="C375" s="15"/>
      <c r="D375" s="15"/>
      <c r="E375" s="11"/>
      <c r="F375" s="44"/>
      <c r="G375" s="44"/>
      <c r="H375" s="44"/>
      <c r="I375" s="44"/>
      <c r="J375" s="41"/>
      <c r="K375" s="41"/>
      <c r="L375" s="41"/>
      <c r="M375" s="41"/>
      <c r="N375" s="41"/>
      <c r="O375" s="41"/>
      <c r="P375" s="41"/>
      <c r="Q375" s="51"/>
    </row>
    <row r="376" spans="1:17" x14ac:dyDescent="0.25">
      <c r="A376" s="7"/>
      <c r="B376" s="15"/>
      <c r="C376" s="15"/>
      <c r="D376" s="15"/>
      <c r="E376" s="11"/>
      <c r="F376" s="44"/>
      <c r="G376" s="44"/>
      <c r="H376" s="44"/>
      <c r="I376" s="44"/>
      <c r="J376" s="41"/>
      <c r="K376" s="41"/>
      <c r="L376" s="41"/>
      <c r="M376" s="41"/>
      <c r="N376" s="41"/>
      <c r="O376" s="41"/>
      <c r="P376" s="41"/>
      <c r="Q376" s="51"/>
    </row>
    <row r="377" spans="1:17" x14ac:dyDescent="0.25">
      <c r="A377" s="7"/>
      <c r="B377" s="15"/>
      <c r="C377" s="15"/>
      <c r="D377" s="15"/>
      <c r="E377" s="11"/>
      <c r="F377" s="44"/>
      <c r="G377" s="44"/>
      <c r="H377" s="44"/>
      <c r="I377" s="44"/>
      <c r="J377" s="41"/>
      <c r="K377" s="41"/>
      <c r="L377" s="41"/>
      <c r="M377" s="41"/>
      <c r="N377" s="41"/>
      <c r="O377" s="41"/>
      <c r="P377" s="41"/>
      <c r="Q377" s="51"/>
    </row>
    <row r="378" spans="1:17" x14ac:dyDescent="0.25">
      <c r="A378" s="7"/>
      <c r="B378" s="15"/>
      <c r="C378" s="15"/>
      <c r="D378" s="15"/>
      <c r="E378" s="11"/>
      <c r="F378" s="44"/>
      <c r="G378" s="44"/>
      <c r="H378" s="44"/>
      <c r="I378" s="44"/>
      <c r="J378" s="41"/>
      <c r="K378" s="41"/>
      <c r="L378" s="41"/>
      <c r="M378" s="41"/>
      <c r="N378" s="41"/>
      <c r="O378" s="41"/>
      <c r="P378" s="41"/>
      <c r="Q378" s="51"/>
    </row>
    <row r="379" spans="1:17" x14ac:dyDescent="0.25">
      <c r="A379" s="7"/>
      <c r="B379" s="15"/>
      <c r="C379" s="15"/>
      <c r="D379" s="15"/>
      <c r="E379" s="11"/>
      <c r="F379" s="44"/>
      <c r="G379" s="44"/>
      <c r="H379" s="44"/>
      <c r="I379" s="44"/>
      <c r="J379" s="41"/>
      <c r="K379" s="41"/>
      <c r="L379" s="41"/>
      <c r="M379" s="41"/>
      <c r="N379" s="41"/>
      <c r="O379" s="41"/>
      <c r="P379" s="41"/>
      <c r="Q379" s="51"/>
    </row>
    <row r="380" spans="1:17" x14ac:dyDescent="0.25">
      <c r="A380" s="7"/>
      <c r="B380" s="15"/>
      <c r="C380" s="15"/>
      <c r="D380" s="15"/>
      <c r="E380" s="11"/>
      <c r="F380" s="44"/>
      <c r="G380" s="44"/>
      <c r="H380" s="44"/>
      <c r="I380" s="44"/>
      <c r="J380" s="41"/>
      <c r="K380" s="41"/>
      <c r="L380" s="41"/>
      <c r="M380" s="41"/>
      <c r="N380" s="41"/>
      <c r="O380" s="41"/>
      <c r="P380" s="41"/>
      <c r="Q380" s="51"/>
    </row>
    <row r="381" spans="1:17" x14ac:dyDescent="0.25">
      <c r="A381" s="7"/>
      <c r="B381" s="15"/>
      <c r="C381" s="15"/>
      <c r="D381" s="15"/>
      <c r="E381" s="11"/>
      <c r="F381" s="44"/>
      <c r="G381" s="44"/>
      <c r="H381" s="44"/>
      <c r="I381" s="44"/>
      <c r="J381" s="41"/>
      <c r="K381" s="41"/>
      <c r="L381" s="41"/>
      <c r="M381" s="41"/>
      <c r="N381" s="41"/>
      <c r="O381" s="41"/>
      <c r="P381" s="41"/>
      <c r="Q381" s="51"/>
    </row>
    <row r="382" spans="1:17" x14ac:dyDescent="0.25">
      <c r="A382" s="7"/>
      <c r="B382" s="15"/>
      <c r="C382" s="15"/>
      <c r="D382" s="15"/>
      <c r="E382" s="11"/>
      <c r="F382" s="44"/>
      <c r="G382" s="44"/>
      <c r="H382" s="44"/>
      <c r="I382" s="44"/>
      <c r="J382" s="41"/>
      <c r="K382" s="41"/>
      <c r="L382" s="41"/>
      <c r="M382" s="41"/>
      <c r="N382" s="41"/>
      <c r="O382" s="41"/>
      <c r="P382" s="41"/>
      <c r="Q382" s="51"/>
    </row>
    <row r="383" spans="1:17" x14ac:dyDescent="0.25">
      <c r="A383" s="7"/>
      <c r="B383" s="15"/>
      <c r="C383" s="15"/>
      <c r="D383" s="15"/>
      <c r="E383" s="11"/>
      <c r="F383" s="44"/>
      <c r="G383" s="44"/>
      <c r="H383" s="44"/>
      <c r="I383" s="44"/>
      <c r="J383" s="41"/>
      <c r="K383" s="41"/>
      <c r="L383" s="41"/>
      <c r="M383" s="41"/>
      <c r="N383" s="41"/>
      <c r="O383" s="41"/>
      <c r="P383" s="41"/>
      <c r="Q383" s="51"/>
    </row>
    <row r="384" spans="1:17" x14ac:dyDescent="0.25">
      <c r="A384" s="7"/>
      <c r="B384" s="15"/>
      <c r="C384" s="15"/>
      <c r="D384" s="15"/>
      <c r="E384" s="11"/>
      <c r="F384" s="44"/>
      <c r="G384" s="44"/>
      <c r="H384" s="44"/>
      <c r="I384" s="44"/>
      <c r="J384" s="41"/>
      <c r="K384" s="41"/>
      <c r="L384" s="41"/>
      <c r="M384" s="41"/>
      <c r="N384" s="41"/>
      <c r="O384" s="41"/>
      <c r="P384" s="41"/>
      <c r="Q384" s="51"/>
    </row>
    <row r="385" spans="1:17" x14ac:dyDescent="0.25">
      <c r="A385" s="7"/>
      <c r="B385" s="15"/>
      <c r="C385" s="15"/>
      <c r="D385" s="15"/>
      <c r="E385" s="11"/>
      <c r="F385" s="44"/>
      <c r="G385" s="44"/>
      <c r="H385" s="44"/>
      <c r="I385" s="44"/>
      <c r="J385" s="41"/>
      <c r="K385" s="41"/>
      <c r="L385" s="41"/>
      <c r="M385" s="41"/>
      <c r="N385" s="41"/>
      <c r="O385" s="41"/>
      <c r="P385" s="41"/>
      <c r="Q385" s="51"/>
    </row>
    <row r="386" spans="1:17" x14ac:dyDescent="0.25">
      <c r="A386" s="7"/>
      <c r="B386" s="15"/>
      <c r="C386" s="15"/>
      <c r="D386" s="15"/>
      <c r="E386" s="11"/>
      <c r="F386" s="44"/>
      <c r="G386" s="44"/>
      <c r="H386" s="44"/>
      <c r="I386" s="44"/>
      <c r="J386" s="41"/>
      <c r="K386" s="41"/>
      <c r="L386" s="41"/>
      <c r="M386" s="41"/>
      <c r="N386" s="41"/>
      <c r="O386" s="41"/>
      <c r="P386" s="41"/>
      <c r="Q386" s="51"/>
    </row>
    <row r="387" spans="1:17" x14ac:dyDescent="0.25">
      <c r="A387" s="7"/>
      <c r="B387" s="15"/>
      <c r="C387" s="15"/>
      <c r="D387" s="15"/>
      <c r="E387" s="11"/>
      <c r="F387" s="44"/>
      <c r="G387" s="44"/>
      <c r="H387" s="44"/>
      <c r="I387" s="44"/>
      <c r="J387" s="41"/>
      <c r="K387" s="41"/>
      <c r="L387" s="41"/>
      <c r="M387" s="41"/>
      <c r="N387" s="41"/>
      <c r="O387" s="41"/>
      <c r="P387" s="41"/>
      <c r="Q387" s="51"/>
    </row>
    <row r="388" spans="1:17" x14ac:dyDescent="0.25">
      <c r="A388" s="7"/>
      <c r="B388" s="15"/>
      <c r="C388" s="15"/>
      <c r="D388" s="15"/>
      <c r="E388" s="11"/>
      <c r="F388" s="44"/>
      <c r="G388" s="44"/>
      <c r="H388" s="44"/>
      <c r="I388" s="44"/>
      <c r="J388" s="41"/>
      <c r="K388" s="41"/>
      <c r="L388" s="41"/>
      <c r="M388" s="41"/>
      <c r="N388" s="41"/>
      <c r="O388" s="41"/>
      <c r="P388" s="41"/>
      <c r="Q388" s="51"/>
    </row>
    <row r="389" spans="1:17" x14ac:dyDescent="0.25">
      <c r="A389" s="7"/>
      <c r="B389" s="15"/>
      <c r="C389" s="15"/>
      <c r="D389" s="15"/>
      <c r="E389" s="11"/>
      <c r="F389" s="44"/>
      <c r="G389" s="44"/>
      <c r="H389" s="44"/>
      <c r="I389" s="44"/>
      <c r="J389" s="41"/>
      <c r="K389" s="41"/>
      <c r="L389" s="41"/>
      <c r="M389" s="41"/>
      <c r="N389" s="41"/>
      <c r="O389" s="41"/>
      <c r="P389" s="41"/>
      <c r="Q389" s="51"/>
    </row>
    <row r="390" spans="1:17" x14ac:dyDescent="0.25">
      <c r="A390" s="7"/>
      <c r="B390" s="15"/>
      <c r="C390" s="15"/>
      <c r="D390" s="15"/>
      <c r="E390" s="11"/>
      <c r="F390" s="44"/>
      <c r="G390" s="44"/>
      <c r="H390" s="44"/>
      <c r="I390" s="44"/>
      <c r="J390" s="41"/>
      <c r="K390" s="41"/>
      <c r="L390" s="41"/>
      <c r="M390" s="41"/>
      <c r="N390" s="41"/>
      <c r="O390" s="41"/>
      <c r="P390" s="41"/>
      <c r="Q390" s="51"/>
    </row>
    <row r="391" spans="1:17" x14ac:dyDescent="0.25">
      <c r="A391" s="7"/>
      <c r="B391" s="15"/>
      <c r="C391" s="15"/>
      <c r="D391" s="15"/>
      <c r="E391" s="11"/>
      <c r="F391" s="44"/>
      <c r="G391" s="44"/>
      <c r="H391" s="44"/>
      <c r="I391" s="44"/>
      <c r="J391" s="41"/>
      <c r="K391" s="41"/>
      <c r="L391" s="41"/>
      <c r="M391" s="41"/>
      <c r="N391" s="41"/>
      <c r="O391" s="41"/>
      <c r="P391" s="41"/>
      <c r="Q391" s="51"/>
    </row>
    <row r="392" spans="1:17" x14ac:dyDescent="0.25">
      <c r="A392" s="7"/>
      <c r="B392" s="15"/>
      <c r="C392" s="15"/>
      <c r="D392" s="15"/>
      <c r="E392" s="11"/>
      <c r="F392" s="44"/>
      <c r="G392" s="44"/>
      <c r="H392" s="44"/>
      <c r="I392" s="44"/>
      <c r="J392" s="41"/>
      <c r="K392" s="41"/>
      <c r="L392" s="41"/>
      <c r="M392" s="41"/>
      <c r="N392" s="41"/>
      <c r="O392" s="41"/>
      <c r="P392" s="41"/>
      <c r="Q392" s="51"/>
    </row>
    <row r="393" spans="1:17" x14ac:dyDescent="0.25">
      <c r="A393" s="7"/>
      <c r="B393" s="15"/>
      <c r="C393" s="15"/>
      <c r="D393" s="15"/>
      <c r="E393" s="11"/>
      <c r="F393" s="44"/>
      <c r="G393" s="44"/>
      <c r="H393" s="44"/>
      <c r="I393" s="44"/>
      <c r="J393" s="41"/>
      <c r="K393" s="41"/>
      <c r="L393" s="41"/>
      <c r="M393" s="41"/>
      <c r="N393" s="41"/>
      <c r="O393" s="41"/>
      <c r="P393" s="41"/>
      <c r="Q393" s="51"/>
    </row>
    <row r="394" spans="1:17" x14ac:dyDescent="0.25">
      <c r="A394" s="7"/>
      <c r="B394" s="15"/>
      <c r="C394" s="15"/>
      <c r="D394" s="15"/>
      <c r="E394" s="11"/>
      <c r="F394" s="44"/>
      <c r="G394" s="44"/>
      <c r="H394" s="44"/>
      <c r="I394" s="44"/>
      <c r="J394" s="41"/>
      <c r="K394" s="41"/>
      <c r="L394" s="41"/>
      <c r="M394" s="41"/>
      <c r="N394" s="41"/>
      <c r="O394" s="41"/>
      <c r="P394" s="41"/>
      <c r="Q394" s="51"/>
    </row>
    <row r="395" spans="1:17" x14ac:dyDescent="0.25">
      <c r="A395" s="7"/>
      <c r="B395" s="15"/>
      <c r="C395" s="15"/>
      <c r="D395" s="15"/>
      <c r="E395" s="11"/>
      <c r="F395" s="44"/>
      <c r="G395" s="44"/>
      <c r="H395" s="44"/>
      <c r="I395" s="44"/>
      <c r="J395" s="41"/>
      <c r="K395" s="41"/>
      <c r="L395" s="41"/>
      <c r="M395" s="41"/>
      <c r="N395" s="41"/>
      <c r="O395" s="41"/>
      <c r="P395" s="41"/>
      <c r="Q395" s="51"/>
    </row>
    <row r="396" spans="1:17" x14ac:dyDescent="0.25">
      <c r="A396" s="7"/>
      <c r="B396" s="15"/>
      <c r="C396" s="15"/>
      <c r="D396" s="15"/>
      <c r="E396" s="11"/>
      <c r="F396" s="44"/>
      <c r="G396" s="44"/>
      <c r="H396" s="44"/>
      <c r="I396" s="44"/>
      <c r="J396" s="41"/>
      <c r="K396" s="41"/>
      <c r="L396" s="41"/>
      <c r="M396" s="41"/>
      <c r="N396" s="41"/>
      <c r="O396" s="41"/>
      <c r="P396" s="41"/>
      <c r="Q396" s="51"/>
    </row>
    <row r="397" spans="1:17" x14ac:dyDescent="0.25">
      <c r="A397" s="7"/>
      <c r="B397" s="15"/>
      <c r="C397" s="15"/>
      <c r="D397" s="15"/>
      <c r="E397" s="11"/>
      <c r="F397" s="44"/>
      <c r="G397" s="44"/>
      <c r="H397" s="44"/>
      <c r="I397" s="44"/>
      <c r="J397" s="41"/>
      <c r="K397" s="41"/>
      <c r="L397" s="41"/>
      <c r="M397" s="41"/>
      <c r="N397" s="41"/>
      <c r="O397" s="41"/>
      <c r="P397" s="41"/>
      <c r="Q397" s="51"/>
    </row>
    <row r="398" spans="1:17" x14ac:dyDescent="0.25">
      <c r="A398" s="7"/>
      <c r="B398" s="15"/>
      <c r="C398" s="15"/>
      <c r="D398" s="15"/>
      <c r="E398" s="11"/>
      <c r="F398" s="44"/>
      <c r="G398" s="44"/>
      <c r="H398" s="44"/>
      <c r="I398" s="44"/>
      <c r="J398" s="41"/>
      <c r="K398" s="41"/>
      <c r="L398" s="41"/>
      <c r="M398" s="41"/>
      <c r="N398" s="41"/>
      <c r="O398" s="41"/>
      <c r="P398" s="41"/>
      <c r="Q398" s="51"/>
    </row>
    <row r="399" spans="1:17" x14ac:dyDescent="0.25">
      <c r="A399" s="7"/>
      <c r="B399" s="15"/>
      <c r="C399" s="15"/>
      <c r="D399" s="15"/>
      <c r="E399" s="11"/>
      <c r="F399" s="44"/>
      <c r="G399" s="44"/>
      <c r="H399" s="44"/>
      <c r="I399" s="44"/>
      <c r="J399" s="41"/>
      <c r="K399" s="41"/>
      <c r="L399" s="41"/>
      <c r="M399" s="41"/>
      <c r="N399" s="41"/>
      <c r="O399" s="41"/>
      <c r="P399" s="41"/>
      <c r="Q399" s="51"/>
    </row>
    <row r="400" spans="1:17" x14ac:dyDescent="0.25">
      <c r="A400" s="7"/>
      <c r="B400" s="15"/>
      <c r="C400" s="15"/>
      <c r="D400" s="15"/>
      <c r="E400" s="11"/>
      <c r="F400" s="44"/>
      <c r="G400" s="44"/>
      <c r="H400" s="44"/>
      <c r="I400" s="44"/>
      <c r="J400" s="41"/>
      <c r="K400" s="41"/>
      <c r="L400" s="41"/>
      <c r="M400" s="41"/>
      <c r="N400" s="41"/>
      <c r="O400" s="41"/>
      <c r="P400" s="41"/>
      <c r="Q400" s="51"/>
    </row>
    <row r="401" spans="1:17" x14ac:dyDescent="0.25">
      <c r="A401" s="7"/>
      <c r="B401" s="15"/>
      <c r="C401" s="15"/>
      <c r="D401" s="15"/>
      <c r="E401" s="11"/>
      <c r="F401" s="44"/>
      <c r="G401" s="44"/>
      <c r="H401" s="44"/>
      <c r="I401" s="44"/>
      <c r="J401" s="41"/>
      <c r="K401" s="41"/>
      <c r="L401" s="41"/>
      <c r="M401" s="41"/>
      <c r="N401" s="41"/>
      <c r="O401" s="41"/>
      <c r="P401" s="41"/>
      <c r="Q401" s="51"/>
    </row>
    <row r="402" spans="1:17" x14ac:dyDescent="0.25">
      <c r="A402" s="7"/>
      <c r="B402" s="15"/>
      <c r="C402" s="15"/>
      <c r="D402" s="15"/>
      <c r="E402" s="11"/>
      <c r="F402" s="44"/>
      <c r="G402" s="44"/>
      <c r="H402" s="44"/>
      <c r="I402" s="44"/>
      <c r="J402" s="41"/>
      <c r="K402" s="41"/>
      <c r="L402" s="41"/>
      <c r="M402" s="41"/>
      <c r="N402" s="41"/>
      <c r="O402" s="41"/>
      <c r="P402" s="41"/>
      <c r="Q402" s="51"/>
    </row>
    <row r="403" spans="1:17" x14ac:dyDescent="0.25">
      <c r="A403" s="7"/>
      <c r="B403" s="15"/>
      <c r="C403" s="15"/>
      <c r="D403" s="15"/>
      <c r="E403" s="11"/>
      <c r="F403" s="44"/>
      <c r="G403" s="44"/>
      <c r="H403" s="44"/>
      <c r="I403" s="44"/>
      <c r="J403" s="41"/>
      <c r="K403" s="41"/>
      <c r="L403" s="41"/>
      <c r="M403" s="41"/>
      <c r="N403" s="41"/>
      <c r="O403" s="41"/>
      <c r="P403" s="41"/>
      <c r="Q403" s="51"/>
    </row>
    <row r="404" spans="1:17" x14ac:dyDescent="0.25">
      <c r="A404" s="7"/>
      <c r="B404" s="15"/>
      <c r="C404" s="15"/>
      <c r="D404" s="15"/>
      <c r="E404" s="11"/>
      <c r="F404" s="44"/>
      <c r="G404" s="44"/>
      <c r="H404" s="44"/>
      <c r="I404" s="44"/>
      <c r="J404" s="41"/>
      <c r="K404" s="41"/>
      <c r="L404" s="41"/>
      <c r="M404" s="41"/>
      <c r="N404" s="41"/>
      <c r="O404" s="41"/>
      <c r="P404" s="41"/>
      <c r="Q404" s="51"/>
    </row>
    <row r="405" spans="1:17" x14ac:dyDescent="0.25">
      <c r="A405" s="7"/>
      <c r="B405" s="15"/>
      <c r="C405" s="15"/>
      <c r="D405" s="15"/>
      <c r="E405" s="11"/>
      <c r="F405" s="44"/>
      <c r="G405" s="44"/>
      <c r="H405" s="44"/>
      <c r="I405" s="44"/>
      <c r="J405" s="41"/>
      <c r="K405" s="41"/>
      <c r="L405" s="41"/>
      <c r="M405" s="41"/>
      <c r="N405" s="41"/>
      <c r="O405" s="41"/>
      <c r="P405" s="41"/>
      <c r="Q405" s="51"/>
    </row>
    <row r="406" spans="1:17" x14ac:dyDescent="0.25">
      <c r="A406" s="7"/>
      <c r="B406" s="15"/>
      <c r="C406" s="15"/>
      <c r="D406" s="15"/>
      <c r="E406" s="11"/>
      <c r="F406" s="44"/>
      <c r="G406" s="44"/>
      <c r="H406" s="44"/>
      <c r="I406" s="44"/>
      <c r="J406" s="41"/>
      <c r="K406" s="41"/>
      <c r="L406" s="41"/>
      <c r="M406" s="41"/>
      <c r="N406" s="41"/>
      <c r="O406" s="41"/>
      <c r="P406" s="41"/>
      <c r="Q406" s="51"/>
    </row>
    <row r="407" spans="1:17" x14ac:dyDescent="0.25">
      <c r="A407" s="7"/>
      <c r="B407" s="15"/>
      <c r="C407" s="15"/>
      <c r="D407" s="15"/>
      <c r="E407" s="11"/>
      <c r="F407" s="44"/>
      <c r="G407" s="44"/>
      <c r="H407" s="44"/>
      <c r="I407" s="44"/>
      <c r="J407" s="41"/>
      <c r="K407" s="41"/>
      <c r="L407" s="41"/>
      <c r="M407" s="41"/>
      <c r="N407" s="41"/>
      <c r="O407" s="41"/>
      <c r="P407" s="41"/>
      <c r="Q407" s="51"/>
    </row>
    <row r="408" spans="1:17" x14ac:dyDescent="0.25">
      <c r="A408" s="7"/>
      <c r="B408" s="15"/>
      <c r="C408" s="15"/>
      <c r="D408" s="15"/>
      <c r="E408" s="11"/>
      <c r="F408" s="44"/>
      <c r="G408" s="44"/>
      <c r="H408" s="44"/>
      <c r="I408" s="44"/>
      <c r="J408" s="41"/>
      <c r="K408" s="41"/>
      <c r="L408" s="41"/>
      <c r="M408" s="41"/>
      <c r="N408" s="41"/>
      <c r="O408" s="41"/>
      <c r="P408" s="41"/>
      <c r="Q408" s="51"/>
    </row>
    <row r="409" spans="1:17" x14ac:dyDescent="0.25">
      <c r="A409" s="7"/>
      <c r="B409" s="15"/>
      <c r="C409" s="15"/>
      <c r="D409" s="15"/>
      <c r="E409" s="11"/>
      <c r="F409" s="44"/>
      <c r="G409" s="44"/>
      <c r="H409" s="44"/>
      <c r="I409" s="44"/>
      <c r="J409" s="41"/>
      <c r="K409" s="41"/>
      <c r="L409" s="41"/>
      <c r="M409" s="41"/>
      <c r="N409" s="41"/>
      <c r="O409" s="41"/>
      <c r="P409" s="41"/>
      <c r="Q409" s="51"/>
    </row>
    <row r="410" spans="1:17" x14ac:dyDescent="0.25">
      <c r="A410" s="7"/>
      <c r="B410" s="15"/>
      <c r="C410" s="15"/>
      <c r="D410" s="15"/>
      <c r="E410" s="11"/>
      <c r="F410" s="44"/>
      <c r="G410" s="44"/>
      <c r="H410" s="44"/>
      <c r="I410" s="44"/>
      <c r="J410" s="41"/>
      <c r="K410" s="41"/>
      <c r="L410" s="41"/>
      <c r="M410" s="41"/>
      <c r="N410" s="41"/>
      <c r="O410" s="41"/>
      <c r="P410" s="41"/>
      <c r="Q410" s="51"/>
    </row>
    <row r="411" spans="1:17" x14ac:dyDescent="0.25">
      <c r="A411" s="7"/>
      <c r="B411" s="15"/>
      <c r="C411" s="15"/>
      <c r="D411" s="15"/>
      <c r="E411" s="11"/>
      <c r="F411" s="44"/>
      <c r="G411" s="44"/>
      <c r="H411" s="44"/>
      <c r="I411" s="44"/>
      <c r="J411" s="41"/>
      <c r="K411" s="41"/>
      <c r="L411" s="41"/>
      <c r="M411" s="41"/>
      <c r="N411" s="41"/>
      <c r="O411" s="41"/>
      <c r="P411" s="41"/>
      <c r="Q411" s="51"/>
    </row>
    <row r="412" spans="1:17" x14ac:dyDescent="0.25">
      <c r="A412" s="7"/>
      <c r="B412" s="15"/>
      <c r="C412" s="15"/>
      <c r="D412" s="15"/>
      <c r="E412" s="11"/>
      <c r="F412" s="44"/>
      <c r="G412" s="44"/>
      <c r="H412" s="44"/>
      <c r="I412" s="44"/>
      <c r="J412" s="41"/>
      <c r="K412" s="41"/>
      <c r="L412" s="41"/>
      <c r="M412" s="41"/>
      <c r="N412" s="41"/>
      <c r="O412" s="41"/>
      <c r="P412" s="41"/>
      <c r="Q412" s="51"/>
    </row>
    <row r="413" spans="1:17" x14ac:dyDescent="0.25">
      <c r="A413" s="7"/>
      <c r="B413" s="15"/>
      <c r="C413" s="15"/>
      <c r="D413" s="15"/>
      <c r="E413" s="11"/>
      <c r="F413" s="44"/>
      <c r="G413" s="44"/>
      <c r="H413" s="44"/>
      <c r="I413" s="44"/>
      <c r="J413" s="41"/>
      <c r="K413" s="41"/>
      <c r="L413" s="41"/>
      <c r="M413" s="41"/>
      <c r="N413" s="41"/>
      <c r="O413" s="41"/>
      <c r="P413" s="41"/>
      <c r="Q413" s="51"/>
    </row>
    <row r="414" spans="1:17" x14ac:dyDescent="0.25">
      <c r="A414" s="7"/>
      <c r="B414" s="15"/>
      <c r="C414" s="15"/>
      <c r="D414" s="15"/>
      <c r="E414" s="11"/>
      <c r="F414" s="44"/>
      <c r="G414" s="44"/>
      <c r="H414" s="44"/>
      <c r="I414" s="44"/>
      <c r="J414" s="41"/>
      <c r="K414" s="41"/>
      <c r="L414" s="41"/>
      <c r="M414" s="41"/>
      <c r="N414" s="41"/>
      <c r="O414" s="41"/>
      <c r="P414" s="41"/>
      <c r="Q414" s="51"/>
    </row>
    <row r="415" spans="1:17" x14ac:dyDescent="0.25">
      <c r="A415" s="7"/>
      <c r="B415" s="15"/>
      <c r="C415" s="15"/>
      <c r="D415" s="15"/>
      <c r="E415" s="11"/>
      <c r="F415" s="44"/>
      <c r="G415" s="44"/>
      <c r="H415" s="44"/>
      <c r="I415" s="44"/>
      <c r="J415" s="41"/>
      <c r="K415" s="41"/>
      <c r="L415" s="41"/>
      <c r="M415" s="41"/>
      <c r="N415" s="41"/>
      <c r="O415" s="41"/>
      <c r="P415" s="41"/>
      <c r="Q415" s="51"/>
    </row>
    <row r="416" spans="1:17" x14ac:dyDescent="0.25">
      <c r="A416" s="7"/>
      <c r="B416" s="15"/>
      <c r="C416" s="15"/>
      <c r="D416" s="15"/>
      <c r="E416" s="11"/>
      <c r="F416" s="44"/>
      <c r="G416" s="44"/>
      <c r="H416" s="44"/>
      <c r="I416" s="44"/>
      <c r="J416" s="41"/>
      <c r="K416" s="41"/>
      <c r="L416" s="41"/>
      <c r="M416" s="41"/>
      <c r="N416" s="41"/>
      <c r="O416" s="41"/>
      <c r="P416" s="41"/>
      <c r="Q416" s="51"/>
    </row>
    <row r="417" spans="1:17" x14ac:dyDescent="0.25">
      <c r="A417" s="7"/>
      <c r="B417" s="15"/>
      <c r="C417" s="15"/>
      <c r="D417" s="15"/>
      <c r="E417" s="11"/>
      <c r="F417" s="44"/>
      <c r="G417" s="44"/>
      <c r="H417" s="44"/>
      <c r="I417" s="44"/>
      <c r="J417" s="41"/>
      <c r="K417" s="41"/>
      <c r="L417" s="41"/>
      <c r="M417" s="41"/>
      <c r="N417" s="41"/>
      <c r="O417" s="41"/>
      <c r="P417" s="41"/>
      <c r="Q417" s="51"/>
    </row>
    <row r="418" spans="1:17" x14ac:dyDescent="0.25">
      <c r="A418" s="7"/>
      <c r="B418" s="15"/>
      <c r="C418" s="15"/>
      <c r="D418" s="15"/>
      <c r="E418" s="11"/>
      <c r="F418" s="44"/>
      <c r="G418" s="44"/>
      <c r="H418" s="44"/>
      <c r="I418" s="44"/>
      <c r="J418" s="41"/>
      <c r="K418" s="41"/>
      <c r="L418" s="41"/>
      <c r="M418" s="41"/>
      <c r="N418" s="41"/>
      <c r="O418" s="41"/>
      <c r="P418" s="41"/>
      <c r="Q418" s="51"/>
    </row>
    <row r="419" spans="1:17" x14ac:dyDescent="0.25">
      <c r="A419" s="7"/>
      <c r="B419" s="15"/>
      <c r="C419" s="15"/>
      <c r="D419" s="15"/>
      <c r="E419" s="11"/>
      <c r="F419" s="44"/>
      <c r="G419" s="44"/>
      <c r="H419" s="44"/>
      <c r="I419" s="44"/>
      <c r="J419" s="41"/>
      <c r="K419" s="41"/>
      <c r="L419" s="41"/>
      <c r="M419" s="41"/>
      <c r="N419" s="41"/>
      <c r="O419" s="41"/>
      <c r="P419" s="41"/>
      <c r="Q419" s="51"/>
    </row>
    <row r="420" spans="1:17" x14ac:dyDescent="0.25">
      <c r="A420" s="7"/>
      <c r="B420" s="15"/>
      <c r="C420" s="15"/>
      <c r="D420" s="15"/>
      <c r="E420" s="11"/>
      <c r="F420" s="44"/>
      <c r="G420" s="44"/>
      <c r="H420" s="44"/>
      <c r="I420" s="44"/>
      <c r="J420" s="41"/>
      <c r="K420" s="41"/>
      <c r="L420" s="41"/>
      <c r="M420" s="41"/>
      <c r="N420" s="41"/>
      <c r="O420" s="41"/>
      <c r="P420" s="41"/>
      <c r="Q420" s="51"/>
    </row>
    <row r="421" spans="1:17" x14ac:dyDescent="0.25">
      <c r="A421" s="7"/>
      <c r="B421" s="15"/>
      <c r="C421" s="15"/>
      <c r="D421" s="15"/>
      <c r="E421" s="11"/>
      <c r="F421" s="44"/>
      <c r="G421" s="44"/>
      <c r="H421" s="44"/>
      <c r="I421" s="44"/>
      <c r="J421" s="41"/>
      <c r="K421" s="41"/>
      <c r="L421" s="41"/>
      <c r="M421" s="41"/>
      <c r="N421" s="41"/>
      <c r="O421" s="41"/>
      <c r="P421" s="41"/>
      <c r="Q421" s="51"/>
    </row>
    <row r="422" spans="1:17" x14ac:dyDescent="0.25">
      <c r="A422" s="7"/>
      <c r="B422" s="15"/>
      <c r="C422" s="15"/>
      <c r="D422" s="15"/>
      <c r="E422" s="11"/>
      <c r="F422" s="44"/>
      <c r="G422" s="44"/>
      <c r="H422" s="44"/>
      <c r="I422" s="44"/>
      <c r="J422" s="41"/>
      <c r="K422" s="41"/>
      <c r="L422" s="41"/>
      <c r="M422" s="41"/>
      <c r="N422" s="41"/>
      <c r="O422" s="41"/>
      <c r="P422" s="41"/>
      <c r="Q422" s="51"/>
    </row>
    <row r="423" spans="1:17" x14ac:dyDescent="0.25">
      <c r="A423" s="7"/>
      <c r="B423" s="15"/>
      <c r="C423" s="15"/>
      <c r="D423" s="15"/>
      <c r="E423" s="11"/>
      <c r="F423" s="44"/>
      <c r="G423" s="44"/>
      <c r="H423" s="44"/>
      <c r="I423" s="44"/>
      <c r="J423" s="41"/>
      <c r="K423" s="41"/>
      <c r="L423" s="41"/>
      <c r="M423" s="41"/>
      <c r="N423" s="41"/>
      <c r="O423" s="41"/>
      <c r="P423" s="41"/>
      <c r="Q423" s="51"/>
    </row>
    <row r="424" spans="1:17" x14ac:dyDescent="0.25">
      <c r="A424" s="7"/>
      <c r="B424" s="15"/>
      <c r="C424" s="15"/>
      <c r="D424" s="15"/>
      <c r="E424" s="11"/>
      <c r="F424" s="44"/>
      <c r="G424" s="44"/>
      <c r="H424" s="44"/>
      <c r="I424" s="44"/>
      <c r="J424" s="41"/>
      <c r="K424" s="41"/>
      <c r="L424" s="41"/>
      <c r="M424" s="41"/>
      <c r="N424" s="41"/>
      <c r="O424" s="41"/>
      <c r="P424" s="41"/>
      <c r="Q424" s="51"/>
    </row>
    <row r="425" spans="1:17" x14ac:dyDescent="0.25">
      <c r="A425" s="7"/>
      <c r="B425" s="15"/>
      <c r="C425" s="15"/>
      <c r="D425" s="15"/>
      <c r="E425" s="11"/>
      <c r="F425" s="44"/>
      <c r="G425" s="44"/>
      <c r="H425" s="44"/>
      <c r="I425" s="44"/>
      <c r="J425" s="41"/>
      <c r="K425" s="41"/>
      <c r="L425" s="41"/>
      <c r="M425" s="41"/>
      <c r="N425" s="41"/>
      <c r="O425" s="41"/>
      <c r="P425" s="41"/>
      <c r="Q425" s="51"/>
    </row>
    <row r="426" spans="1:17" x14ac:dyDescent="0.25">
      <c r="A426" s="7"/>
      <c r="B426" s="15"/>
      <c r="C426" s="15"/>
      <c r="D426" s="15"/>
      <c r="E426" s="11"/>
      <c r="F426" s="44"/>
      <c r="G426" s="44"/>
      <c r="H426" s="44"/>
      <c r="I426" s="44"/>
      <c r="J426" s="41"/>
      <c r="K426" s="41"/>
      <c r="L426" s="41"/>
      <c r="M426" s="41"/>
      <c r="N426" s="41"/>
      <c r="O426" s="41"/>
      <c r="P426" s="41"/>
      <c r="Q426" s="51"/>
    </row>
    <row r="427" spans="1:17" x14ac:dyDescent="0.25">
      <c r="A427" s="7"/>
      <c r="B427" s="15"/>
      <c r="C427" s="15"/>
      <c r="D427" s="15"/>
      <c r="E427" s="11"/>
      <c r="F427" s="44"/>
      <c r="G427" s="44"/>
      <c r="H427" s="44"/>
      <c r="I427" s="44"/>
      <c r="J427" s="41"/>
      <c r="K427" s="41"/>
      <c r="L427" s="41"/>
      <c r="M427" s="41"/>
      <c r="N427" s="41"/>
      <c r="O427" s="41"/>
      <c r="P427" s="41"/>
      <c r="Q427" s="51"/>
    </row>
    <row r="428" spans="1:17" x14ac:dyDescent="0.25">
      <c r="A428" s="7"/>
      <c r="B428" s="15"/>
      <c r="C428" s="15"/>
      <c r="D428" s="15"/>
      <c r="E428" s="11"/>
      <c r="F428" s="44"/>
      <c r="G428" s="44"/>
      <c r="H428" s="44"/>
      <c r="I428" s="44"/>
      <c r="J428" s="41"/>
      <c r="K428" s="41"/>
      <c r="L428" s="41"/>
      <c r="M428" s="41"/>
      <c r="N428" s="41"/>
      <c r="O428" s="41"/>
      <c r="P428" s="41"/>
      <c r="Q428" s="51"/>
    </row>
    <row r="429" spans="1:17" x14ac:dyDescent="0.25">
      <c r="A429" s="7"/>
      <c r="B429" s="15"/>
      <c r="C429" s="15"/>
      <c r="D429" s="15"/>
      <c r="E429" s="11"/>
      <c r="F429" s="44"/>
      <c r="G429" s="44"/>
      <c r="H429" s="44"/>
      <c r="I429" s="44"/>
      <c r="J429" s="41"/>
      <c r="K429" s="41"/>
      <c r="L429" s="41"/>
      <c r="M429" s="41"/>
      <c r="N429" s="41"/>
      <c r="O429" s="41"/>
      <c r="P429" s="41"/>
      <c r="Q429" s="51"/>
    </row>
    <row r="430" spans="1:17" x14ac:dyDescent="0.25">
      <c r="A430" s="7"/>
      <c r="B430" s="15"/>
      <c r="C430" s="15"/>
      <c r="D430" s="15"/>
      <c r="E430" s="11"/>
      <c r="F430" s="44"/>
      <c r="G430" s="44"/>
      <c r="H430" s="44"/>
      <c r="I430" s="44"/>
      <c r="J430" s="41"/>
      <c r="K430" s="41"/>
      <c r="L430" s="41"/>
      <c r="M430" s="41"/>
      <c r="N430" s="41"/>
      <c r="O430" s="41"/>
      <c r="P430" s="41"/>
      <c r="Q430" s="51"/>
    </row>
    <row r="431" spans="1:17" x14ac:dyDescent="0.25">
      <c r="A431" s="7"/>
      <c r="B431" s="15"/>
      <c r="C431" s="15"/>
      <c r="D431" s="15"/>
      <c r="E431" s="11"/>
      <c r="F431" s="44"/>
      <c r="G431" s="44"/>
      <c r="H431" s="44"/>
      <c r="I431" s="44"/>
      <c r="J431" s="41"/>
      <c r="K431" s="41"/>
      <c r="L431" s="41"/>
      <c r="M431" s="41"/>
      <c r="N431" s="41"/>
      <c r="O431" s="41"/>
      <c r="P431" s="41"/>
      <c r="Q431" s="51"/>
    </row>
    <row r="432" spans="1:17" x14ac:dyDescent="0.25">
      <c r="A432" s="7"/>
      <c r="B432" s="15"/>
      <c r="C432" s="15"/>
      <c r="D432" s="15"/>
      <c r="E432" s="11"/>
      <c r="F432" s="44"/>
      <c r="G432" s="44"/>
      <c r="H432" s="44"/>
      <c r="I432" s="44"/>
      <c r="J432" s="41"/>
      <c r="K432" s="41"/>
      <c r="L432" s="41"/>
      <c r="M432" s="41"/>
      <c r="N432" s="41"/>
      <c r="O432" s="41"/>
      <c r="P432" s="41"/>
      <c r="Q432" s="51"/>
    </row>
    <row r="433" spans="1:17" x14ac:dyDescent="0.25">
      <c r="A433" s="7"/>
      <c r="B433" s="15"/>
      <c r="C433" s="15"/>
      <c r="D433" s="15"/>
      <c r="E433" s="11"/>
      <c r="F433" s="44"/>
      <c r="G433" s="44"/>
      <c r="H433" s="44"/>
      <c r="I433" s="44"/>
      <c r="J433" s="41"/>
      <c r="K433" s="41"/>
      <c r="L433" s="41"/>
      <c r="M433" s="41"/>
      <c r="N433" s="41"/>
      <c r="O433" s="41"/>
      <c r="P433" s="41"/>
      <c r="Q433" s="51"/>
    </row>
    <row r="434" spans="1:17" x14ac:dyDescent="0.25">
      <c r="A434" s="7"/>
      <c r="B434" s="15"/>
      <c r="C434" s="15"/>
      <c r="D434" s="15"/>
      <c r="E434" s="11"/>
      <c r="F434" s="44"/>
      <c r="G434" s="44"/>
      <c r="H434" s="44"/>
      <c r="I434" s="44"/>
      <c r="J434" s="41"/>
      <c r="K434" s="41"/>
      <c r="L434" s="41"/>
      <c r="M434" s="41"/>
      <c r="N434" s="41"/>
      <c r="O434" s="41"/>
      <c r="P434" s="41"/>
      <c r="Q434" s="51"/>
    </row>
    <row r="435" spans="1:17" x14ac:dyDescent="0.25">
      <c r="A435" s="7"/>
      <c r="B435" s="15"/>
      <c r="C435" s="15"/>
      <c r="D435" s="15"/>
      <c r="E435" s="11"/>
      <c r="F435" s="44"/>
      <c r="G435" s="44"/>
      <c r="H435" s="44"/>
      <c r="I435" s="44"/>
      <c r="J435" s="41"/>
      <c r="K435" s="41"/>
      <c r="L435" s="41"/>
      <c r="M435" s="41"/>
      <c r="N435" s="41"/>
      <c r="O435" s="41"/>
      <c r="P435" s="41"/>
      <c r="Q435" s="51"/>
    </row>
    <row r="436" spans="1:17" x14ac:dyDescent="0.25">
      <c r="A436" s="7"/>
      <c r="B436" s="15"/>
      <c r="C436" s="15"/>
      <c r="D436" s="15"/>
      <c r="E436" s="11"/>
      <c r="F436" s="44"/>
      <c r="G436" s="44"/>
      <c r="H436" s="44"/>
      <c r="I436" s="44"/>
      <c r="J436" s="41"/>
      <c r="K436" s="41"/>
      <c r="L436" s="41"/>
      <c r="M436" s="41"/>
      <c r="N436" s="41"/>
      <c r="O436" s="41"/>
      <c r="P436" s="41"/>
      <c r="Q436" s="51"/>
    </row>
    <row r="437" spans="1:17" x14ac:dyDescent="0.25">
      <c r="A437" s="7"/>
      <c r="B437" s="15"/>
      <c r="C437" s="15"/>
      <c r="D437" s="15"/>
      <c r="E437" s="11"/>
      <c r="F437" s="44"/>
      <c r="G437" s="44"/>
      <c r="H437" s="44"/>
      <c r="I437" s="44"/>
      <c r="J437" s="41"/>
      <c r="K437" s="41"/>
      <c r="L437" s="41"/>
      <c r="M437" s="41"/>
      <c r="N437" s="41"/>
      <c r="O437" s="41"/>
      <c r="P437" s="41"/>
      <c r="Q437" s="51"/>
    </row>
    <row r="438" spans="1:17" x14ac:dyDescent="0.25">
      <c r="A438" s="7"/>
      <c r="B438" s="15"/>
      <c r="C438" s="15"/>
      <c r="D438" s="15"/>
      <c r="E438" s="11"/>
      <c r="F438" s="44"/>
      <c r="G438" s="44"/>
      <c r="H438" s="44"/>
      <c r="I438" s="44"/>
      <c r="J438" s="41"/>
      <c r="K438" s="41"/>
      <c r="L438" s="41"/>
      <c r="M438" s="41"/>
      <c r="N438" s="41"/>
      <c r="O438" s="41"/>
      <c r="P438" s="41"/>
      <c r="Q438" s="51"/>
    </row>
    <row r="439" spans="1:17" x14ac:dyDescent="0.25">
      <c r="A439" s="7"/>
      <c r="B439" s="15"/>
      <c r="C439" s="15"/>
      <c r="D439" s="15"/>
      <c r="E439" s="11"/>
      <c r="F439" s="44"/>
      <c r="G439" s="44"/>
      <c r="H439" s="44"/>
      <c r="I439" s="44"/>
      <c r="J439" s="41"/>
      <c r="K439" s="41"/>
      <c r="L439" s="41"/>
      <c r="M439" s="41"/>
      <c r="N439" s="41"/>
      <c r="O439" s="41"/>
      <c r="P439" s="41"/>
      <c r="Q439" s="51"/>
    </row>
    <row r="440" spans="1:17" x14ac:dyDescent="0.25">
      <c r="A440" s="7"/>
      <c r="B440" s="15"/>
      <c r="C440" s="15"/>
      <c r="D440" s="15"/>
      <c r="E440" s="11"/>
      <c r="F440" s="44"/>
      <c r="G440" s="44"/>
      <c r="H440" s="44"/>
      <c r="I440" s="44"/>
      <c r="J440" s="41"/>
      <c r="K440" s="41"/>
      <c r="L440" s="41"/>
      <c r="M440" s="41"/>
      <c r="N440" s="41"/>
      <c r="O440" s="41"/>
      <c r="P440" s="41"/>
      <c r="Q440" s="51"/>
    </row>
    <row r="441" spans="1:17" x14ac:dyDescent="0.25">
      <c r="A441" s="7"/>
      <c r="B441" s="15"/>
      <c r="C441" s="15"/>
      <c r="D441" s="15"/>
      <c r="E441" s="11"/>
      <c r="F441" s="44"/>
      <c r="G441" s="44"/>
      <c r="H441" s="44"/>
      <c r="I441" s="44"/>
      <c r="J441" s="41"/>
      <c r="K441" s="41"/>
      <c r="L441" s="41"/>
      <c r="M441" s="41"/>
      <c r="N441" s="41"/>
      <c r="O441" s="41"/>
      <c r="P441" s="41"/>
      <c r="Q441" s="51"/>
    </row>
    <row r="442" spans="1:17" x14ac:dyDescent="0.25">
      <c r="A442" s="7"/>
      <c r="B442" s="15"/>
      <c r="C442" s="15"/>
      <c r="D442" s="15"/>
      <c r="E442" s="11"/>
      <c r="F442" s="44"/>
      <c r="G442" s="44"/>
      <c r="H442" s="44"/>
      <c r="I442" s="44"/>
      <c r="J442" s="41"/>
      <c r="K442" s="41"/>
      <c r="L442" s="41"/>
      <c r="M442" s="41"/>
      <c r="N442" s="41"/>
      <c r="O442" s="41"/>
      <c r="P442" s="41"/>
      <c r="Q442" s="51"/>
    </row>
    <row r="443" spans="1:17" x14ac:dyDescent="0.25">
      <c r="A443" s="7"/>
      <c r="B443" s="15"/>
      <c r="C443" s="15"/>
      <c r="D443" s="15"/>
      <c r="E443" s="11"/>
      <c r="F443" s="44"/>
      <c r="G443" s="44"/>
      <c r="H443" s="44"/>
      <c r="I443" s="44"/>
      <c r="J443" s="41"/>
      <c r="K443" s="41"/>
      <c r="L443" s="41"/>
      <c r="M443" s="41"/>
      <c r="N443" s="41"/>
      <c r="O443" s="41"/>
      <c r="P443" s="41"/>
      <c r="Q443" s="51"/>
    </row>
    <row r="444" spans="1:17" x14ac:dyDescent="0.25">
      <c r="A444" s="7"/>
      <c r="B444" s="15"/>
      <c r="C444" s="15"/>
      <c r="D444" s="15"/>
      <c r="E444" s="11"/>
      <c r="F444" s="44"/>
      <c r="G444" s="44"/>
      <c r="H444" s="44"/>
      <c r="I444" s="44"/>
      <c r="J444" s="41"/>
      <c r="K444" s="41"/>
      <c r="L444" s="41"/>
      <c r="M444" s="41"/>
      <c r="N444" s="41"/>
      <c r="O444" s="41"/>
      <c r="P444" s="41"/>
      <c r="Q444" s="51"/>
    </row>
    <row r="445" spans="1:17" x14ac:dyDescent="0.25">
      <c r="A445" s="7"/>
      <c r="B445" s="15"/>
      <c r="C445" s="15"/>
      <c r="D445" s="15"/>
      <c r="E445" s="11"/>
      <c r="F445" s="44"/>
      <c r="G445" s="44"/>
      <c r="H445" s="44"/>
      <c r="I445" s="44"/>
      <c r="J445" s="41"/>
      <c r="K445" s="41"/>
      <c r="L445" s="41"/>
      <c r="M445" s="41"/>
      <c r="N445" s="41"/>
      <c r="O445" s="41"/>
      <c r="P445" s="41"/>
      <c r="Q445" s="51"/>
    </row>
    <row r="446" spans="1:17" x14ac:dyDescent="0.25">
      <c r="A446" s="7"/>
      <c r="B446" s="15"/>
      <c r="C446" s="15"/>
      <c r="D446" s="15"/>
      <c r="E446" s="11"/>
      <c r="F446" s="44"/>
      <c r="G446" s="44"/>
      <c r="H446" s="44"/>
      <c r="I446" s="44"/>
      <c r="J446" s="41"/>
      <c r="K446" s="41"/>
      <c r="L446" s="41"/>
      <c r="M446" s="41"/>
      <c r="N446" s="41"/>
      <c r="O446" s="41"/>
      <c r="P446" s="41"/>
      <c r="Q446" s="51"/>
    </row>
  </sheetData>
  <hyperlinks>
    <hyperlink ref="E95" r:id="rId1" xr:uid="{D4A332A1-A47F-4B48-84A2-10CBFF7DEA6A}"/>
    <hyperlink ref="E3" r:id="rId2" xr:uid="{826724A0-D31F-4E4A-BFAA-E4245CBF6C83}"/>
    <hyperlink ref="E4:E16" r:id="rId3" display="Census" xr:uid="{BAC2CAE2-C400-413C-AA75-109D9491C3FE}"/>
    <hyperlink ref="E96:E108" r:id="rId4" display="NRCan NEUD" xr:uid="{CCAE47BF-64C9-4AD2-9C4D-D1274878717F}"/>
    <hyperlink ref="E109" r:id="rId5" xr:uid="{84CAF6A8-1A2D-4D54-966F-CF5CDC4F58A9}"/>
    <hyperlink ref="E110:E122" r:id="rId6" display="NRCan NEUD" xr:uid="{6C821455-32F8-4FBB-A6CC-03A80839B471}"/>
    <hyperlink ref="E123" r:id="rId7" xr:uid="{0ACB84C8-AC4F-4542-8675-E8FF16260D27}"/>
    <hyperlink ref="E124:E136" r:id="rId8" display="NRCan NEUD" xr:uid="{7881ED2E-9B20-44FF-A5E1-F577FE860D9E}"/>
    <hyperlink ref="E137" r:id="rId9" xr:uid="{070E75ED-8DE1-47A0-94CE-3BC22D48396B}"/>
    <hyperlink ref="E138:E150" r:id="rId10" display="NRCan NEUD" xr:uid="{4149BCAF-989F-4727-BBE5-48FB1E1B49F9}"/>
    <hyperlink ref="E20:E32" r:id="rId11" display="Census" xr:uid="{003F5CDC-D7AF-4FCF-8EBE-8199ECF80BB9}"/>
    <hyperlink ref="E36" r:id="rId12" xr:uid="{B85865D0-0F53-4C8D-A1DD-CDC0062C7ECE}"/>
    <hyperlink ref="E37:E49" r:id="rId13" display="NRCan NEUD" xr:uid="{94337504-BCFA-460C-859A-5474FFBD5691}"/>
    <hyperlink ref="E50" r:id="rId14" xr:uid="{5D0F1F3F-F14C-4A66-8B99-5972C9136445}"/>
    <hyperlink ref="E51:E63" r:id="rId15" display="NRCan NEUD" xr:uid="{3E687931-CBB0-4D25-9E1D-259FDA747328}"/>
    <hyperlink ref="E64" r:id="rId16" xr:uid="{31BE3213-CBB0-4A05-B192-875EEAF0DC1E}"/>
    <hyperlink ref="E65:E77" r:id="rId17" display="NRCan NEUD" xr:uid="{3420F4E9-03B0-4E48-A934-088649D8AB47}"/>
    <hyperlink ref="E78" r:id="rId18" xr:uid="{DAA19C1E-944F-4C4F-B199-D692E4822A22}"/>
    <hyperlink ref="E79:E91" r:id="rId19" display="NRCan NEUD" xr:uid="{5211E783-7872-420B-AE45-3E7F68B24291}"/>
  </hyperlinks>
  <pageMargins left="0.7" right="0.7" top="0.75" bottom="0.75" header="0.3" footer="0.3"/>
  <pageSetup orientation="portrait" horizontalDpi="4294967293" verticalDpi="0" r:id="rId2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Lists</vt:lpstr>
      <vt:lpstr>Model</vt:lpstr>
      <vt:lpstr>Example calcs 2000</vt:lpstr>
      <vt:lpstr>Example calcs 2005</vt:lpstr>
      <vt:lpstr>Macro</vt:lpstr>
      <vt:lpstr>Residential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Brad</dc:creator>
  <cp:lastModifiedBy>Brad GRIFFIN</cp:lastModifiedBy>
  <dcterms:created xsi:type="dcterms:W3CDTF">2019-06-05T23:49:53Z</dcterms:created>
  <dcterms:modified xsi:type="dcterms:W3CDTF">2019-10-23T22:00:36Z</dcterms:modified>
</cp:coreProperties>
</file>