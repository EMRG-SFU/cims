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CIMS\pyCIMS\Model Description\"/>
    </mc:Choice>
  </mc:AlternateContent>
  <xr:revisionPtr revIDLastSave="0" documentId="13_ncr:1_{44FB9A82-A063-41E3-84B1-C4D5A6CF57DF}" xr6:coauthVersionLast="45" xr6:coauthVersionMax="45" xr10:uidLastSave="{00000000-0000-0000-0000-000000000000}"/>
  <bookViews>
    <workbookView xWindow="23880" yWindow="-8190" windowWidth="51840" windowHeight="21240" activeTab="1" xr2:uid="{E476153B-9FEF-4406-8A04-624F81383283}"/>
  </bookViews>
  <sheets>
    <sheet name="Lists" sheetId="16" r:id="rId1"/>
    <sheet name="Model" sheetId="102" r:id="rId2"/>
    <sheet name="Macro" sheetId="103" r:id="rId3"/>
    <sheet name="Residential" sheetId="104" r:id="rId4"/>
  </sheets>
  <functionGroups builtInGroupCount="19"/>
  <definedNames>
    <definedName name="Competition">Lists!$A$2:INDEX(Lists!$A:$A,COUNTA(Lists!$A:$A))</definedName>
    <definedName name="DemandSupply">Lists!$G$2:INDEX(Lists!$G:$G,COUNTA(Lists!$G:$G))</definedName>
    <definedName name="Fuels">Lists!$I$2:INDEX(Lists!$I:$I,COUNTA(Lists!$I:$I))</definedName>
    <definedName name="GHGs">Lists!$K$2:INDEX(Lists!$K:$K,COUNTA(Lists!$K:$K))</definedName>
    <definedName name="Regions">Lists!$C$2:INDEX(Lists!$C:$C,COUNTA(Lists!$C:$C))</definedName>
    <definedName name="Sectors">Lists!$F$2:INDEX(Lists!$F:$F,COUNTA(Lists!$F:$F))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133" i="102" l="1"/>
  <c r="X287" i="102"/>
  <c r="X286" i="102"/>
  <c r="X285" i="102"/>
  <c r="X284" i="102"/>
  <c r="X283" i="102"/>
  <c r="X282" i="102"/>
  <c r="X281" i="102"/>
  <c r="X280" i="102"/>
  <c r="X279" i="102"/>
  <c r="X278" i="102"/>
  <c r="X277" i="102"/>
  <c r="X276" i="102"/>
  <c r="X275" i="102"/>
  <c r="X274" i="102"/>
  <c r="X273" i="102"/>
  <c r="X272" i="102"/>
  <c r="X271" i="102"/>
  <c r="X270" i="102"/>
  <c r="X269" i="102"/>
  <c r="X268" i="102"/>
  <c r="X267" i="102"/>
  <c r="X266" i="102"/>
  <c r="X265" i="102"/>
  <c r="X264" i="102"/>
  <c r="X8" i="102"/>
  <c r="X196" i="102"/>
  <c r="X195" i="102"/>
  <c r="X194" i="102"/>
  <c r="X254" i="102"/>
  <c r="X253" i="102"/>
  <c r="X252" i="102"/>
  <c r="X251" i="102"/>
  <c r="X250" i="102"/>
  <c r="X249" i="102"/>
  <c r="X248" i="102"/>
  <c r="X247" i="102"/>
  <c r="X246" i="102"/>
  <c r="X245" i="102"/>
  <c r="X244" i="102"/>
  <c r="X243" i="102"/>
  <c r="X242" i="102"/>
  <c r="X241" i="102"/>
  <c r="X240" i="102"/>
  <c r="X239" i="102"/>
  <c r="X238" i="102"/>
  <c r="X237" i="102"/>
  <c r="X236" i="102"/>
  <c r="X235" i="102"/>
  <c r="X234" i="102"/>
  <c r="X233" i="102"/>
  <c r="X232" i="102"/>
  <c r="X231" i="102"/>
  <c r="X230" i="102"/>
  <c r="X229" i="102"/>
  <c r="X228" i="102"/>
  <c r="X227" i="102"/>
  <c r="X226" i="102"/>
  <c r="X225" i="102"/>
  <c r="X224" i="102"/>
  <c r="X223" i="102"/>
  <c r="X222" i="102"/>
  <c r="X221" i="102"/>
  <c r="X220" i="102"/>
  <c r="X219" i="102"/>
  <c r="X218" i="102"/>
  <c r="X217" i="102"/>
  <c r="X216" i="102"/>
  <c r="X215" i="102"/>
  <c r="X214" i="102"/>
  <c r="X213" i="102"/>
  <c r="X212" i="102"/>
  <c r="X211" i="102"/>
  <c r="X210" i="102"/>
  <c r="X209" i="102"/>
  <c r="X208" i="102"/>
  <c r="X207" i="102"/>
  <c r="X206" i="102"/>
  <c r="X205" i="102"/>
  <c r="X204" i="102"/>
  <c r="X203" i="102"/>
  <c r="AM22" i="102"/>
  <c r="AL22" i="102"/>
  <c r="AK22" i="102"/>
  <c r="AJ22" i="102"/>
  <c r="AI22" i="102"/>
  <c r="AH22" i="102"/>
  <c r="AG22" i="102"/>
  <c r="AC22" i="102"/>
  <c r="P32" i="104"/>
  <c r="O32" i="104"/>
  <c r="N32" i="104"/>
  <c r="M32" i="104"/>
  <c r="L32" i="104"/>
  <c r="K32" i="104"/>
  <c r="J32" i="104"/>
  <c r="F32" i="104"/>
  <c r="P31" i="104"/>
  <c r="O31" i="104"/>
  <c r="N31" i="104"/>
  <c r="M31" i="104"/>
  <c r="L31" i="104"/>
  <c r="K31" i="104"/>
  <c r="J31" i="104"/>
  <c r="F31" i="104"/>
  <c r="P30" i="104"/>
  <c r="O30" i="104"/>
  <c r="N30" i="104"/>
  <c r="M30" i="104"/>
  <c r="L30" i="104"/>
  <c r="K30" i="104"/>
  <c r="J30" i="104"/>
  <c r="F30" i="104"/>
  <c r="P29" i="104"/>
  <c r="O29" i="104"/>
  <c r="N29" i="104"/>
  <c r="M29" i="104"/>
  <c r="L29" i="104"/>
  <c r="K29" i="104"/>
  <c r="J29" i="104"/>
  <c r="F29" i="104"/>
  <c r="P28" i="104"/>
  <c r="O28" i="104"/>
  <c r="N28" i="104"/>
  <c r="M28" i="104"/>
  <c r="L28" i="104"/>
  <c r="K28" i="104"/>
  <c r="J28" i="104"/>
  <c r="F28" i="104"/>
  <c r="P27" i="104"/>
  <c r="O27" i="104"/>
  <c r="N27" i="104"/>
  <c r="M27" i="104"/>
  <c r="L27" i="104"/>
  <c r="K27" i="104"/>
  <c r="J27" i="104"/>
  <c r="F27" i="104"/>
  <c r="P26" i="104"/>
  <c r="O26" i="104"/>
  <c r="N26" i="104"/>
  <c r="M26" i="104"/>
  <c r="L26" i="104"/>
  <c r="K26" i="104"/>
  <c r="J26" i="104"/>
  <c r="F26" i="104"/>
  <c r="P25" i="104"/>
  <c r="O25" i="104"/>
  <c r="N25" i="104"/>
  <c r="M25" i="104"/>
  <c r="L25" i="104"/>
  <c r="K25" i="104"/>
  <c r="J25" i="104"/>
  <c r="F25" i="104"/>
  <c r="P24" i="104"/>
  <c r="O24" i="104"/>
  <c r="N24" i="104"/>
  <c r="M24" i="104"/>
  <c r="L24" i="104"/>
  <c r="K24" i="104"/>
  <c r="J24" i="104"/>
  <c r="F24" i="104"/>
  <c r="P23" i="104"/>
  <c r="O23" i="104"/>
  <c r="N23" i="104"/>
  <c r="M23" i="104"/>
  <c r="L23" i="104"/>
  <c r="K23" i="104"/>
  <c r="J23" i="104"/>
  <c r="F23" i="104"/>
  <c r="P22" i="104"/>
  <c r="O22" i="104"/>
  <c r="N22" i="104"/>
  <c r="M22" i="104"/>
  <c r="L22" i="104"/>
  <c r="K22" i="104"/>
  <c r="J22" i="104"/>
  <c r="F22" i="104"/>
  <c r="P21" i="104"/>
  <c r="O21" i="104"/>
  <c r="N21" i="104"/>
  <c r="M21" i="104"/>
  <c r="L21" i="104"/>
  <c r="K21" i="104"/>
  <c r="J21" i="104"/>
  <c r="F21" i="104"/>
  <c r="P20" i="104"/>
  <c r="O20" i="104"/>
  <c r="N20" i="104"/>
  <c r="M20" i="104"/>
  <c r="L20" i="104"/>
  <c r="K20" i="104"/>
  <c r="J20" i="104"/>
  <c r="F20" i="104"/>
  <c r="P19" i="104"/>
  <c r="O19" i="104"/>
  <c r="N19" i="104"/>
  <c r="M19" i="104"/>
  <c r="L19" i="104"/>
  <c r="K19" i="104"/>
  <c r="J19" i="104"/>
  <c r="F19" i="104"/>
  <c r="AM17" i="102"/>
  <c r="AL17" i="102"/>
  <c r="AK17" i="102"/>
  <c r="AJ17" i="102"/>
  <c r="AI17" i="102"/>
  <c r="AH17" i="102"/>
  <c r="AG17" i="102"/>
  <c r="AC17" i="102"/>
  <c r="AM15" i="102"/>
  <c r="AL15" i="102"/>
  <c r="AK15" i="102"/>
  <c r="AJ15" i="102"/>
  <c r="AI15" i="102"/>
  <c r="AH15" i="102"/>
  <c r="AG15" i="102"/>
  <c r="AF15" i="102"/>
  <c r="AE15" i="102"/>
  <c r="AD15" i="102"/>
  <c r="AC15" i="102"/>
  <c r="AM14" i="102"/>
  <c r="AL14" i="102"/>
  <c r="AK14" i="102"/>
  <c r="AJ14" i="102"/>
  <c r="AI14" i="102"/>
  <c r="AH14" i="102"/>
  <c r="AG14" i="102"/>
  <c r="AF14" i="102"/>
  <c r="AE14" i="102"/>
  <c r="AD14" i="102"/>
  <c r="AC14" i="102"/>
  <c r="P91" i="104"/>
  <c r="O91" i="104"/>
  <c r="N91" i="104"/>
  <c r="M91" i="104"/>
  <c r="L91" i="104"/>
  <c r="K91" i="104"/>
  <c r="J91" i="104"/>
  <c r="P90" i="104"/>
  <c r="O90" i="104"/>
  <c r="N90" i="104"/>
  <c r="M90" i="104"/>
  <c r="L90" i="104"/>
  <c r="K90" i="104"/>
  <c r="J90" i="104"/>
  <c r="P89" i="104"/>
  <c r="O89" i="104"/>
  <c r="N89" i="104"/>
  <c r="M89" i="104"/>
  <c r="L89" i="104"/>
  <c r="K89" i="104"/>
  <c r="J89" i="104"/>
  <c r="P88" i="104"/>
  <c r="O88" i="104"/>
  <c r="N88" i="104"/>
  <c r="M88" i="104"/>
  <c r="L88" i="104"/>
  <c r="K88" i="104"/>
  <c r="J88" i="104"/>
  <c r="P87" i="104"/>
  <c r="O87" i="104"/>
  <c r="N87" i="104"/>
  <c r="M87" i="104"/>
  <c r="L87" i="104"/>
  <c r="K87" i="104"/>
  <c r="J87" i="104"/>
  <c r="P86" i="104"/>
  <c r="O86" i="104"/>
  <c r="N86" i="104"/>
  <c r="M86" i="104"/>
  <c r="L86" i="104"/>
  <c r="K86" i="104"/>
  <c r="J86" i="104"/>
  <c r="P85" i="104"/>
  <c r="O85" i="104"/>
  <c r="N85" i="104"/>
  <c r="M85" i="104"/>
  <c r="L85" i="104"/>
  <c r="K85" i="104"/>
  <c r="J85" i="104"/>
  <c r="P84" i="104"/>
  <c r="O84" i="104"/>
  <c r="N84" i="104"/>
  <c r="M84" i="104"/>
  <c r="L84" i="104"/>
  <c r="K84" i="104"/>
  <c r="J84" i="104"/>
  <c r="P83" i="104"/>
  <c r="O83" i="104"/>
  <c r="N83" i="104"/>
  <c r="M83" i="104"/>
  <c r="L83" i="104"/>
  <c r="K83" i="104"/>
  <c r="J83" i="104"/>
  <c r="P82" i="104"/>
  <c r="O82" i="104"/>
  <c r="N82" i="104"/>
  <c r="M82" i="104"/>
  <c r="L82" i="104"/>
  <c r="K82" i="104"/>
  <c r="J82" i="104"/>
  <c r="P81" i="104"/>
  <c r="O81" i="104"/>
  <c r="N81" i="104"/>
  <c r="M81" i="104"/>
  <c r="L81" i="104"/>
  <c r="K81" i="104"/>
  <c r="J81" i="104"/>
  <c r="P80" i="104"/>
  <c r="O80" i="104"/>
  <c r="N80" i="104"/>
  <c r="M80" i="104"/>
  <c r="L80" i="104"/>
  <c r="K80" i="104"/>
  <c r="J80" i="104"/>
  <c r="P79" i="104"/>
  <c r="O79" i="104"/>
  <c r="N79" i="104"/>
  <c r="M79" i="104"/>
  <c r="L79" i="104"/>
  <c r="K79" i="104"/>
  <c r="J79" i="104"/>
  <c r="P78" i="104"/>
  <c r="O78" i="104"/>
  <c r="N78" i="104"/>
  <c r="M78" i="104"/>
  <c r="L78" i="104"/>
  <c r="K78" i="104"/>
  <c r="J78" i="104"/>
  <c r="P77" i="104"/>
  <c r="O77" i="104"/>
  <c r="N77" i="104"/>
  <c r="M77" i="104"/>
  <c r="L77" i="104"/>
  <c r="K77" i="104"/>
  <c r="J77" i="104"/>
  <c r="P76" i="104"/>
  <c r="O76" i="104"/>
  <c r="N76" i="104"/>
  <c r="M76" i="104"/>
  <c r="L76" i="104"/>
  <c r="K76" i="104"/>
  <c r="J76" i="104"/>
  <c r="P75" i="104"/>
  <c r="O75" i="104"/>
  <c r="N75" i="104"/>
  <c r="M75" i="104"/>
  <c r="L75" i="104"/>
  <c r="K75" i="104"/>
  <c r="J75" i="104"/>
  <c r="P74" i="104"/>
  <c r="O74" i="104"/>
  <c r="N74" i="104"/>
  <c r="M74" i="104"/>
  <c r="L74" i="104"/>
  <c r="K74" i="104"/>
  <c r="J74" i="104"/>
  <c r="P73" i="104"/>
  <c r="O73" i="104"/>
  <c r="N73" i="104"/>
  <c r="M73" i="104"/>
  <c r="L73" i="104"/>
  <c r="K73" i="104"/>
  <c r="J73" i="104"/>
  <c r="P72" i="104"/>
  <c r="O72" i="104"/>
  <c r="N72" i="104"/>
  <c r="M72" i="104"/>
  <c r="L72" i="104"/>
  <c r="K72" i="104"/>
  <c r="J72" i="104"/>
  <c r="P71" i="104"/>
  <c r="O71" i="104"/>
  <c r="N71" i="104"/>
  <c r="M71" i="104"/>
  <c r="L71" i="104"/>
  <c r="K71" i="104"/>
  <c r="J71" i="104"/>
  <c r="P70" i="104"/>
  <c r="O70" i="104"/>
  <c r="N70" i="104"/>
  <c r="M70" i="104"/>
  <c r="L70" i="104"/>
  <c r="K70" i="104"/>
  <c r="J70" i="104"/>
  <c r="P69" i="104"/>
  <c r="O69" i="104"/>
  <c r="N69" i="104"/>
  <c r="M69" i="104"/>
  <c r="L69" i="104"/>
  <c r="K69" i="104"/>
  <c r="J69" i="104"/>
  <c r="P68" i="104"/>
  <c r="O68" i="104"/>
  <c r="N68" i="104"/>
  <c r="M68" i="104"/>
  <c r="L68" i="104"/>
  <c r="K68" i="104"/>
  <c r="J68" i="104"/>
  <c r="P67" i="104"/>
  <c r="O67" i="104"/>
  <c r="N67" i="104"/>
  <c r="M67" i="104"/>
  <c r="L67" i="104"/>
  <c r="K67" i="104"/>
  <c r="J67" i="104"/>
  <c r="P66" i="104"/>
  <c r="O66" i="104"/>
  <c r="N66" i="104"/>
  <c r="M66" i="104"/>
  <c r="L66" i="104"/>
  <c r="K66" i="104"/>
  <c r="J66" i="104"/>
  <c r="P65" i="104"/>
  <c r="O65" i="104"/>
  <c r="N65" i="104"/>
  <c r="M65" i="104"/>
  <c r="L65" i="104"/>
  <c r="K65" i="104"/>
  <c r="J65" i="104"/>
  <c r="P64" i="104"/>
  <c r="O64" i="104"/>
  <c r="N64" i="104"/>
  <c r="M64" i="104"/>
  <c r="L64" i="104"/>
  <c r="K64" i="104"/>
  <c r="J64" i="104"/>
  <c r="P63" i="104"/>
  <c r="O63" i="104"/>
  <c r="N63" i="104"/>
  <c r="M63" i="104"/>
  <c r="L63" i="104"/>
  <c r="K63" i="104"/>
  <c r="J63" i="104"/>
  <c r="P62" i="104"/>
  <c r="O62" i="104"/>
  <c r="N62" i="104"/>
  <c r="M62" i="104"/>
  <c r="L62" i="104"/>
  <c r="K62" i="104"/>
  <c r="J62" i="104"/>
  <c r="P61" i="104"/>
  <c r="O61" i="104"/>
  <c r="N61" i="104"/>
  <c r="M61" i="104"/>
  <c r="L61" i="104"/>
  <c r="K61" i="104"/>
  <c r="J61" i="104"/>
  <c r="P60" i="104"/>
  <c r="O60" i="104"/>
  <c r="N60" i="104"/>
  <c r="M60" i="104"/>
  <c r="L60" i="104"/>
  <c r="K60" i="104"/>
  <c r="J60" i="104"/>
  <c r="P59" i="104"/>
  <c r="O59" i="104"/>
  <c r="N59" i="104"/>
  <c r="M59" i="104"/>
  <c r="L59" i="104"/>
  <c r="K59" i="104"/>
  <c r="J59" i="104"/>
  <c r="P58" i="104"/>
  <c r="O58" i="104"/>
  <c r="N58" i="104"/>
  <c r="M58" i="104"/>
  <c r="L58" i="104"/>
  <c r="K58" i="104"/>
  <c r="J58" i="104"/>
  <c r="P57" i="104"/>
  <c r="O57" i="104"/>
  <c r="N57" i="104"/>
  <c r="M57" i="104"/>
  <c r="L57" i="104"/>
  <c r="K57" i="104"/>
  <c r="J57" i="104"/>
  <c r="P56" i="104"/>
  <c r="O56" i="104"/>
  <c r="N56" i="104"/>
  <c r="M56" i="104"/>
  <c r="L56" i="104"/>
  <c r="K56" i="104"/>
  <c r="J56" i="104"/>
  <c r="P55" i="104"/>
  <c r="O55" i="104"/>
  <c r="N55" i="104"/>
  <c r="M55" i="104"/>
  <c r="L55" i="104"/>
  <c r="K55" i="104"/>
  <c r="J55" i="104"/>
  <c r="P54" i="104"/>
  <c r="O54" i="104"/>
  <c r="N54" i="104"/>
  <c r="M54" i="104"/>
  <c r="L54" i="104"/>
  <c r="K54" i="104"/>
  <c r="J54" i="104"/>
  <c r="P53" i="104"/>
  <c r="O53" i="104"/>
  <c r="N53" i="104"/>
  <c r="M53" i="104"/>
  <c r="L53" i="104"/>
  <c r="K53" i="104"/>
  <c r="J53" i="104"/>
  <c r="P52" i="104"/>
  <c r="O52" i="104"/>
  <c r="N52" i="104"/>
  <c r="M52" i="104"/>
  <c r="L52" i="104"/>
  <c r="K52" i="104"/>
  <c r="J52" i="104"/>
  <c r="P51" i="104"/>
  <c r="O51" i="104"/>
  <c r="N51" i="104"/>
  <c r="M51" i="104"/>
  <c r="L51" i="104"/>
  <c r="K51" i="104"/>
  <c r="J51" i="104"/>
  <c r="P50" i="104"/>
  <c r="O50" i="104"/>
  <c r="N50" i="104"/>
  <c r="M50" i="104"/>
  <c r="L50" i="104"/>
  <c r="K50" i="104"/>
  <c r="J50" i="104"/>
  <c r="P49" i="104"/>
  <c r="O49" i="104"/>
  <c r="N49" i="104"/>
  <c r="M49" i="104"/>
  <c r="L49" i="104"/>
  <c r="K49" i="104"/>
  <c r="J49" i="104"/>
  <c r="P48" i="104"/>
  <c r="O48" i="104"/>
  <c r="N48" i="104"/>
  <c r="M48" i="104"/>
  <c r="L48" i="104"/>
  <c r="K48" i="104"/>
  <c r="J48" i="104"/>
  <c r="P47" i="104"/>
  <c r="O47" i="104"/>
  <c r="N47" i="104"/>
  <c r="M47" i="104"/>
  <c r="L47" i="104"/>
  <c r="K47" i="104"/>
  <c r="J47" i="104"/>
  <c r="P46" i="104"/>
  <c r="O46" i="104"/>
  <c r="N46" i="104"/>
  <c r="M46" i="104"/>
  <c r="L46" i="104"/>
  <c r="K46" i="104"/>
  <c r="J46" i="104"/>
  <c r="P45" i="104"/>
  <c r="O45" i="104"/>
  <c r="N45" i="104"/>
  <c r="M45" i="104"/>
  <c r="L45" i="104"/>
  <c r="K45" i="104"/>
  <c r="J45" i="104"/>
  <c r="P44" i="104"/>
  <c r="O44" i="104"/>
  <c r="N44" i="104"/>
  <c r="M44" i="104"/>
  <c r="L44" i="104"/>
  <c r="K44" i="104"/>
  <c r="J44" i="104"/>
  <c r="P43" i="104"/>
  <c r="O43" i="104"/>
  <c r="N43" i="104"/>
  <c r="M43" i="104"/>
  <c r="L43" i="104"/>
  <c r="K43" i="104"/>
  <c r="J43" i="104"/>
  <c r="P42" i="104"/>
  <c r="O42" i="104"/>
  <c r="N42" i="104"/>
  <c r="M42" i="104"/>
  <c r="L42" i="104"/>
  <c r="K42" i="104"/>
  <c r="J42" i="104"/>
  <c r="P41" i="104"/>
  <c r="O41" i="104"/>
  <c r="N41" i="104"/>
  <c r="M41" i="104"/>
  <c r="L41" i="104"/>
  <c r="K41" i="104"/>
  <c r="J41" i="104"/>
  <c r="P40" i="104"/>
  <c r="O40" i="104"/>
  <c r="N40" i="104"/>
  <c r="M40" i="104"/>
  <c r="L40" i="104"/>
  <c r="K40" i="104"/>
  <c r="J40" i="104"/>
  <c r="P39" i="104"/>
  <c r="O39" i="104"/>
  <c r="N39" i="104"/>
  <c r="M39" i="104"/>
  <c r="L39" i="104"/>
  <c r="K39" i="104"/>
  <c r="J39" i="104"/>
  <c r="P38" i="104"/>
  <c r="O38" i="104"/>
  <c r="N38" i="104"/>
  <c r="M38" i="104"/>
  <c r="L38" i="104"/>
  <c r="K38" i="104"/>
  <c r="J38" i="104"/>
  <c r="P37" i="104"/>
  <c r="O37" i="104"/>
  <c r="N37" i="104"/>
  <c r="M37" i="104"/>
  <c r="L37" i="104"/>
  <c r="K37" i="104"/>
  <c r="J37" i="104"/>
  <c r="P36" i="104"/>
  <c r="O36" i="104"/>
  <c r="N36" i="104"/>
  <c r="M36" i="104"/>
  <c r="L36" i="104"/>
  <c r="K36" i="104"/>
  <c r="J36" i="104"/>
  <c r="I91" i="104"/>
  <c r="H91" i="104"/>
  <c r="G91" i="104"/>
  <c r="F91" i="104"/>
  <c r="I90" i="104"/>
  <c r="H90" i="104"/>
  <c r="G90" i="104"/>
  <c r="F90" i="104"/>
  <c r="I89" i="104"/>
  <c r="H89" i="104"/>
  <c r="G89" i="104"/>
  <c r="F89" i="104"/>
  <c r="I88" i="104"/>
  <c r="H88" i="104"/>
  <c r="G88" i="104"/>
  <c r="F88" i="104"/>
  <c r="I87" i="104"/>
  <c r="H87" i="104"/>
  <c r="G87" i="104"/>
  <c r="F87" i="104"/>
  <c r="I86" i="104"/>
  <c r="H86" i="104"/>
  <c r="G86" i="104"/>
  <c r="F86" i="104"/>
  <c r="I85" i="104"/>
  <c r="H85" i="104"/>
  <c r="G85" i="104"/>
  <c r="F85" i="104"/>
  <c r="I84" i="104"/>
  <c r="H84" i="104"/>
  <c r="G84" i="104"/>
  <c r="F84" i="104"/>
  <c r="I83" i="104"/>
  <c r="H83" i="104"/>
  <c r="G83" i="104"/>
  <c r="F83" i="104"/>
  <c r="I82" i="104"/>
  <c r="H82" i="104"/>
  <c r="G82" i="104"/>
  <c r="F82" i="104"/>
  <c r="I81" i="104"/>
  <c r="H81" i="104"/>
  <c r="G81" i="104"/>
  <c r="F81" i="104"/>
  <c r="I80" i="104"/>
  <c r="H80" i="104"/>
  <c r="G80" i="104"/>
  <c r="F80" i="104"/>
  <c r="I79" i="104"/>
  <c r="H79" i="104"/>
  <c r="G79" i="104"/>
  <c r="F79" i="104"/>
  <c r="I78" i="104"/>
  <c r="H78" i="104"/>
  <c r="G78" i="104"/>
  <c r="F78" i="104"/>
  <c r="I77" i="104"/>
  <c r="H77" i="104"/>
  <c r="G77" i="104"/>
  <c r="F77" i="104"/>
  <c r="I76" i="104"/>
  <c r="H76" i="104"/>
  <c r="G76" i="104"/>
  <c r="F76" i="104"/>
  <c r="I75" i="104"/>
  <c r="H75" i="104"/>
  <c r="G75" i="104"/>
  <c r="F75" i="104"/>
  <c r="I74" i="104"/>
  <c r="H74" i="104"/>
  <c r="G74" i="104"/>
  <c r="F74" i="104"/>
  <c r="I73" i="104"/>
  <c r="H73" i="104"/>
  <c r="G73" i="104"/>
  <c r="F73" i="104"/>
  <c r="I72" i="104"/>
  <c r="H72" i="104"/>
  <c r="G72" i="104"/>
  <c r="F72" i="104"/>
  <c r="I71" i="104"/>
  <c r="H71" i="104"/>
  <c r="G71" i="104"/>
  <c r="F71" i="104"/>
  <c r="I70" i="104"/>
  <c r="H70" i="104"/>
  <c r="G70" i="104"/>
  <c r="F70" i="104"/>
  <c r="I69" i="104"/>
  <c r="H69" i="104"/>
  <c r="G69" i="104"/>
  <c r="F69" i="104"/>
  <c r="I68" i="104"/>
  <c r="H68" i="104"/>
  <c r="G68" i="104"/>
  <c r="F68" i="104"/>
  <c r="I67" i="104"/>
  <c r="H67" i="104"/>
  <c r="G67" i="104"/>
  <c r="F67" i="104"/>
  <c r="I66" i="104"/>
  <c r="H66" i="104"/>
  <c r="G66" i="104"/>
  <c r="F66" i="104"/>
  <c r="I65" i="104"/>
  <c r="H65" i="104"/>
  <c r="G65" i="104"/>
  <c r="F65" i="104"/>
  <c r="I64" i="104"/>
  <c r="H64" i="104"/>
  <c r="G64" i="104"/>
  <c r="F64" i="104"/>
  <c r="I63" i="104"/>
  <c r="H63" i="104"/>
  <c r="G63" i="104"/>
  <c r="F63" i="104"/>
  <c r="I62" i="104"/>
  <c r="H62" i="104"/>
  <c r="G62" i="104"/>
  <c r="F62" i="104"/>
  <c r="I61" i="104"/>
  <c r="H61" i="104"/>
  <c r="G61" i="104"/>
  <c r="F61" i="104"/>
  <c r="I60" i="104"/>
  <c r="H60" i="104"/>
  <c r="G60" i="104"/>
  <c r="F60" i="104"/>
  <c r="I59" i="104"/>
  <c r="H59" i="104"/>
  <c r="G59" i="104"/>
  <c r="F59" i="104"/>
  <c r="I58" i="104"/>
  <c r="H58" i="104"/>
  <c r="G58" i="104"/>
  <c r="F58" i="104"/>
  <c r="I57" i="104"/>
  <c r="H57" i="104"/>
  <c r="G57" i="104"/>
  <c r="F57" i="104"/>
  <c r="I56" i="104"/>
  <c r="H56" i="104"/>
  <c r="G56" i="104"/>
  <c r="F56" i="104"/>
  <c r="I55" i="104"/>
  <c r="H55" i="104"/>
  <c r="G55" i="104"/>
  <c r="F55" i="104"/>
  <c r="I54" i="104"/>
  <c r="H54" i="104"/>
  <c r="G54" i="104"/>
  <c r="F54" i="104"/>
  <c r="I53" i="104"/>
  <c r="H53" i="104"/>
  <c r="G53" i="104"/>
  <c r="F53" i="104"/>
  <c r="I52" i="104"/>
  <c r="H52" i="104"/>
  <c r="G52" i="104"/>
  <c r="F52" i="104"/>
  <c r="I51" i="104"/>
  <c r="H51" i="104"/>
  <c r="G51" i="104"/>
  <c r="F51" i="104"/>
  <c r="I50" i="104"/>
  <c r="H50" i="104"/>
  <c r="G50" i="104"/>
  <c r="F50" i="104"/>
  <c r="I49" i="104"/>
  <c r="H49" i="104"/>
  <c r="G49" i="104"/>
  <c r="F49" i="104"/>
  <c r="I48" i="104"/>
  <c r="H48" i="104"/>
  <c r="G48" i="104"/>
  <c r="F48" i="104"/>
  <c r="I47" i="104"/>
  <c r="H47" i="104"/>
  <c r="G47" i="104"/>
  <c r="F47" i="104"/>
  <c r="I46" i="104"/>
  <c r="H46" i="104"/>
  <c r="G46" i="104"/>
  <c r="F46" i="104"/>
  <c r="I45" i="104"/>
  <c r="H45" i="104"/>
  <c r="G45" i="104"/>
  <c r="F45" i="104"/>
  <c r="I44" i="104"/>
  <c r="H44" i="104"/>
  <c r="G44" i="104"/>
  <c r="F44" i="104"/>
  <c r="I43" i="104"/>
  <c r="H43" i="104"/>
  <c r="G43" i="104"/>
  <c r="F43" i="104"/>
  <c r="I42" i="104"/>
  <c r="H42" i="104"/>
  <c r="G42" i="104"/>
  <c r="F42" i="104"/>
  <c r="I41" i="104"/>
  <c r="H41" i="104"/>
  <c r="G41" i="104"/>
  <c r="F41" i="104"/>
  <c r="I40" i="104"/>
  <c r="H40" i="104"/>
  <c r="G40" i="104"/>
  <c r="F40" i="104"/>
  <c r="I39" i="104"/>
  <c r="H39" i="104"/>
  <c r="G39" i="104"/>
  <c r="F39" i="104"/>
  <c r="I38" i="104"/>
  <c r="H38" i="104"/>
  <c r="G38" i="104"/>
  <c r="F38" i="104"/>
  <c r="I37" i="104"/>
  <c r="H37" i="104"/>
  <c r="G37" i="104"/>
  <c r="F37" i="104"/>
  <c r="I36" i="104"/>
  <c r="H36" i="104"/>
  <c r="G36" i="104"/>
  <c r="F36" i="104"/>
  <c r="P16" i="104"/>
  <c r="O16" i="104"/>
  <c r="N16" i="104"/>
  <c r="M16" i="104"/>
  <c r="L16" i="104"/>
  <c r="K16" i="104"/>
  <c r="J16" i="104"/>
  <c r="P15" i="104"/>
  <c r="O15" i="104"/>
  <c r="N15" i="104"/>
  <c r="M15" i="104"/>
  <c r="L15" i="104"/>
  <c r="K15" i="104"/>
  <c r="J15" i="104"/>
  <c r="P14" i="104"/>
  <c r="O14" i="104"/>
  <c r="N14" i="104"/>
  <c r="M14" i="104"/>
  <c r="L14" i="104"/>
  <c r="K14" i="104"/>
  <c r="J14" i="104"/>
  <c r="P13" i="104"/>
  <c r="O13" i="104"/>
  <c r="N13" i="104"/>
  <c r="M13" i="104"/>
  <c r="L13" i="104"/>
  <c r="K13" i="104"/>
  <c r="J13" i="104"/>
  <c r="P12" i="104"/>
  <c r="O12" i="104"/>
  <c r="N12" i="104"/>
  <c r="M12" i="104"/>
  <c r="L12" i="104"/>
  <c r="K12" i="104"/>
  <c r="J12" i="104"/>
  <c r="P11" i="104"/>
  <c r="O11" i="104"/>
  <c r="N11" i="104"/>
  <c r="M11" i="104"/>
  <c r="L11" i="104"/>
  <c r="K11" i="104"/>
  <c r="J11" i="104"/>
  <c r="P10" i="104"/>
  <c r="O10" i="104"/>
  <c r="N10" i="104"/>
  <c r="M10" i="104"/>
  <c r="L10" i="104"/>
  <c r="K10" i="104"/>
  <c r="J10" i="104"/>
  <c r="P9" i="104"/>
  <c r="O9" i="104"/>
  <c r="N9" i="104"/>
  <c r="M9" i="104"/>
  <c r="L9" i="104"/>
  <c r="K9" i="104"/>
  <c r="J9" i="104"/>
  <c r="P8" i="104"/>
  <c r="O8" i="104"/>
  <c r="N8" i="104"/>
  <c r="M8" i="104"/>
  <c r="L8" i="104"/>
  <c r="K8" i="104"/>
  <c r="J8" i="104"/>
  <c r="P7" i="104"/>
  <c r="O7" i="104"/>
  <c r="N7" i="104"/>
  <c r="M7" i="104"/>
  <c r="L7" i="104"/>
  <c r="K7" i="104"/>
  <c r="J7" i="104"/>
  <c r="P6" i="104"/>
  <c r="O6" i="104"/>
  <c r="N6" i="104"/>
  <c r="M6" i="104"/>
  <c r="L6" i="104"/>
  <c r="K6" i="104"/>
  <c r="J6" i="104"/>
  <c r="P5" i="104"/>
  <c r="O5" i="104"/>
  <c r="N5" i="104"/>
  <c r="M5" i="104"/>
  <c r="L5" i="104"/>
  <c r="K5" i="104"/>
  <c r="J5" i="104"/>
  <c r="P4" i="104"/>
  <c r="O4" i="104"/>
  <c r="N4" i="104"/>
  <c r="M4" i="104"/>
  <c r="L4" i="104"/>
  <c r="K4" i="104"/>
  <c r="J4" i="104"/>
  <c r="P3" i="104"/>
  <c r="O3" i="104"/>
  <c r="N3" i="104"/>
  <c r="M3" i="104"/>
  <c r="L3" i="104"/>
  <c r="K3" i="104"/>
  <c r="J3" i="104"/>
  <c r="F16" i="104"/>
  <c r="F15" i="104"/>
  <c r="F14" i="104"/>
  <c r="F13" i="104"/>
  <c r="F12" i="104"/>
  <c r="F11" i="104"/>
  <c r="F10" i="104"/>
  <c r="F9" i="104"/>
  <c r="F8" i="104"/>
  <c r="F7" i="104"/>
  <c r="F6" i="104"/>
  <c r="F5" i="104"/>
  <c r="F4" i="104"/>
  <c r="F3" i="104"/>
  <c r="I70" i="103"/>
  <c r="H70" i="103"/>
  <c r="G70" i="103"/>
  <c r="F70" i="103"/>
  <c r="P68" i="103"/>
  <c r="O68" i="103"/>
  <c r="N68" i="103"/>
  <c r="M68" i="103"/>
  <c r="L68" i="103"/>
  <c r="K68" i="103"/>
  <c r="J68" i="103"/>
  <c r="I72" i="103"/>
  <c r="I69" i="103" s="1"/>
  <c r="H72" i="103"/>
  <c r="H69" i="103" s="1"/>
  <c r="G72" i="103"/>
  <c r="G69" i="103" s="1"/>
  <c r="F72" i="103"/>
  <c r="F69" i="103" s="1"/>
  <c r="I68" i="103"/>
  <c r="H68" i="103"/>
  <c r="G68" i="103"/>
  <c r="F68" i="103"/>
  <c r="I65" i="103"/>
  <c r="H65" i="103"/>
  <c r="G65" i="103"/>
  <c r="F65" i="103"/>
  <c r="I64" i="103"/>
  <c r="H64" i="103"/>
  <c r="G64" i="103"/>
  <c r="F64" i="103"/>
  <c r="I63" i="103"/>
  <c r="H63" i="103"/>
  <c r="G63" i="103"/>
  <c r="F63" i="103"/>
  <c r="I62" i="103"/>
  <c r="H62" i="103"/>
  <c r="G62" i="103"/>
  <c r="F62" i="103"/>
  <c r="I61" i="103"/>
  <c r="H61" i="103"/>
  <c r="G61" i="103"/>
  <c r="F61" i="103"/>
  <c r="I60" i="103"/>
  <c r="H60" i="103"/>
  <c r="G60" i="103"/>
  <c r="F60" i="103"/>
  <c r="I59" i="103"/>
  <c r="H59" i="103"/>
  <c r="G59" i="103"/>
  <c r="F59" i="103"/>
  <c r="I58" i="103"/>
  <c r="H58" i="103"/>
  <c r="G58" i="103"/>
  <c r="F58" i="103"/>
  <c r="I57" i="103"/>
  <c r="H57" i="103"/>
  <c r="G57" i="103"/>
  <c r="F57" i="103"/>
  <c r="I56" i="103"/>
  <c r="H56" i="103"/>
  <c r="G56" i="103"/>
  <c r="F56" i="103"/>
  <c r="I55" i="103"/>
  <c r="H55" i="103"/>
  <c r="G55" i="103"/>
  <c r="F55" i="103"/>
  <c r="I54" i="103"/>
  <c r="H54" i="103"/>
  <c r="G54" i="103"/>
  <c r="F54" i="103"/>
  <c r="I53" i="103"/>
  <c r="H53" i="103"/>
  <c r="G53" i="103"/>
  <c r="F53" i="103"/>
  <c r="I52" i="103"/>
  <c r="H52" i="103"/>
  <c r="G52" i="103"/>
  <c r="F52" i="103"/>
  <c r="H48" i="103"/>
  <c r="K47" i="103"/>
  <c r="J47" i="103"/>
  <c r="H46" i="103"/>
  <c r="H44" i="103"/>
  <c r="K43" i="103"/>
  <c r="L42" i="103"/>
  <c r="H42" i="103"/>
  <c r="H40" i="103"/>
  <c r="K39" i="103"/>
  <c r="H38" i="103"/>
  <c r="H36" i="103"/>
  <c r="M16" i="103"/>
  <c r="M48" i="103" s="1"/>
  <c r="K10" i="103"/>
  <c r="K42" i="103" s="1"/>
  <c r="M8" i="103"/>
  <c r="M40" i="103" s="1"/>
  <c r="P3" i="103"/>
  <c r="P35" i="103" s="1"/>
  <c r="L3" i="103"/>
  <c r="L35" i="103" s="1"/>
  <c r="N32" i="103"/>
  <c r="N16" i="103" s="1"/>
  <c r="N48" i="103" s="1"/>
  <c r="M32" i="103"/>
  <c r="L32" i="103"/>
  <c r="L16" i="103" s="1"/>
  <c r="K32" i="103"/>
  <c r="K16" i="103" s="1"/>
  <c r="J32" i="103"/>
  <c r="J16" i="103" s="1"/>
  <c r="J48" i="103" s="1"/>
  <c r="N31" i="103"/>
  <c r="M31" i="103"/>
  <c r="M15" i="103" s="1"/>
  <c r="M47" i="103" s="1"/>
  <c r="L31" i="103"/>
  <c r="L15" i="103" s="1"/>
  <c r="L47" i="103" s="1"/>
  <c r="K31" i="103"/>
  <c r="K15" i="103" s="1"/>
  <c r="J31" i="103"/>
  <c r="J15" i="103" s="1"/>
  <c r="N30" i="103"/>
  <c r="N14" i="103" s="1"/>
  <c r="N46" i="103" s="1"/>
  <c r="M30" i="103"/>
  <c r="M14" i="103" s="1"/>
  <c r="M46" i="103" s="1"/>
  <c r="L30" i="103"/>
  <c r="L14" i="103" s="1"/>
  <c r="K30" i="103"/>
  <c r="K14" i="103" s="1"/>
  <c r="J30" i="103"/>
  <c r="J14" i="103" s="1"/>
  <c r="J46" i="103" s="1"/>
  <c r="N29" i="103"/>
  <c r="M29" i="103"/>
  <c r="M13" i="103" s="1"/>
  <c r="M45" i="103" s="1"/>
  <c r="L29" i="103"/>
  <c r="L13" i="103" s="1"/>
  <c r="L45" i="103" s="1"/>
  <c r="K29" i="103"/>
  <c r="K13" i="103" s="1"/>
  <c r="K45" i="103" s="1"/>
  <c r="J29" i="103"/>
  <c r="J13" i="103" s="1"/>
  <c r="J45" i="103" s="1"/>
  <c r="N28" i="103"/>
  <c r="N12" i="103" s="1"/>
  <c r="M28" i="103"/>
  <c r="M12" i="103" s="1"/>
  <c r="L28" i="103"/>
  <c r="L12" i="103" s="1"/>
  <c r="K28" i="103"/>
  <c r="K12" i="103" s="1"/>
  <c r="J28" i="103"/>
  <c r="J12" i="103" s="1"/>
  <c r="J44" i="103" s="1"/>
  <c r="N27" i="103"/>
  <c r="M27" i="103"/>
  <c r="M11" i="103" s="1"/>
  <c r="M43" i="103" s="1"/>
  <c r="L27" i="103"/>
  <c r="L11" i="103" s="1"/>
  <c r="L43" i="103" s="1"/>
  <c r="K27" i="103"/>
  <c r="K11" i="103" s="1"/>
  <c r="J27" i="103"/>
  <c r="J11" i="103" s="1"/>
  <c r="N26" i="103"/>
  <c r="N10" i="103" s="1"/>
  <c r="N42" i="103" s="1"/>
  <c r="M26" i="103"/>
  <c r="M10" i="103" s="1"/>
  <c r="M42" i="103" s="1"/>
  <c r="L26" i="103"/>
  <c r="L10" i="103" s="1"/>
  <c r="K26" i="103"/>
  <c r="J26" i="103"/>
  <c r="J10" i="103" s="1"/>
  <c r="N25" i="103"/>
  <c r="M25" i="103"/>
  <c r="M9" i="103" s="1"/>
  <c r="M41" i="103" s="1"/>
  <c r="L25" i="103"/>
  <c r="L9" i="103" s="1"/>
  <c r="L41" i="103" s="1"/>
  <c r="K25" i="103"/>
  <c r="K9" i="103" s="1"/>
  <c r="K41" i="103" s="1"/>
  <c r="J25" i="103"/>
  <c r="J9" i="103" s="1"/>
  <c r="J41" i="103" s="1"/>
  <c r="N24" i="103"/>
  <c r="N8" i="103" s="1"/>
  <c r="M24" i="103"/>
  <c r="L24" i="103"/>
  <c r="L8" i="103" s="1"/>
  <c r="K24" i="103"/>
  <c r="K8" i="103" s="1"/>
  <c r="K40" i="103" s="1"/>
  <c r="J24" i="103"/>
  <c r="J8" i="103" s="1"/>
  <c r="N23" i="103"/>
  <c r="M23" i="103"/>
  <c r="M7" i="103" s="1"/>
  <c r="M39" i="103" s="1"/>
  <c r="L23" i="103"/>
  <c r="L7" i="103" s="1"/>
  <c r="L39" i="103" s="1"/>
  <c r="K23" i="103"/>
  <c r="K7" i="103" s="1"/>
  <c r="J23" i="103"/>
  <c r="J7" i="103" s="1"/>
  <c r="N22" i="103"/>
  <c r="N6" i="103" s="1"/>
  <c r="N38" i="103" s="1"/>
  <c r="M22" i="103"/>
  <c r="M6" i="103" s="1"/>
  <c r="M38" i="103" s="1"/>
  <c r="L22" i="103"/>
  <c r="L6" i="103" s="1"/>
  <c r="K22" i="103"/>
  <c r="K6" i="103" s="1"/>
  <c r="K38" i="103" s="1"/>
  <c r="J22" i="103"/>
  <c r="J6" i="103" s="1"/>
  <c r="N21" i="103"/>
  <c r="M21" i="103"/>
  <c r="M5" i="103" s="1"/>
  <c r="M37" i="103" s="1"/>
  <c r="L21" i="103"/>
  <c r="L5" i="103" s="1"/>
  <c r="L37" i="103" s="1"/>
  <c r="K21" i="103"/>
  <c r="K5" i="103" s="1"/>
  <c r="K37" i="103" s="1"/>
  <c r="J21" i="103"/>
  <c r="J5" i="103" s="1"/>
  <c r="J37" i="103" s="1"/>
  <c r="N20" i="103"/>
  <c r="N4" i="103" s="1"/>
  <c r="M20" i="103"/>
  <c r="M4" i="103" s="1"/>
  <c r="M36" i="103" s="1"/>
  <c r="L20" i="103"/>
  <c r="L4" i="103" s="1"/>
  <c r="K20" i="103"/>
  <c r="K4" i="103" s="1"/>
  <c r="K36" i="103" s="1"/>
  <c r="J20" i="103"/>
  <c r="J4" i="103" s="1"/>
  <c r="P19" i="103"/>
  <c r="O19" i="103"/>
  <c r="O3" i="103" s="1"/>
  <c r="N19" i="103"/>
  <c r="O32" i="103" s="1"/>
  <c r="O16" i="103" s="1"/>
  <c r="O48" i="103" s="1"/>
  <c r="M19" i="103"/>
  <c r="M3" i="103" s="1"/>
  <c r="M35" i="103" s="1"/>
  <c r="L19" i="103"/>
  <c r="K19" i="103"/>
  <c r="K3" i="103" s="1"/>
  <c r="J19" i="103"/>
  <c r="J3" i="103" s="1"/>
  <c r="J35" i="103" s="1"/>
  <c r="I16" i="103"/>
  <c r="I48" i="103" s="1"/>
  <c r="H16" i="103"/>
  <c r="G16" i="103"/>
  <c r="F16" i="103"/>
  <c r="I15" i="103"/>
  <c r="I47" i="103" s="1"/>
  <c r="H15" i="103"/>
  <c r="H47" i="103" s="1"/>
  <c r="G15" i="103"/>
  <c r="F15" i="103"/>
  <c r="I14" i="103"/>
  <c r="I46" i="103" s="1"/>
  <c r="H14" i="103"/>
  <c r="G14" i="103"/>
  <c r="F14" i="103"/>
  <c r="I13" i="103"/>
  <c r="I45" i="103" s="1"/>
  <c r="H13" i="103"/>
  <c r="H45" i="103" s="1"/>
  <c r="G13" i="103"/>
  <c r="F13" i="103"/>
  <c r="I12" i="103"/>
  <c r="I44" i="103" s="1"/>
  <c r="H12" i="103"/>
  <c r="G12" i="103"/>
  <c r="I11" i="103"/>
  <c r="I43" i="103" s="1"/>
  <c r="H11" i="103"/>
  <c r="H43" i="103" s="1"/>
  <c r="G11" i="103"/>
  <c r="F11" i="103"/>
  <c r="G43" i="103" s="1"/>
  <c r="I10" i="103"/>
  <c r="I42" i="103" s="1"/>
  <c r="H10" i="103"/>
  <c r="G10" i="103"/>
  <c r="G42" i="103" s="1"/>
  <c r="F10" i="103"/>
  <c r="I9" i="103"/>
  <c r="I41" i="103" s="1"/>
  <c r="H9" i="103"/>
  <c r="H41" i="103" s="1"/>
  <c r="G9" i="103"/>
  <c r="F9" i="103"/>
  <c r="G41" i="103" s="1"/>
  <c r="I8" i="103"/>
  <c r="I40" i="103" s="1"/>
  <c r="H8" i="103"/>
  <c r="G8" i="103"/>
  <c r="G40" i="103" s="1"/>
  <c r="F8" i="103"/>
  <c r="I7" i="103"/>
  <c r="I39" i="103" s="1"/>
  <c r="H7" i="103"/>
  <c r="H39" i="103" s="1"/>
  <c r="G7" i="103"/>
  <c r="F7" i="103"/>
  <c r="G39" i="103" s="1"/>
  <c r="I6" i="103"/>
  <c r="I38" i="103" s="1"/>
  <c r="H6" i="103"/>
  <c r="G6" i="103"/>
  <c r="G38" i="103" s="1"/>
  <c r="F6" i="103"/>
  <c r="I5" i="103"/>
  <c r="I37" i="103" s="1"/>
  <c r="H5" i="103"/>
  <c r="H37" i="103" s="1"/>
  <c r="G5" i="103"/>
  <c r="F5" i="103"/>
  <c r="G37" i="103" s="1"/>
  <c r="I4" i="103"/>
  <c r="I36" i="103" s="1"/>
  <c r="H4" i="103"/>
  <c r="G4" i="103"/>
  <c r="G36" i="103" s="1"/>
  <c r="F4" i="103"/>
  <c r="I3" i="103"/>
  <c r="I35" i="103" s="1"/>
  <c r="H3" i="103"/>
  <c r="H35" i="103" s="1"/>
  <c r="G3" i="103"/>
  <c r="F3" i="103"/>
  <c r="G35" i="103" s="1"/>
  <c r="F12" i="103"/>
  <c r="X3" i="102"/>
  <c r="I16" i="104"/>
  <c r="H15" i="104"/>
  <c r="G14" i="104"/>
  <c r="I12" i="104"/>
  <c r="H11" i="104"/>
  <c r="G10" i="104"/>
  <c r="I8" i="104"/>
  <c r="H7" i="104"/>
  <c r="G6" i="104"/>
  <c r="I4" i="104"/>
  <c r="H3" i="104"/>
  <c r="G13" i="104"/>
  <c r="H6" i="104"/>
  <c r="H16" i="104"/>
  <c r="G15" i="104"/>
  <c r="I13" i="104"/>
  <c r="H12" i="104"/>
  <c r="G11" i="104"/>
  <c r="I9" i="104"/>
  <c r="H8" i="104"/>
  <c r="G7" i="104"/>
  <c r="I5" i="104"/>
  <c r="H4" i="104"/>
  <c r="H14" i="104"/>
  <c r="I11" i="104"/>
  <c r="G9" i="104"/>
  <c r="I3" i="104"/>
  <c r="G16" i="104"/>
  <c r="I14" i="104"/>
  <c r="H13" i="104"/>
  <c r="G12" i="104"/>
  <c r="I10" i="104"/>
  <c r="H9" i="104"/>
  <c r="G8" i="104"/>
  <c r="I6" i="104"/>
  <c r="H5" i="104"/>
  <c r="G4" i="104"/>
  <c r="I15" i="104"/>
  <c r="H10" i="104"/>
  <c r="I7" i="104"/>
  <c r="G5" i="104"/>
  <c r="G3" i="104"/>
  <c r="G19" i="104" l="1"/>
  <c r="G21" i="104"/>
  <c r="I23" i="104"/>
  <c r="H26" i="104"/>
  <c r="I31" i="104"/>
  <c r="G20" i="104"/>
  <c r="H21" i="104"/>
  <c r="I22" i="104"/>
  <c r="G24" i="104"/>
  <c r="H25" i="104"/>
  <c r="I26" i="104"/>
  <c r="G28" i="104"/>
  <c r="AD17" i="102"/>
  <c r="H29" i="104"/>
  <c r="I30" i="104"/>
  <c r="G32" i="104"/>
  <c r="I19" i="104"/>
  <c r="G25" i="104"/>
  <c r="I27" i="104"/>
  <c r="H30" i="104"/>
  <c r="H20" i="104"/>
  <c r="I21" i="104"/>
  <c r="G23" i="104"/>
  <c r="H24" i="104"/>
  <c r="I25" i="104"/>
  <c r="G27" i="104"/>
  <c r="H28" i="104"/>
  <c r="AE17" i="102"/>
  <c r="I29" i="104"/>
  <c r="G31" i="104"/>
  <c r="H32" i="104"/>
  <c r="H22" i="104"/>
  <c r="G29" i="104"/>
  <c r="H19" i="104"/>
  <c r="I20" i="104"/>
  <c r="G22" i="104"/>
  <c r="H23" i="104"/>
  <c r="I24" i="104"/>
  <c r="G26" i="104"/>
  <c r="H27" i="104"/>
  <c r="AF17" i="102"/>
  <c r="I28" i="104"/>
  <c r="G30" i="104"/>
  <c r="H31" i="104"/>
  <c r="I32" i="104"/>
  <c r="J72" i="103"/>
  <c r="G44" i="103"/>
  <c r="G45" i="103"/>
  <c r="G47" i="103"/>
  <c r="J38" i="103"/>
  <c r="M44" i="103"/>
  <c r="K46" i="103"/>
  <c r="L46" i="103"/>
  <c r="J43" i="103"/>
  <c r="J36" i="103"/>
  <c r="N36" i="103"/>
  <c r="J40" i="103"/>
  <c r="N40" i="103"/>
  <c r="N44" i="103"/>
  <c r="J39" i="103"/>
  <c r="L40" i="103"/>
  <c r="P21" i="103"/>
  <c r="P5" i="103" s="1"/>
  <c r="P25" i="103"/>
  <c r="P9" i="103" s="1"/>
  <c r="K44" i="103"/>
  <c r="L44" i="103"/>
  <c r="P29" i="103"/>
  <c r="P13" i="103" s="1"/>
  <c r="K48" i="103"/>
  <c r="L48" i="103"/>
  <c r="L36" i="103"/>
  <c r="G46" i="103"/>
  <c r="G48" i="103"/>
  <c r="K35" i="103"/>
  <c r="J42" i="103"/>
  <c r="L38" i="103"/>
  <c r="P23" i="103"/>
  <c r="P7" i="103" s="1"/>
  <c r="P39" i="103" s="1"/>
  <c r="P27" i="103"/>
  <c r="P11" i="103" s="1"/>
  <c r="P31" i="103"/>
  <c r="P15" i="103" s="1"/>
  <c r="O20" i="103"/>
  <c r="O4" i="103" s="1"/>
  <c r="O36" i="103" s="1"/>
  <c r="O26" i="103"/>
  <c r="O10" i="103" s="1"/>
  <c r="O42" i="103" s="1"/>
  <c r="O30" i="103"/>
  <c r="O14" i="103" s="1"/>
  <c r="O46" i="103" s="1"/>
  <c r="P20" i="103"/>
  <c r="P4" i="103" s="1"/>
  <c r="P36" i="103" s="1"/>
  <c r="P22" i="103"/>
  <c r="P6" i="103" s="1"/>
  <c r="P24" i="103"/>
  <c r="P8" i="103" s="1"/>
  <c r="P26" i="103"/>
  <c r="P10" i="103" s="1"/>
  <c r="P42" i="103" s="1"/>
  <c r="P28" i="103"/>
  <c r="P12" i="103" s="1"/>
  <c r="P30" i="103"/>
  <c r="P14" i="103" s="1"/>
  <c r="P32" i="103"/>
  <c r="P16" i="103" s="1"/>
  <c r="P48" i="103" s="1"/>
  <c r="O22" i="103"/>
  <c r="O6" i="103" s="1"/>
  <c r="O38" i="103" s="1"/>
  <c r="O28" i="103"/>
  <c r="O12" i="103" s="1"/>
  <c r="O21" i="103"/>
  <c r="O5" i="103" s="1"/>
  <c r="O23" i="103"/>
  <c r="O7" i="103" s="1"/>
  <c r="O39" i="103" s="1"/>
  <c r="O25" i="103"/>
  <c r="O9" i="103" s="1"/>
  <c r="O41" i="103" s="1"/>
  <c r="O27" i="103"/>
  <c r="O11" i="103" s="1"/>
  <c r="O29" i="103"/>
  <c r="O13" i="103" s="1"/>
  <c r="O31" i="103"/>
  <c r="O15" i="103" s="1"/>
  <c r="O47" i="103" s="1"/>
  <c r="N3" i="103"/>
  <c r="N35" i="103" s="1"/>
  <c r="N7" i="103"/>
  <c r="N39" i="103" s="1"/>
  <c r="N11" i="103"/>
  <c r="N43" i="103" s="1"/>
  <c r="N15" i="103"/>
  <c r="N47" i="103" s="1"/>
  <c r="O24" i="103"/>
  <c r="O8" i="103" s="1"/>
  <c r="O40" i="103" s="1"/>
  <c r="N5" i="103"/>
  <c r="N37" i="103" s="1"/>
  <c r="N9" i="103"/>
  <c r="N41" i="103" s="1"/>
  <c r="N13" i="103"/>
  <c r="N45" i="103" s="1"/>
  <c r="X47" i="102"/>
  <c r="X51" i="102"/>
  <c r="X52" i="102"/>
  <c r="AD22" i="102" l="1"/>
  <c r="AE22" i="102"/>
  <c r="AF22" i="102"/>
  <c r="J69" i="103"/>
  <c r="J52" i="103" s="1"/>
  <c r="K72" i="103"/>
  <c r="O45" i="103"/>
  <c r="O37" i="103"/>
  <c r="P46" i="103"/>
  <c r="P38" i="103"/>
  <c r="P47" i="103"/>
  <c r="P45" i="103"/>
  <c r="P41" i="103"/>
  <c r="P40" i="103"/>
  <c r="O43" i="103"/>
  <c r="O44" i="103"/>
  <c r="P44" i="103"/>
  <c r="P43" i="103"/>
  <c r="O35" i="103"/>
  <c r="P37" i="103"/>
  <c r="AC148" i="102"/>
  <c r="AC119" i="102"/>
  <c r="AC174" i="102"/>
  <c r="AC187" i="102"/>
  <c r="AC161" i="102"/>
  <c r="L72" i="103" l="1"/>
  <c r="K69" i="103"/>
  <c r="K52" i="103" s="1"/>
  <c r="J63" i="103"/>
  <c r="J59" i="103"/>
  <c r="J55" i="103"/>
  <c r="J62" i="103"/>
  <c r="J64" i="103"/>
  <c r="J60" i="103"/>
  <c r="J56" i="103"/>
  <c r="J58" i="103"/>
  <c r="J65" i="103"/>
  <c r="J61" i="103"/>
  <c r="J57" i="103"/>
  <c r="J53" i="103"/>
  <c r="J54" i="103"/>
  <c r="AC127" i="102"/>
  <c r="X13" i="102"/>
  <c r="X263" i="102"/>
  <c r="X262" i="102"/>
  <c r="X261" i="102"/>
  <c r="X260" i="102"/>
  <c r="X259" i="102"/>
  <c r="X258" i="102"/>
  <c r="X257" i="102"/>
  <c r="X256" i="102"/>
  <c r="X255" i="102"/>
  <c r="X202" i="102"/>
  <c r="X201" i="102"/>
  <c r="X200" i="102"/>
  <c r="X199" i="102"/>
  <c r="X198" i="102"/>
  <c r="X197" i="102"/>
  <c r="X193" i="102"/>
  <c r="X192" i="102"/>
  <c r="X191" i="102"/>
  <c r="X190" i="102"/>
  <c r="X189" i="102"/>
  <c r="X188" i="102"/>
  <c r="X187" i="102"/>
  <c r="X186" i="102"/>
  <c r="X185" i="102"/>
  <c r="X184" i="102"/>
  <c r="X183" i="102"/>
  <c r="X182" i="102"/>
  <c r="X181" i="102"/>
  <c r="X180" i="102"/>
  <c r="X179" i="102"/>
  <c r="X178" i="102"/>
  <c r="X177" i="102"/>
  <c r="X176" i="102"/>
  <c r="X175" i="102"/>
  <c r="X174" i="102"/>
  <c r="X173" i="102"/>
  <c r="X172" i="102"/>
  <c r="X171" i="102"/>
  <c r="X170" i="102"/>
  <c r="X169" i="102"/>
  <c r="X168" i="102"/>
  <c r="X167" i="102"/>
  <c r="X166" i="102"/>
  <c r="X165" i="102"/>
  <c r="X164" i="102"/>
  <c r="X163" i="102"/>
  <c r="X162" i="102"/>
  <c r="X161" i="102"/>
  <c r="X160" i="102"/>
  <c r="X159" i="102"/>
  <c r="X158" i="102"/>
  <c r="X157" i="102"/>
  <c r="X156" i="102"/>
  <c r="X155" i="102"/>
  <c r="X154" i="102"/>
  <c r="X153" i="102"/>
  <c r="X152" i="102"/>
  <c r="X151" i="102"/>
  <c r="X150" i="102"/>
  <c r="X149" i="102"/>
  <c r="X148" i="102"/>
  <c r="X147" i="102"/>
  <c r="X146" i="102"/>
  <c r="X145" i="102"/>
  <c r="X144" i="102"/>
  <c r="X143" i="102"/>
  <c r="X142" i="102"/>
  <c r="X141" i="102"/>
  <c r="X140" i="102"/>
  <c r="X139" i="102"/>
  <c r="X138" i="102"/>
  <c r="X137" i="102"/>
  <c r="X136" i="102"/>
  <c r="X135" i="102"/>
  <c r="X134" i="102"/>
  <c r="X133" i="102"/>
  <c r="X132" i="102"/>
  <c r="X131" i="102"/>
  <c r="X130" i="102"/>
  <c r="X129" i="102"/>
  <c r="X128" i="102"/>
  <c r="X127" i="102"/>
  <c r="X126" i="102"/>
  <c r="X125" i="102"/>
  <c r="X124" i="102"/>
  <c r="X123" i="102"/>
  <c r="X122" i="102"/>
  <c r="X121" i="102"/>
  <c r="X120" i="102"/>
  <c r="X119" i="102"/>
  <c r="X118" i="102"/>
  <c r="X117" i="102"/>
  <c r="X116" i="102"/>
  <c r="X115" i="102"/>
  <c r="X114" i="102"/>
  <c r="X113" i="102"/>
  <c r="X112" i="102"/>
  <c r="X111" i="102"/>
  <c r="X110" i="102"/>
  <c r="X109" i="102"/>
  <c r="X108" i="102"/>
  <c r="X107" i="102"/>
  <c r="X106" i="102"/>
  <c r="X105" i="102"/>
  <c r="X104" i="102"/>
  <c r="X103" i="102"/>
  <c r="X102" i="102"/>
  <c r="X101" i="102"/>
  <c r="X100" i="102"/>
  <c r="X99" i="102"/>
  <c r="X98" i="102"/>
  <c r="X97" i="102"/>
  <c r="X96" i="102"/>
  <c r="X95" i="102"/>
  <c r="X94" i="102"/>
  <c r="X93" i="102"/>
  <c r="X92" i="102"/>
  <c r="X91" i="102"/>
  <c r="X90" i="102"/>
  <c r="X89" i="102"/>
  <c r="X88" i="102"/>
  <c r="X87" i="102"/>
  <c r="X86" i="102"/>
  <c r="X85" i="102"/>
  <c r="X84" i="102"/>
  <c r="X83" i="102"/>
  <c r="X82" i="102"/>
  <c r="X81" i="102"/>
  <c r="X80" i="102"/>
  <c r="X79" i="102"/>
  <c r="X78" i="102"/>
  <c r="X77" i="102"/>
  <c r="X76" i="102"/>
  <c r="X75" i="102"/>
  <c r="X74" i="102"/>
  <c r="X73" i="102"/>
  <c r="X72" i="102"/>
  <c r="X71" i="102"/>
  <c r="X70" i="102"/>
  <c r="X69" i="102"/>
  <c r="X68" i="102"/>
  <c r="X67" i="102"/>
  <c r="X66" i="102"/>
  <c r="X65" i="102"/>
  <c r="X64" i="102"/>
  <c r="X63" i="102"/>
  <c r="X62" i="102"/>
  <c r="X61" i="102"/>
  <c r="X60" i="102"/>
  <c r="X59" i="102"/>
  <c r="X58" i="102"/>
  <c r="X57" i="102"/>
  <c r="X56" i="102"/>
  <c r="X55" i="102"/>
  <c r="X54" i="102"/>
  <c r="X53" i="102"/>
  <c r="X50" i="102"/>
  <c r="X49" i="102"/>
  <c r="X48" i="102"/>
  <c r="X46" i="102"/>
  <c r="X45" i="102"/>
  <c r="X44" i="102"/>
  <c r="X43" i="102"/>
  <c r="X42" i="102"/>
  <c r="X41" i="102"/>
  <c r="X40" i="102"/>
  <c r="X39" i="102"/>
  <c r="X38" i="102"/>
  <c r="X37" i="102"/>
  <c r="X36" i="102"/>
  <c r="X35" i="102"/>
  <c r="X34" i="102"/>
  <c r="X33" i="102"/>
  <c r="X32" i="102"/>
  <c r="X31" i="102"/>
  <c r="X30" i="102"/>
  <c r="X29" i="102"/>
  <c r="X28" i="102"/>
  <c r="X27" i="102"/>
  <c r="X26" i="102"/>
  <c r="X25" i="102"/>
  <c r="X9" i="102"/>
  <c r="X24" i="102"/>
  <c r="X23" i="102"/>
  <c r="X22" i="102"/>
  <c r="X21" i="102"/>
  <c r="X20" i="102"/>
  <c r="X19" i="102"/>
  <c r="X18" i="102"/>
  <c r="X17" i="102"/>
  <c r="X16" i="102"/>
  <c r="X15" i="102"/>
  <c r="X14" i="102"/>
  <c r="X12" i="102"/>
  <c r="X11" i="102"/>
  <c r="X10" i="102"/>
  <c r="X7" i="102"/>
  <c r="X6" i="102"/>
  <c r="X5" i="102"/>
  <c r="X4" i="102"/>
  <c r="AM37" i="102"/>
  <c r="AL37" i="102"/>
  <c r="AK37" i="102"/>
  <c r="AJ37" i="102"/>
  <c r="AI37" i="102"/>
  <c r="AH37" i="102"/>
  <c r="AG37" i="102"/>
  <c r="AF37" i="102"/>
  <c r="AE37" i="102"/>
  <c r="AD37" i="102"/>
  <c r="AC37" i="102"/>
  <c r="M72" i="103" l="1"/>
  <c r="L69" i="103"/>
  <c r="L52" i="103" s="1"/>
  <c r="K64" i="103"/>
  <c r="K60" i="103"/>
  <c r="K56" i="103"/>
  <c r="K63" i="103"/>
  <c r="K55" i="103"/>
  <c r="K65" i="103"/>
  <c r="K61" i="103"/>
  <c r="K57" i="103"/>
  <c r="K53" i="103"/>
  <c r="K62" i="103"/>
  <c r="K58" i="103"/>
  <c r="K54" i="103"/>
  <c r="K59" i="103"/>
  <c r="L65" i="103" l="1"/>
  <c r="L61" i="103"/>
  <c r="L57" i="103"/>
  <c r="L53" i="103"/>
  <c r="L64" i="103"/>
  <c r="L60" i="103"/>
  <c r="L62" i="103"/>
  <c r="L58" i="103"/>
  <c r="L54" i="103"/>
  <c r="L56" i="103"/>
  <c r="L63" i="103"/>
  <c r="L59" i="103"/>
  <c r="L55" i="103"/>
  <c r="N72" i="103"/>
  <c r="M69" i="103"/>
  <c r="M52" i="103" s="1"/>
  <c r="M62" i="103" l="1"/>
  <c r="M58" i="103"/>
  <c r="M54" i="103"/>
  <c r="M53" i="103"/>
  <c r="M63" i="103"/>
  <c r="M59" i="103"/>
  <c r="M55" i="103"/>
  <c r="M61" i="103"/>
  <c r="M64" i="103"/>
  <c r="M60" i="103"/>
  <c r="M56" i="103"/>
  <c r="M65" i="103"/>
  <c r="M57" i="103"/>
  <c r="O72" i="103"/>
  <c r="N69" i="103"/>
  <c r="N52" i="103" s="1"/>
  <c r="P72" i="103" l="1"/>
  <c r="P69" i="103" s="1"/>
  <c r="P52" i="103" s="1"/>
  <c r="O69" i="103"/>
  <c r="O52" i="103" s="1"/>
  <c r="N63" i="103"/>
  <c r="N59" i="103"/>
  <c r="N55" i="103"/>
  <c r="N58" i="103"/>
  <c r="N64" i="103"/>
  <c r="N60" i="103"/>
  <c r="N56" i="103"/>
  <c r="N54" i="103"/>
  <c r="N65" i="103"/>
  <c r="N61" i="103"/>
  <c r="N57" i="103"/>
  <c r="N53" i="103"/>
  <c r="N62" i="103"/>
  <c r="O64" i="103" l="1"/>
  <c r="O60" i="103"/>
  <c r="O56" i="103"/>
  <c r="O65" i="103"/>
  <c r="O61" i="103"/>
  <c r="O57" i="103"/>
  <c r="O53" i="103"/>
  <c r="O59" i="103"/>
  <c r="O62" i="103"/>
  <c r="O58" i="103"/>
  <c r="O54" i="103"/>
  <c r="O63" i="103"/>
  <c r="O55" i="103"/>
  <c r="P65" i="103"/>
  <c r="P61" i="103"/>
  <c r="P57" i="103"/>
  <c r="P53" i="103"/>
  <c r="P56" i="103"/>
  <c r="P62" i="103"/>
  <c r="P58" i="103"/>
  <c r="P54" i="103"/>
  <c r="P64" i="103"/>
  <c r="P63" i="103"/>
  <c r="P59" i="103"/>
  <c r="P55" i="103"/>
  <c r="P60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 GRIFFIN</author>
    <author>Griffin</author>
    <author>Brad</author>
  </authors>
  <commentList>
    <comment ref="AC2" authorId="0" shapeId="0" xr:uid="{B1E76900-1E3B-4757-9138-EBA93A61E984}">
      <text>
        <r>
          <rPr>
            <b/>
            <sz val="9"/>
            <color indexed="81"/>
            <rFont val="Tahoma"/>
            <family val="2"/>
          </rPr>
          <t>We can provide activity amounts (e.g. population or number of houses per person) for all years and prices (for all fuels and services) in the first year of simulation.</t>
        </r>
      </text>
    </comment>
    <comment ref="Y9" authorId="1" shapeId="0" xr:uid="{FC3AEF96-72E1-42FB-9C44-9D449FC3016E}">
      <text>
        <r>
          <rPr>
            <b/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AB21" authorId="0" shapeId="0" xr:uid="{80CCB7F1-F10B-4FC8-BD66-D662D9656CD7}">
      <text>
        <r>
          <rPr>
            <sz val="9"/>
            <color indexed="81"/>
            <rFont val="Tahoma"/>
            <family val="2"/>
          </rPr>
          <t>Multiplier for "End use supply" (i.e. demand how many units (of m2 floorspace) per unit supplied (household)</t>
        </r>
      </text>
    </comment>
    <comment ref="Y23" authorId="1" shapeId="0" xr:uid="{6BC6E59B-8E59-4345-B4AD-51539FDC3157}">
      <text>
        <r>
          <rPr>
            <b/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Y24" authorId="1" shapeId="0" xr:uid="{2181219F-CC40-4DA4-955E-9CD1FF9D0302}">
      <text>
        <r>
          <rPr>
            <b/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Y25" authorId="1" shapeId="0" xr:uid="{21FA5C0D-630A-4248-8CD3-4490F66C1285}">
      <text>
        <r>
          <rPr>
            <b/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Y26" authorId="1" shapeId="0" xr:uid="{EEAD2AFB-F241-465A-AAFE-CECE11F2ADF2}">
      <text>
        <r>
          <rPr>
            <b/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AB33" authorId="2" shapeId="0" xr:uid="{43BA1FBB-7892-4D7C-BC96-42595699C983}">
      <text>
        <r>
          <rPr>
            <sz val="9"/>
            <color indexed="81"/>
            <rFont val="Tahoma"/>
            <family val="2"/>
          </rPr>
          <t xml:space="preserve">Shares applied to m2 floorspace inherited from parent (due to m2/household used for end use demand).
Must add to 1.
Fixed Shares competition applies </t>
        </r>
      </text>
    </comment>
    <comment ref="Y75" authorId="0" shapeId="0" xr:uid="{1D9E9738-34CA-44D3-80CF-ECD9E68B01AA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76" authorId="0" shapeId="0" xr:uid="{872B19EB-10D4-4563-A185-853B77B2B5EB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77" authorId="0" shapeId="0" xr:uid="{B87C774E-1BCE-4724-A637-0E292A58064F}">
      <text>
        <r>
          <rPr>
            <sz val="9"/>
            <color indexed="81"/>
            <rFont val="Tahoma"/>
            <family val="2"/>
          </rPr>
          <t>End use demanded for each technology per unit of demand (in this case, GJ of heating per m2 of floorspace for each shell type (e.g. Pre-1960)</t>
        </r>
      </text>
    </comment>
    <comment ref="Y120" authorId="0" shapeId="0" xr:uid="{C8DE0438-BE72-4626-BC86-006F0DFF2B6E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21" authorId="0" shapeId="0" xr:uid="{6D3250B4-7D35-4B94-B87E-6870A73D5200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122" authorId="0" shapeId="0" xr:uid="{82DE68FE-5419-4E32-903B-482165807219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23" authorId="0" shapeId="0" xr:uid="{B96014A3-73A2-459C-9C64-EA45806FB683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A124" authorId="0" shapeId="0" xr:uid="{2BE6BAE8-512B-4232-A46E-89CFD372A16C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Y127" authorId="1" shapeId="0" xr:uid="{D3E45037-5E46-4159-AD48-44BCF676478A}">
      <text>
        <r>
          <rPr>
            <b/>
            <sz val="9"/>
            <color indexed="81"/>
            <rFont val="Tahoma"/>
            <family val="2"/>
          </rPr>
          <t xml:space="preserve">End use cost =
</t>
        </r>
        <r>
          <rPr>
            <sz val="9"/>
            <color indexed="81"/>
            <rFont val="Tahoma"/>
            <family val="2"/>
          </rPr>
          <t>End use demand * weighted average Life Cycle Cost</t>
        </r>
        <r>
          <rPr>
            <b/>
            <sz val="9"/>
            <color indexed="81"/>
            <rFont val="Tahoma"/>
            <family val="2"/>
          </rPr>
          <t xml:space="preserve">
Life Cycle Cost=
</t>
        </r>
        <r>
          <rPr>
            <sz val="9"/>
            <color indexed="81"/>
            <rFont val="Tahoma"/>
            <family val="2"/>
          </rPr>
          <t>Capital cost +
Operating cost +
Intangible cost +
End use cost</t>
        </r>
      </text>
    </comment>
    <comment ref="AC127" authorId="1" shapeId="0" xr:uid="{5D36C35E-8936-4C5B-8286-6980AEEFB65E}">
      <text>
        <r>
          <rPr>
            <b/>
            <sz val="9"/>
            <color indexed="81"/>
            <rFont val="Tahoma"/>
            <family val="2"/>
          </rPr>
          <t>Weighted average of LCCs from child node.
Use previous year final value to start next year price iterations.
Use previous iteration supply prices to calculate weighted average for current iteration.</t>
        </r>
      </text>
    </comment>
    <comment ref="AA132" authorId="0" shapeId="0" xr:uid="{FFCF7C71-4079-4C5B-BD7A-C4A0B2518245}">
      <text>
        <r>
          <rPr>
            <sz val="9"/>
            <color indexed="81"/>
            <rFont val="Tahoma"/>
            <family val="2"/>
          </rPr>
          <t>This ratio is to pass along the GJ requirement (i.e. we want 1 GJ of heating, so require 1 GJ of furnace heating)</t>
        </r>
      </text>
    </comment>
    <comment ref="AA151" authorId="0" shapeId="0" xr:uid="{4DFB2519-B8E6-4EE2-8554-624BEC2C1257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Y162" authorId="0" shapeId="0" xr:uid="{7B3369D0-2F84-44EF-9B84-47686B8D0B6E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63" authorId="0" shapeId="0" xr:uid="{B0591C56-B406-41A5-BD4D-F1211C67FF62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Z164" authorId="0" shapeId="0" xr:uid="{7C28649B-4A1F-45AE-9D14-209B9D1DF700}">
      <text>
        <r>
          <rPr>
            <b/>
            <sz val="9"/>
            <color indexed="81"/>
            <rFont val="Tahoma"/>
            <family val="2"/>
          </rPr>
          <t>Note this is Canada, not Alberta for this fuel/price.
Need some way to actually allocate fuel at this point so that we can calculate GHG emissions later.</t>
        </r>
      </text>
    </comment>
    <comment ref="AA164" authorId="0" shapeId="0" xr:uid="{16BDDDD6-2F07-4761-9738-269C6B317472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177" authorId="0" shapeId="0" xr:uid="{C8F769A0-C02D-4EC3-B17C-45A98718B4FF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190" authorId="0" shapeId="0" xr:uid="{BE865A1E-EC50-442B-BBB9-71B0089FDED1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X193" authorId="0" shapeId="0" xr:uid="{A3045F6F-54A4-4535-A525-59C2B730BD6B}">
      <text>
        <r>
          <rPr>
            <b/>
            <sz val="9"/>
            <color indexed="81"/>
            <rFont val="Tahoma"/>
            <family val="2"/>
          </rPr>
          <t>Note that water heating is not requested directly by the shell technologies.
It is requested by dishwashing techs and clothes washing techs.</t>
        </r>
      </text>
    </comment>
    <comment ref="X199" authorId="0" shapeId="0" xr:uid="{CCE6D9AF-E813-4EE1-9E51-F44122A40101}">
      <text>
        <r>
          <rPr>
            <b/>
            <sz val="9"/>
            <color indexed="81"/>
            <rFont val="Tahoma"/>
            <family val="2"/>
          </rPr>
          <t xml:space="preserve">Can some options in this node (e.g. apartment or non-apartment water heating options) only be available depending on the particular branch demanding the service?
For example:
</t>
        </r>
        <r>
          <rPr>
            <sz val="9"/>
            <color indexed="81"/>
            <rFont val="Tahoma"/>
            <family val="2"/>
          </rPr>
          <t>When this branch (Residential &gt; Single family detached &gt; Std &gt; Dishwashing) calls for water heating, it should have different options than (Residential &gt; Apartment &gt; Std &gt; Dishwashing).</t>
        </r>
      </text>
    </comment>
    <comment ref="AA214" authorId="0" shapeId="0" xr:uid="{9F9F18C4-E0AA-4275-BF68-6E844FB21589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227" authorId="0" shapeId="0" xr:uid="{5CCE41A6-4F96-4E06-85C6-75254409AE78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240" authorId="0" shapeId="0" xr:uid="{0D0772FA-51B1-4BD2-B245-3AF12428BB7D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253" authorId="0" shapeId="0" xr:uid="{74197EA9-9945-4D5E-805B-C6346AB4BABB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B264" authorId="0" shapeId="0" xr:uid="{6A55E08C-2CBE-4153-A5B1-053FED3A32FB}">
      <text>
        <r>
          <rPr>
            <sz val="9"/>
            <color indexed="81"/>
            <rFont val="Tahoma"/>
            <family val="2"/>
          </rPr>
          <t>Equal to total demand for electricity from all demand nodes</t>
        </r>
      </text>
    </comment>
    <comment ref="AB277" authorId="0" shapeId="0" xr:uid="{3EDB6B67-F0FD-4AB8-9B93-A0498F1F32E6}">
      <text>
        <r>
          <rPr>
            <sz val="9"/>
            <color indexed="81"/>
            <rFont val="Tahoma"/>
            <family val="2"/>
          </rPr>
          <t>Multiplier for "End use supply" (i.e. demand how many units (of generation) per unit supplied (GJ electricity)</t>
        </r>
      </text>
    </comment>
    <comment ref="AA278" authorId="0" shapeId="0" xr:uid="{FD129D53-52CD-4F2D-98BB-5497DD160D3B}">
      <text>
        <r>
          <rPr>
            <sz val="9"/>
            <color indexed="81"/>
            <rFont val="Tahoma"/>
            <family val="2"/>
          </rPr>
          <t>This ratio is just to pass along the GJ requirement (i.e. we want 1 GJ of electricity, so require 1 GJ of furnace generation)</t>
        </r>
      </text>
    </comment>
  </commentList>
</comments>
</file>

<file path=xl/sharedStrings.xml><?xml version="1.0" encoding="utf-8"?>
<sst xmlns="http://schemas.openxmlformats.org/spreadsheetml/2006/main" count="1293" uniqueCount="166">
  <si>
    <t>Residential</t>
  </si>
  <si>
    <t>Shell</t>
  </si>
  <si>
    <t>Electricity</t>
  </si>
  <si>
    <t>Base load</t>
  </si>
  <si>
    <t>Generation</t>
  </si>
  <si>
    <t>Alberta</t>
  </si>
  <si>
    <t>Branch</t>
  </si>
  <si>
    <t>Retrofit Variance</t>
  </si>
  <si>
    <t>Value</t>
  </si>
  <si>
    <t>Parameter</t>
  </si>
  <si>
    <t>Years</t>
  </si>
  <si>
    <t>Price</t>
  </si>
  <si>
    <t>Diesel</t>
  </si>
  <si>
    <t>Light Fuel Oil</t>
  </si>
  <si>
    <t>Natural Gas</t>
  </si>
  <si>
    <t>Wood</t>
  </si>
  <si>
    <t>Unit</t>
  </si>
  <si>
    <t>2015$/GJ</t>
  </si>
  <si>
    <t>2015$/tCO2</t>
  </si>
  <si>
    <t>CO2</t>
  </si>
  <si>
    <t>CH4</t>
  </si>
  <si>
    <t>N2O</t>
  </si>
  <si>
    <t>Consumer Price Index</t>
  </si>
  <si>
    <t>Competition</t>
  </si>
  <si>
    <t>Exogenous</t>
  </si>
  <si>
    <t>Tech Compete</t>
  </si>
  <si>
    <t>Fixed Ratio</t>
  </si>
  <si>
    <t>Single Family Detached</t>
  </si>
  <si>
    <t>Single Family Attached</t>
  </si>
  <si>
    <t>Apartment</t>
  </si>
  <si>
    <t>Mobile</t>
  </si>
  <si>
    <t>Post-1960</t>
  </si>
  <si>
    <t>Pre-1960</t>
  </si>
  <si>
    <t>Standard</t>
  </si>
  <si>
    <t>R2000</t>
  </si>
  <si>
    <t>LEED</t>
  </si>
  <si>
    <t>Electric baseboard</t>
  </si>
  <si>
    <t>Furnace</t>
  </si>
  <si>
    <t>GJ</t>
  </si>
  <si>
    <t>v</t>
  </si>
  <si>
    <t>Capital Cost</t>
  </si>
  <si>
    <t>m2 floorspace</t>
  </si>
  <si>
    <t>Unavailable</t>
  </si>
  <si>
    <t>Available</t>
  </si>
  <si>
    <t>Lifetime</t>
  </si>
  <si>
    <t>Date</t>
  </si>
  <si>
    <t>Operating Cost</t>
  </si>
  <si>
    <t>r</t>
  </si>
  <si>
    <t>CPI</t>
  </si>
  <si>
    <t>Market share_Max</t>
  </si>
  <si>
    <t>Market share_Min</t>
  </si>
  <si>
    <t>Market penetration_Max</t>
  </si>
  <si>
    <t>Market penetration_Min</t>
  </si>
  <si>
    <t>Intangible Cost</t>
  </si>
  <si>
    <t>Population</t>
  </si>
  <si>
    <t>GDP</t>
  </si>
  <si>
    <t>m2 floorspace/household</t>
  </si>
  <si>
    <t>GJ/m2 floorspace</t>
  </si>
  <si>
    <t>2015$ billion</t>
  </si>
  <si>
    <t>person</t>
  </si>
  <si>
    <t>Household</t>
  </si>
  <si>
    <t>Fixed Shares</t>
  </si>
  <si>
    <t>GJ used / GJ provided</t>
  </si>
  <si>
    <t>Competition type</t>
  </si>
  <si>
    <t>Canada</t>
  </si>
  <si>
    <t>Node</t>
  </si>
  <si>
    <t>Social discount rate</t>
  </si>
  <si>
    <t>Risk rate</t>
  </si>
  <si>
    <t>Technology</t>
  </si>
  <si>
    <t>Natural Gas_existing</t>
  </si>
  <si>
    <t>Natural Gas_high efficiency</t>
  </si>
  <si>
    <t>Natural Gas_low efficiency</t>
  </si>
  <si>
    <t>Heat pump_air source</t>
  </si>
  <si>
    <t>Financial discount rate</t>
  </si>
  <si>
    <t>2015$/m2 floorspace</t>
  </si>
  <si>
    <t>GHG</t>
  </si>
  <si>
    <t>Sector</t>
  </si>
  <si>
    <t>Fuel</t>
  </si>
  <si>
    <t>Commercial</t>
  </si>
  <si>
    <t>Region</t>
  </si>
  <si>
    <t>Region_code</t>
  </si>
  <si>
    <t>British Columbia</t>
  </si>
  <si>
    <t>CAN</t>
  </si>
  <si>
    <t>AB</t>
  </si>
  <si>
    <t>BC</t>
  </si>
  <si>
    <t>Winner Take All</t>
  </si>
  <si>
    <t>Heterogeneity</t>
  </si>
  <si>
    <t>Simulation</t>
  </si>
  <si>
    <t>Simulation Time</t>
  </si>
  <si>
    <t>Alberta_Residential_Building_Shell_Space Heating</t>
  </si>
  <si>
    <t>Alberta_Residential_Furnace</t>
  </si>
  <si>
    <t>Alberta_Residential_Building</t>
  </si>
  <si>
    <t>Alberta_Residential</t>
  </si>
  <si>
    <t>Canada_Alberta</t>
  </si>
  <si>
    <t>Country</t>
  </si>
  <si>
    <t>Clothes washing</t>
  </si>
  <si>
    <t>Water heating</t>
  </si>
  <si>
    <t>Space heating</t>
  </si>
  <si>
    <t>Non-apartment</t>
  </si>
  <si>
    <t>Conventional</t>
  </si>
  <si>
    <t>Renewables</t>
  </si>
  <si>
    <t>Floorspace</t>
  </si>
  <si>
    <t>Service</t>
  </si>
  <si>
    <t>Canada_Alberta_Residential_Building_Shell_Space heating</t>
  </si>
  <si>
    <t>Canada_Alberta_Residential_Building_Shell_Air conditioning</t>
  </si>
  <si>
    <t>Market share</t>
  </si>
  <si>
    <t>Comments / Calcs</t>
  </si>
  <si>
    <t>Canada_Alberta_Residential</t>
  </si>
  <si>
    <t>Canada_Alberta_Residential_Building</t>
  </si>
  <si>
    <t>Canada_Alberta_Residential_Building_Shell</t>
  </si>
  <si>
    <t>Canada_Alberta_Electricity</t>
  </si>
  <si>
    <t>Canada_Alberta_Residential_Building_Shell_Space heating_Furnace</t>
  </si>
  <si>
    <t>Canada_Alberta_Electricity_Generation</t>
  </si>
  <si>
    <t>household per person</t>
  </si>
  <si>
    <t>Service supply</t>
  </si>
  <si>
    <t>Service demand</t>
  </si>
  <si>
    <t>Service Cost</t>
  </si>
  <si>
    <t>Data</t>
  </si>
  <si>
    <t>Source</t>
  </si>
  <si>
    <t>Reference</t>
  </si>
  <si>
    <t>million m2</t>
  </si>
  <si>
    <t>NRCan NEUD</t>
  </si>
  <si>
    <t>Households</t>
  </si>
  <si>
    <t>persons</t>
  </si>
  <si>
    <t>StatCan</t>
  </si>
  <si>
    <t>calc</t>
  </si>
  <si>
    <t>Close all nodes</t>
  </si>
  <si>
    <t>Newfoundland and Labrador</t>
  </si>
  <si>
    <t>Prince Edward Island</t>
  </si>
  <si>
    <t>Nova Scotia</t>
  </si>
  <si>
    <t>New Brunswick</t>
  </si>
  <si>
    <t>Quebec</t>
  </si>
  <si>
    <t>Ontario</t>
  </si>
  <si>
    <t>Manitoba</t>
  </si>
  <si>
    <t>Saskatchewan</t>
  </si>
  <si>
    <t>Yukon</t>
  </si>
  <si>
    <t>Nunavut</t>
  </si>
  <si>
    <t>Northwest Territories</t>
  </si>
  <si>
    <t>StatCan, Scenario M1</t>
  </si>
  <si>
    <t>%</t>
  </si>
  <si>
    <t>Population annual growth rate</t>
  </si>
  <si>
    <t>Population forecast</t>
  </si>
  <si>
    <t>2012 constant prices, M$</t>
  </si>
  <si>
    <t>OECD long-term forecast</t>
  </si>
  <si>
    <t>2010 ppp, real dollars, M$ USD</t>
  </si>
  <si>
    <t>2012 ppp, real dollars, M$ CAD</t>
  </si>
  <si>
    <t>Purchasing Power Parities for GDP</t>
  </si>
  <si>
    <t>CAD per USD</t>
  </si>
  <si>
    <t>OECD PPP rates</t>
  </si>
  <si>
    <t>Average household size in private dwellings</t>
  </si>
  <si>
    <t>Census</t>
  </si>
  <si>
    <t>Single detached</t>
  </si>
  <si>
    <t>Single attached</t>
  </si>
  <si>
    <t>Buildings</t>
  </si>
  <si>
    <t>Persons per household</t>
  </si>
  <si>
    <t>Type</t>
  </si>
  <si>
    <t>Demand</t>
  </si>
  <si>
    <t>Supply</t>
  </si>
  <si>
    <t>Natural Gas_existing stock</t>
  </si>
  <si>
    <t>Electric_existing stock</t>
  </si>
  <si>
    <t>Natural Gas_Standard</t>
  </si>
  <si>
    <t>Electric_Standard</t>
  </si>
  <si>
    <t>Alberta_Residential_Building_Shell_Water heating</t>
  </si>
  <si>
    <t>Dishwashing</t>
  </si>
  <si>
    <t>Canada_Natural Gas</t>
  </si>
  <si>
    <t>GDP deflator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</si>
</sst>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#,##0_ ;\-#,##0\ "/>
    <numFmt numFmtId="167" formatCode="#,##0.0"/>
    <numFmt numFmtId="173" formatCode="#,##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6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97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0" xfId="0" applyFont="1"/>
    <xf numFmtId="0" fontId="0" fillId="5" borderId="0" xfId="0" applyFill="1"/>
    <xf numFmtId="0" fontId="0" fillId="0" borderId="0" xfId="0" applyFont="1" applyFill="1"/>
    <xf numFmtId="0" fontId="0" fillId="0" borderId="0" xfId="0" applyFont="1" applyFill="1" applyBorder="1"/>
    <xf numFmtId="0" fontId="0" fillId="6" borderId="0" xfId="0" applyFont="1" applyFill="1"/>
    <xf numFmtId="0" fontId="1" fillId="3" borderId="0" xfId="0" applyFont="1" applyFill="1" applyBorder="1"/>
    <xf numFmtId="0" fontId="1" fillId="2" borderId="0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left"/>
    </xf>
    <xf numFmtId="0" fontId="0" fillId="0" borderId="9" xfId="0" applyFont="1" applyFill="1" applyBorder="1" applyAlignment="1">
      <alignment horizontal="left"/>
    </xf>
    <xf numFmtId="0" fontId="0" fillId="0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0" borderId="9" xfId="0" applyFont="1" applyFill="1" applyBorder="1"/>
    <xf numFmtId="0" fontId="0" fillId="0" borderId="0" xfId="0" applyFont="1" applyBorder="1"/>
    <xf numFmtId="0" fontId="0" fillId="0" borderId="9" xfId="0" applyFont="1" applyBorder="1" applyAlignment="1">
      <alignment horizontal="left"/>
    </xf>
    <xf numFmtId="3" fontId="0" fillId="0" borderId="0" xfId="0" applyNumberFormat="1" applyFont="1" applyBorder="1"/>
    <xf numFmtId="165" fontId="0" fillId="0" borderId="0" xfId="0" applyNumberFormat="1" applyFont="1" applyBorder="1"/>
    <xf numFmtId="164" fontId="0" fillId="0" borderId="0" xfId="0" applyNumberFormat="1" applyFont="1" applyBorder="1"/>
    <xf numFmtId="165" fontId="0" fillId="0" borderId="0" xfId="0" applyNumberFormat="1" applyFont="1"/>
    <xf numFmtId="2" fontId="0" fillId="0" borderId="0" xfId="0" applyNumberFormat="1" applyFont="1"/>
    <xf numFmtId="0" fontId="1" fillId="0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5" borderId="0" xfId="0" applyFont="1" applyFill="1" applyBorder="1"/>
    <xf numFmtId="0" fontId="1" fillId="5" borderId="0" xfId="2" applyFont="1" applyFill="1" applyBorder="1"/>
    <xf numFmtId="0" fontId="1" fillId="5" borderId="0" xfId="0" applyFont="1" applyFill="1"/>
    <xf numFmtId="0" fontId="0" fillId="0" borderId="9" xfId="0" applyBorder="1"/>
    <xf numFmtId="0" fontId="0" fillId="4" borderId="9" xfId="0" applyFill="1" applyBorder="1"/>
    <xf numFmtId="0" fontId="1" fillId="0" borderId="2" xfId="2" applyFont="1" applyFill="1" applyBorder="1"/>
    <xf numFmtId="0" fontId="1" fillId="0" borderId="8" xfId="2" applyFont="1" applyFill="1" applyBorder="1"/>
    <xf numFmtId="0" fontId="1" fillId="5" borderId="0" xfId="2" applyFont="1" applyFill="1"/>
    <xf numFmtId="2" fontId="0" fillId="0" borderId="0" xfId="0" applyNumberFormat="1" applyFont="1" applyBorder="1"/>
    <xf numFmtId="0" fontId="1" fillId="3" borderId="0" xfId="0" applyFont="1" applyFill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9" xfId="0" applyFont="1" applyBorder="1"/>
    <xf numFmtId="0" fontId="4" fillId="0" borderId="9" xfId="2" applyBorder="1" applyAlignment="1">
      <alignment horizontal="left"/>
    </xf>
    <xf numFmtId="167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/>
    <xf numFmtId="167" fontId="0" fillId="0" borderId="0" xfId="0" applyNumberFormat="1" applyFont="1" applyBorder="1"/>
    <xf numFmtId="167" fontId="0" fillId="0" borderId="0" xfId="0" applyNumberFormat="1" applyFont="1"/>
    <xf numFmtId="167" fontId="0" fillId="0" borderId="0" xfId="0" applyNumberFormat="1" applyFont="1" applyFill="1"/>
    <xf numFmtId="0" fontId="1" fillId="2" borderId="0" xfId="0" applyNumberFormat="1" applyFont="1" applyFill="1" applyBorder="1" applyAlignment="1">
      <alignment horizontal="center"/>
    </xf>
    <xf numFmtId="4" fontId="0" fillId="0" borderId="0" xfId="0" applyNumberFormat="1" applyFont="1" applyBorder="1"/>
    <xf numFmtId="167" fontId="0" fillId="4" borderId="0" xfId="0" applyNumberFormat="1" applyFont="1" applyFill="1" applyBorder="1"/>
    <xf numFmtId="167" fontId="1" fillId="0" borderId="0" xfId="0" applyNumberFormat="1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0" fillId="6" borderId="0" xfId="0" applyFont="1" applyFill="1" applyBorder="1"/>
    <xf numFmtId="3" fontId="0" fillId="0" borderId="0" xfId="0" applyNumberFormat="1"/>
    <xf numFmtId="167" fontId="0" fillId="0" borderId="0" xfId="0" applyNumberFormat="1"/>
    <xf numFmtId="4" fontId="0" fillId="0" borderId="0" xfId="0" applyNumberFormat="1"/>
    <xf numFmtId="0" fontId="4" fillId="0" borderId="0" xfId="2"/>
    <xf numFmtId="3" fontId="6" fillId="0" borderId="0" xfId="0" applyNumberFormat="1" applyFont="1" applyBorder="1"/>
    <xf numFmtId="167" fontId="6" fillId="0" borderId="0" xfId="0" applyNumberFormat="1" applyFont="1" applyBorder="1"/>
    <xf numFmtId="167" fontId="7" fillId="0" borderId="0" xfId="0" applyNumberFormat="1" applyFont="1" applyBorder="1"/>
    <xf numFmtId="173" fontId="0" fillId="0" borderId="0" xfId="0" applyNumberFormat="1" applyFont="1" applyBorder="1"/>
    <xf numFmtId="0" fontId="0" fillId="6" borderId="11" xfId="0" applyFont="1" applyFill="1" applyBorder="1"/>
    <xf numFmtId="0" fontId="0" fillId="0" borderId="11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167" fontId="0" fillId="0" borderId="11" xfId="0" applyNumberFormat="1" applyFont="1" applyBorder="1"/>
    <xf numFmtId="3" fontId="0" fillId="0" borderId="11" xfId="0" applyNumberFormat="1" applyFont="1" applyBorder="1"/>
    <xf numFmtId="3" fontId="0" fillId="0" borderId="11" xfId="0" applyNumberFormat="1" applyBorder="1"/>
    <xf numFmtId="0" fontId="0" fillId="0" borderId="11" xfId="0" applyBorder="1"/>
    <xf numFmtId="4" fontId="6" fillId="0" borderId="0" xfId="0" applyNumberFormat="1" applyFont="1" applyBorder="1"/>
    <xf numFmtId="4" fontId="0" fillId="0" borderId="0" xfId="0" applyNumberFormat="1" applyFont="1" applyFill="1" applyBorder="1"/>
    <xf numFmtId="3" fontId="0" fillId="0" borderId="0" xfId="0" applyNumberFormat="1" applyFont="1" applyFill="1" applyBorder="1"/>
    <xf numFmtId="3" fontId="6" fillId="0" borderId="0" xfId="0" applyNumberFormat="1" applyFont="1" applyFill="1" applyBorder="1"/>
    <xf numFmtId="0" fontId="1" fillId="0" borderId="0" xfId="0" applyFont="1" applyBorder="1" applyAlignment="1">
      <alignment horizontal="left"/>
    </xf>
    <xf numFmtId="0" fontId="9" fillId="0" borderId="0" xfId="0" applyFont="1" applyFill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Fill="1"/>
    <xf numFmtId="0" fontId="8" fillId="0" borderId="0" xfId="0" applyFont="1" applyFill="1" applyBorder="1"/>
    <xf numFmtId="0" fontId="8" fillId="0" borderId="1" xfId="2" applyFont="1" applyFill="1" applyBorder="1"/>
    <xf numFmtId="0" fontId="8" fillId="0" borderId="0" xfId="2" applyFont="1" applyFill="1" applyBorder="1"/>
    <xf numFmtId="0" fontId="8" fillId="0" borderId="6" xfId="0" applyFont="1" applyFill="1" applyBorder="1"/>
    <xf numFmtId="0" fontId="8" fillId="0" borderId="7" xfId="0" applyFont="1" applyFill="1" applyBorder="1"/>
    <xf numFmtId="0" fontId="8" fillId="0" borderId="1" xfId="0" applyFont="1" applyFill="1" applyBorder="1"/>
    <xf numFmtId="0" fontId="8" fillId="0" borderId="5" xfId="0" applyFont="1" applyFill="1" applyBorder="1"/>
    <xf numFmtId="0" fontId="8" fillId="0" borderId="3" xfId="0" applyFont="1" applyFill="1" applyBorder="1"/>
    <xf numFmtId="0" fontId="8" fillId="0" borderId="5" xfId="2" applyFont="1" applyFill="1" applyBorder="1"/>
    <xf numFmtId="0" fontId="8" fillId="0" borderId="4" xfId="0" applyFont="1" applyFill="1" applyBorder="1"/>
    <xf numFmtId="0" fontId="8" fillId="0" borderId="6" xfId="2" applyFont="1" applyFill="1" applyBorder="1"/>
    <xf numFmtId="0" fontId="8" fillId="4" borderId="10" xfId="2" applyFont="1" applyFill="1" applyBorder="1" applyAlignment="1">
      <alignment horizontal="center"/>
    </xf>
    <xf numFmtId="0" fontId="1" fillId="0" borderId="9" xfId="2" applyFont="1" applyBorder="1" applyAlignment="1">
      <alignment horizontal="left"/>
    </xf>
    <xf numFmtId="0" fontId="0" fillId="4" borderId="9" xfId="0" applyFont="1" applyFill="1" applyBorder="1" applyAlignment="1">
      <alignment horizontal="left"/>
    </xf>
    <xf numFmtId="0" fontId="0" fillId="4" borderId="0" xfId="0" applyFont="1" applyFill="1"/>
    <xf numFmtId="2" fontId="0" fillId="4" borderId="0" xfId="0" applyNumberFormat="1" applyFont="1" applyFill="1"/>
    <xf numFmtId="165" fontId="0" fillId="4" borderId="0" xfId="0" applyNumberFormat="1" applyFont="1" applyFill="1"/>
    <xf numFmtId="0" fontId="0" fillId="4" borderId="0" xfId="0" applyFont="1" applyFill="1" applyBorder="1" applyAlignment="1">
      <alignment horizontal="left"/>
    </xf>
    <xf numFmtId="167" fontId="0" fillId="4" borderId="0" xfId="0" applyNumberFormat="1" applyFont="1" applyFill="1"/>
  </cellXfs>
  <cellStyles count="3">
    <cellStyle name="Comma" xfId="1" builtinId="3" customBuiltin="1"/>
    <cellStyle name="Hyperlink" xfId="2" builtinId="8"/>
    <cellStyle name="Normal" xfId="0" builtinId="0"/>
  </cellStyles>
  <dxfs count="9"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b/>
        <i val="0"/>
      </font>
    </dxf>
    <dxf>
      <font>
        <color theme="0"/>
      </font>
      <fill>
        <patternFill>
          <fgColor indexed="64"/>
          <bgColor rgb="FF0070C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border>
        <bottom style="thin">
          <color auto="1"/>
        </bottom>
      </border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data.oecd.org/gdp/gdp-long-term-forecast.htm" TargetMode="External"/><Relationship Id="rId7" Type="http://schemas.openxmlformats.org/officeDocument/2006/relationships/hyperlink" Target="https://www150.statcan.gc.ca/t1/tbl1/en/cv.action?pid=1710000501" TargetMode="External"/><Relationship Id="rId2" Type="http://schemas.openxmlformats.org/officeDocument/2006/relationships/hyperlink" Target="https://data.oecd.org/conversion/purchasing-power-parities-ppp.htm" TargetMode="External"/><Relationship Id="rId1" Type="http://schemas.openxmlformats.org/officeDocument/2006/relationships/hyperlink" Target="https://data.oecd.org/gdp/gdp-long-term-forecast.htm" TargetMode="External"/><Relationship Id="rId6" Type="http://schemas.openxmlformats.org/officeDocument/2006/relationships/hyperlink" Target="https://www150.statcan.gc.ca/t1/tbl1/en/cv.action?pid=1710000501" TargetMode="External"/><Relationship Id="rId5" Type="http://schemas.openxmlformats.org/officeDocument/2006/relationships/hyperlink" Target="https://www150.statcan.gc.ca/t1/tbl1/en/tv.action?pid=1710005801" TargetMode="External"/><Relationship Id="rId4" Type="http://schemas.openxmlformats.org/officeDocument/2006/relationships/hyperlink" Target="https://www150.statcan.gc.ca/t1/tbl1/en/tv.action?pid=1710005801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oee.nrcan.gc.ca/corporate/statistics/neud/dpa/showTable.cfm?type=CP&amp;sector=res&amp;juris=ab&amp;rn=18&amp;page=2" TargetMode="External"/><Relationship Id="rId3" Type="http://schemas.openxmlformats.org/officeDocument/2006/relationships/hyperlink" Target="https://www12.statcan.gc.ca/census-recensement/2016/dp-pd/dt-td/Rp-eng.cfm?TABID=4&amp;LANG=E&amp;A=R&amp;APATH=3&amp;DETAIL=0&amp;DIM=0&amp;FL=A&amp;FREE=0&amp;GC=01&amp;GL=-1&amp;GID=1234492&amp;GK=1&amp;GRP=1&amp;O=D&amp;PID=109532&amp;PRID=10&amp;PTYPE=109445&amp;S=0&amp;SHOWALL=0&amp;SUB=0&amp;Temporal=2016&amp;THEME=116&amp;VID=0&amp;VNAMEE=&amp;VNAMEF=&amp;D1=0&amp;D2=0&amp;D3=0&amp;D4=0&amp;D5=0&amp;D6=0" TargetMode="External"/><Relationship Id="rId7" Type="http://schemas.openxmlformats.org/officeDocument/2006/relationships/hyperlink" Target="http://oee.nrcan.gc.ca/corporate/statistics/neud/dpa/showTable.cfm?type=CP&amp;sector=res&amp;juris=ab&amp;rn=18&amp;page=2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https://www12.statcan.gc.ca/census-recensement/2016/dp-pd/dt-td/Rp-eng.cfm?TABID=4&amp;LANG=E&amp;A=R&amp;APATH=3&amp;DETAIL=0&amp;DIM=0&amp;FL=A&amp;FREE=0&amp;GC=01&amp;GL=-1&amp;GID=1234492&amp;GK=1&amp;GRP=1&amp;O=D&amp;PID=109532&amp;PRID=10&amp;PTYPE=109445&amp;S=0&amp;SHOWALL=0&amp;SUB=0&amp;Temporal=2016&amp;THEME=116&amp;VID=0&amp;VNAMEE=&amp;VNAMEF=&amp;D1=0&amp;D2=0&amp;D3=0&amp;D4=0&amp;D5=0&amp;D6=0" TargetMode="External"/><Relationship Id="rId1" Type="http://schemas.openxmlformats.org/officeDocument/2006/relationships/hyperlink" Target="http://oee.nrcan.gc.ca/corporate/statistics/neud/dpa/showTable.cfm?type=CP&amp;sector=res&amp;juris=ab&amp;rn=18&amp;page=2" TargetMode="External"/><Relationship Id="rId6" Type="http://schemas.openxmlformats.org/officeDocument/2006/relationships/hyperlink" Target="http://oee.nrcan.gc.ca/corporate/statistics/neud/dpa/showTable.cfm?type=CP&amp;sector=res&amp;juris=ab&amp;rn=18&amp;page=2" TargetMode="External"/><Relationship Id="rId11" Type="http://schemas.openxmlformats.org/officeDocument/2006/relationships/hyperlink" Target="https://www12.statcan.gc.ca/census-recensement/2016/dp-pd/dt-td/Rp-eng.cfm?TABID=4&amp;LANG=E&amp;A=R&amp;APATH=3&amp;DETAIL=0&amp;DIM=0&amp;FL=A&amp;FREE=0&amp;GC=01&amp;GL=-1&amp;GID=1234492&amp;GK=1&amp;GRP=1&amp;O=D&amp;PID=109532&amp;PRID=10&amp;PTYPE=109445&amp;S=0&amp;SHOWALL=0&amp;SUB=0&amp;Temporal=2016&amp;THEME=116&amp;VID=0&amp;VNAMEE=&amp;VNAMEF=&amp;D1=0&amp;D2=0&amp;D3=0&amp;D4=0&amp;D5=0&amp;D6=0" TargetMode="External"/><Relationship Id="rId5" Type="http://schemas.openxmlformats.org/officeDocument/2006/relationships/hyperlink" Target="http://oee.nrcan.gc.ca/corporate/statistics/neud/dpa/showTable.cfm?type=CP&amp;sector=res&amp;juris=ab&amp;rn=18&amp;page=2" TargetMode="External"/><Relationship Id="rId10" Type="http://schemas.openxmlformats.org/officeDocument/2006/relationships/hyperlink" Target="http://oee.nrcan.gc.ca/corporate/statistics/neud/dpa/showTable.cfm?type=CP&amp;sector=res&amp;juris=ab&amp;rn=18&amp;page=2" TargetMode="External"/><Relationship Id="rId4" Type="http://schemas.openxmlformats.org/officeDocument/2006/relationships/hyperlink" Target="http://oee.nrcan.gc.ca/corporate/statistics/neud/dpa/showTable.cfm?type=CP&amp;sector=res&amp;juris=ab&amp;rn=18&amp;page=2" TargetMode="External"/><Relationship Id="rId9" Type="http://schemas.openxmlformats.org/officeDocument/2006/relationships/hyperlink" Target="http://oee.nrcan.gc.ca/corporate/statistics/neud/dpa/showTable.cfm?type=CP&amp;sector=res&amp;juris=ab&amp;rn=18&amp;page=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449E9-551D-4918-9891-B804DE91249B}">
  <sheetPr codeName="Sheet7">
    <tabColor theme="1" tint="0.499984740745262"/>
    <outlinePr summaryBelow="0" summaryRight="0"/>
  </sheetPr>
  <dimension ref="A1:K6"/>
  <sheetViews>
    <sheetView zoomScale="85" zoomScaleNormal="85" workbookViewId="0">
      <pane ySplit="1" topLeftCell="A2" activePane="bottomLeft" state="frozen"/>
      <selection pane="bottomLeft" activeCell="F6" sqref="F6"/>
    </sheetView>
  </sheetViews>
  <sheetFormatPr defaultRowHeight="15" x14ac:dyDescent="0.25"/>
  <cols>
    <col min="1" max="1" width="16" bestFit="1" customWidth="1"/>
    <col min="2" max="2" width="3.140625" customWidth="1"/>
    <col min="3" max="3" width="16.5703125" bestFit="1" customWidth="1"/>
    <col min="4" max="4" width="11.85546875" customWidth="1"/>
    <col min="5" max="5" width="3.140625" customWidth="1"/>
    <col min="6" max="6" width="22" bestFit="1" customWidth="1"/>
    <col min="7" max="7" width="11.85546875" customWidth="1"/>
    <col min="8" max="8" width="3.140625" customWidth="1"/>
    <col min="9" max="9" width="12.140625" bestFit="1" customWidth="1"/>
    <col min="10" max="10" width="3.140625" customWidth="1"/>
    <col min="12" max="12" width="3.140625" customWidth="1"/>
  </cols>
  <sheetData>
    <row r="1" spans="1:11" s="1" customFormat="1" x14ac:dyDescent="0.25">
      <c r="A1" s="1" t="s">
        <v>23</v>
      </c>
      <c r="C1" s="1" t="s">
        <v>79</v>
      </c>
      <c r="D1" s="1" t="s">
        <v>80</v>
      </c>
      <c r="F1" s="1" t="s">
        <v>76</v>
      </c>
      <c r="G1" s="1" t="s">
        <v>155</v>
      </c>
      <c r="I1" s="1" t="s">
        <v>77</v>
      </c>
      <c r="K1" s="1" t="s">
        <v>75</v>
      </c>
    </row>
    <row r="2" spans="1:11" x14ac:dyDescent="0.25">
      <c r="A2" t="s">
        <v>24</v>
      </c>
      <c r="C2" t="s">
        <v>64</v>
      </c>
      <c r="D2" t="s">
        <v>82</v>
      </c>
      <c r="F2" t="s">
        <v>0</v>
      </c>
      <c r="G2" t="s">
        <v>156</v>
      </c>
      <c r="I2" t="s">
        <v>2</v>
      </c>
      <c r="K2" t="s">
        <v>19</v>
      </c>
    </row>
    <row r="3" spans="1:11" x14ac:dyDescent="0.25">
      <c r="A3" t="s">
        <v>26</v>
      </c>
      <c r="C3" t="s">
        <v>5</v>
      </c>
      <c r="D3" t="s">
        <v>83</v>
      </c>
      <c r="F3" t="s">
        <v>78</v>
      </c>
      <c r="G3" t="s">
        <v>156</v>
      </c>
      <c r="I3" t="s">
        <v>14</v>
      </c>
      <c r="K3" t="s">
        <v>20</v>
      </c>
    </row>
    <row r="4" spans="1:11" x14ac:dyDescent="0.25">
      <c r="A4" t="s">
        <v>61</v>
      </c>
      <c r="C4" t="s">
        <v>81</v>
      </c>
      <c r="D4" t="s">
        <v>84</v>
      </c>
      <c r="F4" t="s">
        <v>2</v>
      </c>
      <c r="G4" t="s">
        <v>157</v>
      </c>
      <c r="K4" t="s">
        <v>21</v>
      </c>
    </row>
    <row r="5" spans="1:11" x14ac:dyDescent="0.25">
      <c r="A5" t="s">
        <v>25</v>
      </c>
      <c r="F5" t="s">
        <v>14</v>
      </c>
      <c r="G5" t="s">
        <v>157</v>
      </c>
    </row>
    <row r="6" spans="1:11" x14ac:dyDescent="0.25">
      <c r="A6" t="s"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4ED32-E5FE-4314-9DA0-B00575F8E235}">
  <sheetPr codeName="Map">
    <tabColor theme="1"/>
    <outlinePr summaryBelow="0" summaryRight="0"/>
  </sheetPr>
  <dimension ref="A1:BB288"/>
  <sheetViews>
    <sheetView showGridLines="0" tabSelected="1" zoomScale="85" zoomScaleNormal="85" workbookViewId="0">
      <pane ySplit="2" topLeftCell="A3" activePane="bottomLeft" state="frozen"/>
      <selection pane="bottomLeft" activeCell="A3" sqref="A3"/>
    </sheetView>
  </sheetViews>
  <sheetFormatPr defaultRowHeight="15" outlineLevelCol="1" x14ac:dyDescent="0.25"/>
  <cols>
    <col min="1" max="1" width="2.7109375" style="3" customWidth="1"/>
    <col min="2" max="2" width="11.140625" style="77" customWidth="1"/>
    <col min="3" max="3" width="2.5703125" style="77" customWidth="1" outlineLevel="1"/>
    <col min="4" max="4" width="10" style="77" customWidth="1" outlineLevel="1"/>
    <col min="5" max="5" width="2.7109375" style="77" customWidth="1" outlineLevel="1"/>
    <col min="6" max="6" width="12.42578125" style="77" customWidth="1" outlineLevel="1"/>
    <col min="7" max="7" width="2.7109375" style="77" customWidth="1" outlineLevel="1"/>
    <col min="8" max="8" width="35.7109375" style="77" customWidth="1" outlineLevel="1"/>
    <col min="9" max="9" width="2.7109375" style="77" customWidth="1" outlineLevel="1"/>
    <col min="10" max="10" width="35.42578125" style="77" customWidth="1" outlineLevel="1"/>
    <col min="11" max="11" width="2.7109375" style="77" customWidth="1" outlineLevel="1"/>
    <col min="12" max="12" width="42.85546875" style="77" customWidth="1" outlineLevel="1"/>
    <col min="13" max="13" width="2.7109375" style="77" customWidth="1" outlineLevel="1"/>
    <col min="14" max="14" width="19.140625" style="77" customWidth="1" outlineLevel="1"/>
    <col min="15" max="15" width="2.7109375" style="77" customWidth="1" outlineLevel="1"/>
    <col min="16" max="16" width="10.7109375" style="77" customWidth="1" outlineLevel="1"/>
    <col min="17" max="17" width="2.7109375" style="77" customWidth="1" outlineLevel="1"/>
    <col min="18" max="18" width="10.7109375" style="77" customWidth="1" outlineLevel="1"/>
    <col min="19" max="19" width="2.7109375" style="77" customWidth="1" outlineLevel="1"/>
    <col min="20" max="20" width="10.7109375" style="77" customWidth="1" outlineLevel="1"/>
    <col min="21" max="21" width="2.7109375" style="77" customWidth="1" outlineLevel="1"/>
    <col min="22" max="22" width="10.7109375" style="77" customWidth="1" outlineLevel="1"/>
    <col min="23" max="23" width="2.7109375" style="3" customWidth="1"/>
    <col min="24" max="24" width="42.85546875" style="29" customWidth="1"/>
    <col min="25" max="25" width="24.42578125" style="3" customWidth="1" outlineLevel="1"/>
    <col min="26" max="26" width="69.7109375" style="3" customWidth="1" outlineLevel="1"/>
    <col min="27" max="27" width="25.7109375" style="3" customWidth="1" outlineLevel="1"/>
    <col min="28" max="28" width="34" style="3" customWidth="1" outlineLevel="1"/>
    <col min="29" max="39" width="15.7109375" style="3" customWidth="1" outlineLevel="1"/>
    <col min="40" max="40" width="2.7109375" style="3" customWidth="1"/>
    <col min="41" max="41" width="27.5703125" style="17" bestFit="1" customWidth="1"/>
    <col min="42" max="43" width="22.140625" style="17" customWidth="1"/>
    <col min="44" max="54" width="15.7109375" style="43" customWidth="1" outlineLevel="1"/>
    <col min="55" max="16384" width="9.140625" style="3"/>
  </cols>
  <sheetData>
    <row r="1" spans="1:54" s="24" customFormat="1" ht="15.75" thickBot="1" x14ac:dyDescent="0.3">
      <c r="A1" s="25"/>
      <c r="B1" s="73">
        <v>0</v>
      </c>
      <c r="C1" s="73"/>
      <c r="D1" s="73">
        <v>1</v>
      </c>
      <c r="E1" s="73"/>
      <c r="F1" s="73">
        <v>2</v>
      </c>
      <c r="G1" s="73"/>
      <c r="H1" s="73">
        <v>3</v>
      </c>
      <c r="I1" s="74"/>
      <c r="J1" s="73">
        <v>4</v>
      </c>
      <c r="K1" s="74"/>
      <c r="L1" s="73">
        <v>5</v>
      </c>
      <c r="M1" s="74"/>
      <c r="N1" s="73">
        <v>6</v>
      </c>
      <c r="O1" s="74"/>
      <c r="P1" s="73">
        <v>7</v>
      </c>
      <c r="Q1" s="74"/>
      <c r="R1" s="73">
        <v>8</v>
      </c>
      <c r="S1" s="74"/>
      <c r="T1" s="73">
        <v>9</v>
      </c>
      <c r="U1" s="74"/>
      <c r="V1" s="73">
        <v>10</v>
      </c>
      <c r="W1" s="25"/>
      <c r="X1" s="36" t="s">
        <v>117</v>
      </c>
      <c r="Y1" s="89" t="s">
        <v>126</v>
      </c>
      <c r="AN1" s="25"/>
      <c r="AO1" s="37" t="s">
        <v>119</v>
      </c>
      <c r="AP1" s="37"/>
      <c r="AQ1" s="26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</row>
    <row r="2" spans="1:54" s="24" customFormat="1" x14ac:dyDescent="0.25">
      <c r="A2" s="25"/>
      <c r="B2" s="75" t="s">
        <v>94</v>
      </c>
      <c r="C2" s="75"/>
      <c r="D2" s="75" t="s">
        <v>79</v>
      </c>
      <c r="E2" s="75"/>
      <c r="F2" s="75" t="s">
        <v>76</v>
      </c>
      <c r="G2" s="75"/>
      <c r="H2" s="75" t="s">
        <v>102</v>
      </c>
      <c r="I2" s="76"/>
      <c r="J2" s="75" t="s">
        <v>102</v>
      </c>
      <c r="K2" s="76"/>
      <c r="L2" s="75" t="s">
        <v>102</v>
      </c>
      <c r="M2" s="76"/>
      <c r="N2" s="75" t="s">
        <v>102</v>
      </c>
      <c r="O2" s="76"/>
      <c r="P2" s="75" t="s">
        <v>102</v>
      </c>
      <c r="Q2" s="76"/>
      <c r="R2" s="75" t="s">
        <v>102</v>
      </c>
      <c r="S2" s="76"/>
      <c r="T2" s="75" t="s">
        <v>102</v>
      </c>
      <c r="U2" s="76"/>
      <c r="V2" s="75" t="s">
        <v>102</v>
      </c>
      <c r="W2" s="25"/>
      <c r="X2" s="8" t="s">
        <v>65</v>
      </c>
      <c r="Y2" s="8" t="s">
        <v>9</v>
      </c>
      <c r="Z2" s="8" t="s">
        <v>6</v>
      </c>
      <c r="AA2" s="8" t="s">
        <v>16</v>
      </c>
      <c r="AB2" s="10" t="s">
        <v>8</v>
      </c>
      <c r="AC2" s="9">
        <v>2000</v>
      </c>
      <c r="AD2" s="9">
        <v>2005</v>
      </c>
      <c r="AE2" s="9">
        <v>2010</v>
      </c>
      <c r="AF2" s="9">
        <v>2015</v>
      </c>
      <c r="AG2" s="9">
        <v>2020</v>
      </c>
      <c r="AH2" s="9">
        <v>2025</v>
      </c>
      <c r="AI2" s="9">
        <v>2030</v>
      </c>
      <c r="AJ2" s="9">
        <v>2035</v>
      </c>
      <c r="AK2" s="9">
        <v>2040</v>
      </c>
      <c r="AL2" s="9">
        <v>2045</v>
      </c>
      <c r="AM2" s="9">
        <v>2050</v>
      </c>
      <c r="AN2" s="25"/>
      <c r="AO2" s="37" t="s">
        <v>106</v>
      </c>
      <c r="AP2" s="37" t="s">
        <v>16</v>
      </c>
      <c r="AQ2" s="37" t="s">
        <v>118</v>
      </c>
      <c r="AR2" s="46">
        <v>2000</v>
      </c>
      <c r="AS2" s="46">
        <v>2005</v>
      </c>
      <c r="AT2" s="46">
        <v>2010</v>
      </c>
      <c r="AU2" s="46">
        <v>2015</v>
      </c>
      <c r="AV2" s="46">
        <v>2020</v>
      </c>
      <c r="AW2" s="46">
        <v>2025</v>
      </c>
      <c r="AX2" s="46">
        <v>2030</v>
      </c>
      <c r="AY2" s="46">
        <v>2035</v>
      </c>
      <c r="AZ2" s="46">
        <v>2040</v>
      </c>
      <c r="BA2" s="46">
        <v>2045</v>
      </c>
      <c r="BB2" s="46">
        <v>2050</v>
      </c>
    </row>
    <row r="3" spans="1:54" s="12" customFormat="1" x14ac:dyDescent="0.25">
      <c r="A3" s="13"/>
      <c r="B3" s="75"/>
      <c r="C3" s="75"/>
      <c r="D3" s="75"/>
      <c r="E3" s="75"/>
      <c r="F3" s="75"/>
      <c r="G3" s="75"/>
      <c r="H3" s="75"/>
      <c r="I3" s="76"/>
      <c r="J3" s="75"/>
      <c r="K3" s="76"/>
      <c r="L3" s="75"/>
      <c r="M3" s="76"/>
      <c r="N3" s="75"/>
      <c r="O3" s="76"/>
      <c r="P3" s="75"/>
      <c r="Q3" s="76"/>
      <c r="R3" s="75"/>
      <c r="S3" s="76"/>
      <c r="T3" s="75"/>
      <c r="U3" s="76"/>
      <c r="V3" s="75"/>
      <c r="W3" s="13"/>
      <c r="X3" s="27" t="str">
        <f t="shared" ref="X3:X55" si="0">IFERROR(INDEX($B3:$V3,MATCH(TRUE,INDEX(($B3:$V3&lt;&gt;0),0),0)),"")</f>
        <v/>
      </c>
      <c r="Y3" s="14"/>
      <c r="Z3" s="14"/>
      <c r="AA3" s="14"/>
      <c r="AB3" s="11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3"/>
      <c r="AO3" s="15"/>
      <c r="AP3" s="15"/>
      <c r="AQ3" s="15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</row>
    <row r="4" spans="1:54" s="5" customFormat="1" x14ac:dyDescent="0.25">
      <c r="A4" s="7"/>
      <c r="B4" s="32" t="s">
        <v>87</v>
      </c>
      <c r="C4" s="77"/>
      <c r="D4" s="77"/>
      <c r="E4" s="77"/>
      <c r="F4" s="77"/>
      <c r="G4" s="77"/>
      <c r="H4" s="77"/>
      <c r="I4" s="78"/>
      <c r="J4" s="77"/>
      <c r="K4" s="78"/>
      <c r="L4" s="77"/>
      <c r="M4" s="78"/>
      <c r="N4" s="77"/>
      <c r="O4" s="78"/>
      <c r="P4" s="77"/>
      <c r="Q4" s="78"/>
      <c r="R4" s="77"/>
      <c r="S4" s="78"/>
      <c r="T4" s="77"/>
      <c r="U4" s="78"/>
      <c r="V4" s="77"/>
      <c r="W4" s="7"/>
      <c r="X4" s="28" t="str">
        <f t="shared" si="0"/>
        <v>Simulation</v>
      </c>
      <c r="Y4" s="6"/>
      <c r="Z4" s="6"/>
      <c r="AA4" s="6"/>
      <c r="AB4" s="11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7"/>
      <c r="AO4" s="15"/>
      <c r="AP4" s="15"/>
      <c r="AQ4" s="15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</row>
    <row r="5" spans="1:54" s="5" customFormat="1" x14ac:dyDescent="0.25">
      <c r="A5" s="7"/>
      <c r="B5" s="77"/>
      <c r="C5" s="77"/>
      <c r="D5" s="77"/>
      <c r="E5" s="77"/>
      <c r="F5" s="77"/>
      <c r="G5" s="77"/>
      <c r="H5" s="77"/>
      <c r="I5" s="78"/>
      <c r="J5" s="77"/>
      <c r="K5" s="78"/>
      <c r="L5" s="77"/>
      <c r="M5" s="78"/>
      <c r="N5" s="77"/>
      <c r="O5" s="78"/>
      <c r="P5" s="77"/>
      <c r="Q5" s="78"/>
      <c r="R5" s="77"/>
      <c r="S5" s="78"/>
      <c r="T5" s="77"/>
      <c r="U5" s="78"/>
      <c r="V5" s="77"/>
      <c r="W5" s="7"/>
      <c r="X5" s="27" t="str">
        <f t="shared" si="0"/>
        <v/>
      </c>
      <c r="Y5" s="6" t="s">
        <v>88</v>
      </c>
      <c r="Z5" s="6"/>
      <c r="AA5" s="6" t="s">
        <v>10</v>
      </c>
      <c r="AB5" s="11"/>
      <c r="AC5" s="6">
        <v>2000</v>
      </c>
      <c r="AD5" s="6">
        <v>2005</v>
      </c>
      <c r="AE5" s="6">
        <v>2010</v>
      </c>
      <c r="AF5" s="6">
        <v>2015</v>
      </c>
      <c r="AG5" s="6">
        <v>2020</v>
      </c>
      <c r="AH5" s="6">
        <v>2025</v>
      </c>
      <c r="AI5" s="6">
        <v>2030</v>
      </c>
      <c r="AJ5" s="6"/>
      <c r="AK5" s="6"/>
      <c r="AL5" s="6"/>
      <c r="AM5" s="6"/>
      <c r="AN5" s="7"/>
      <c r="AO5" s="15"/>
      <c r="AP5" s="15"/>
      <c r="AQ5" s="15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</row>
    <row r="6" spans="1:54" s="5" customFormat="1" x14ac:dyDescent="0.25">
      <c r="A6" s="7"/>
      <c r="B6" s="77"/>
      <c r="C6" s="77"/>
      <c r="D6" s="77"/>
      <c r="E6" s="77"/>
      <c r="F6" s="77"/>
      <c r="G6" s="77"/>
      <c r="H6" s="77"/>
      <c r="I6" s="78"/>
      <c r="J6" s="77"/>
      <c r="K6" s="78"/>
      <c r="L6" s="77"/>
      <c r="M6" s="78"/>
      <c r="N6" s="77"/>
      <c r="O6" s="78"/>
      <c r="P6" s="77"/>
      <c r="Q6" s="78"/>
      <c r="R6" s="77"/>
      <c r="S6" s="78"/>
      <c r="T6" s="77"/>
      <c r="U6" s="78"/>
      <c r="V6" s="77"/>
      <c r="W6" s="7"/>
      <c r="X6" s="27" t="str">
        <f t="shared" si="0"/>
        <v/>
      </c>
      <c r="Y6" s="6"/>
      <c r="Z6" s="6"/>
      <c r="AA6" s="6"/>
      <c r="AB6" s="11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7"/>
      <c r="AO6" s="15"/>
      <c r="AP6" s="15"/>
      <c r="AQ6" s="15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</row>
    <row r="7" spans="1:54" s="5" customFormat="1" x14ac:dyDescent="0.25">
      <c r="A7" s="7"/>
      <c r="B7" s="32" t="s">
        <v>64</v>
      </c>
      <c r="C7" s="79"/>
      <c r="D7" s="77"/>
      <c r="E7" s="77"/>
      <c r="F7" s="77"/>
      <c r="G7" s="77"/>
      <c r="H7" s="77"/>
      <c r="I7" s="78"/>
      <c r="J7" s="77"/>
      <c r="K7" s="78"/>
      <c r="L7" s="77"/>
      <c r="M7" s="78"/>
      <c r="N7" s="77"/>
      <c r="O7" s="78"/>
      <c r="P7" s="77"/>
      <c r="Q7" s="78"/>
      <c r="R7" s="77"/>
      <c r="S7" s="78"/>
      <c r="T7" s="77"/>
      <c r="U7" s="78"/>
      <c r="V7" s="77"/>
      <c r="W7" s="7"/>
      <c r="X7" s="28" t="str">
        <f t="shared" si="0"/>
        <v>Canada</v>
      </c>
      <c r="Y7" s="6"/>
      <c r="Z7" s="6"/>
      <c r="AA7" s="6"/>
      <c r="AB7" s="11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7"/>
      <c r="AO7" s="15"/>
      <c r="AP7" s="15"/>
      <c r="AQ7" s="15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</row>
    <row r="8" spans="1:54" s="5" customFormat="1" x14ac:dyDescent="0.25">
      <c r="A8" s="7"/>
      <c r="B8" s="80"/>
      <c r="C8" s="79"/>
      <c r="D8" s="77"/>
      <c r="E8" s="77"/>
      <c r="F8" s="77"/>
      <c r="G8" s="77"/>
      <c r="H8" s="77"/>
      <c r="I8" s="78"/>
      <c r="J8" s="77"/>
      <c r="K8" s="78"/>
      <c r="L8" s="77"/>
      <c r="M8" s="78"/>
      <c r="N8" s="77"/>
      <c r="O8" s="78"/>
      <c r="P8" s="77"/>
      <c r="Q8" s="78"/>
      <c r="R8" s="77"/>
      <c r="S8" s="78"/>
      <c r="T8" s="77"/>
      <c r="U8" s="78"/>
      <c r="V8" s="77"/>
      <c r="W8" s="7"/>
      <c r="X8" s="27" t="str">
        <f>IFERROR(INDEX($B8:$V8,MATCH(TRUE,INDEX(($B8:$V8&lt;&gt;0),0),0)),"")</f>
        <v/>
      </c>
      <c r="Y8" s="6" t="s">
        <v>114</v>
      </c>
      <c r="Z8" s="6" t="s">
        <v>64</v>
      </c>
      <c r="AA8" s="6"/>
      <c r="AB8" s="11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7"/>
      <c r="AO8" s="15"/>
      <c r="AP8" s="15"/>
      <c r="AQ8" s="15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</row>
    <row r="9" spans="1:54" s="5" customFormat="1" x14ac:dyDescent="0.25">
      <c r="A9" s="7"/>
      <c r="B9" s="77"/>
      <c r="C9" s="79"/>
      <c r="D9" s="78"/>
      <c r="E9" s="77"/>
      <c r="F9" s="77"/>
      <c r="G9" s="77"/>
      <c r="H9" s="77"/>
      <c r="I9" s="80"/>
      <c r="J9" s="77"/>
      <c r="K9" s="80"/>
      <c r="L9" s="77"/>
      <c r="M9" s="80"/>
      <c r="N9" s="77"/>
      <c r="O9" s="80"/>
      <c r="P9" s="77"/>
      <c r="Q9" s="80"/>
      <c r="R9" s="77"/>
      <c r="S9" s="80"/>
      <c r="T9" s="77"/>
      <c r="U9" s="80"/>
      <c r="V9" s="77"/>
      <c r="W9" s="7"/>
      <c r="X9" s="27" t="str">
        <f>IFERROR(INDEX($B9:$V9,MATCH(TRUE,INDEX(($B9:$V9&lt;&gt;0),0),0)),"")</f>
        <v/>
      </c>
      <c r="Y9" s="17" t="s">
        <v>11</v>
      </c>
      <c r="Z9" s="17"/>
      <c r="AA9" s="17" t="s">
        <v>17</v>
      </c>
      <c r="AB9" s="18" t="s">
        <v>14</v>
      </c>
      <c r="AC9" s="35">
        <v>11.52</v>
      </c>
      <c r="AD9" s="35">
        <v>11.52</v>
      </c>
      <c r="AE9" s="35">
        <v>11.52</v>
      </c>
      <c r="AF9" s="35">
        <v>11.52</v>
      </c>
      <c r="AG9" s="35">
        <v>11.52</v>
      </c>
      <c r="AH9" s="35">
        <v>11.52</v>
      </c>
      <c r="AI9" s="35">
        <v>11.52</v>
      </c>
      <c r="AJ9" s="35">
        <v>11.52</v>
      </c>
      <c r="AK9" s="35">
        <v>11.52</v>
      </c>
      <c r="AL9" s="35">
        <v>11.52</v>
      </c>
      <c r="AM9" s="35">
        <v>11.52</v>
      </c>
      <c r="AN9" s="7"/>
      <c r="AO9" s="38"/>
      <c r="AP9" s="38"/>
      <c r="AQ9" s="38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</row>
    <row r="10" spans="1:54" s="5" customFormat="1" x14ac:dyDescent="0.25">
      <c r="A10" s="7"/>
      <c r="B10" s="78"/>
      <c r="C10" s="79"/>
      <c r="D10" s="78"/>
      <c r="E10" s="77"/>
      <c r="F10" s="77"/>
      <c r="G10" s="77"/>
      <c r="H10" s="77"/>
      <c r="I10" s="78"/>
      <c r="J10" s="77"/>
      <c r="K10" s="78"/>
      <c r="L10" s="77"/>
      <c r="M10" s="78"/>
      <c r="N10" s="77"/>
      <c r="O10" s="78"/>
      <c r="P10" s="77"/>
      <c r="Q10" s="78"/>
      <c r="R10" s="77"/>
      <c r="S10" s="78"/>
      <c r="T10" s="77"/>
      <c r="U10" s="78"/>
      <c r="V10" s="77"/>
      <c r="W10" s="7"/>
      <c r="X10" s="27" t="str">
        <f t="shared" si="0"/>
        <v/>
      </c>
      <c r="Y10" s="6" t="s">
        <v>63</v>
      </c>
      <c r="Z10" s="6"/>
      <c r="AA10" s="15"/>
      <c r="AB10" s="16" t="s">
        <v>26</v>
      </c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7"/>
      <c r="AO10" s="6"/>
      <c r="AP10" s="6"/>
      <c r="AQ10" s="6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</row>
    <row r="11" spans="1:54" s="5" customFormat="1" x14ac:dyDescent="0.25">
      <c r="A11" s="7"/>
      <c r="B11" s="78"/>
      <c r="C11" s="79"/>
      <c r="D11" s="78"/>
      <c r="E11" s="77"/>
      <c r="F11" s="77"/>
      <c r="G11" s="77"/>
      <c r="H11" s="77"/>
      <c r="I11" s="78"/>
      <c r="J11" s="77"/>
      <c r="K11" s="78"/>
      <c r="L11" s="77"/>
      <c r="M11" s="78"/>
      <c r="N11" s="77"/>
      <c r="O11" s="78"/>
      <c r="P11" s="77"/>
      <c r="Q11" s="78"/>
      <c r="R11" s="77"/>
      <c r="S11" s="78"/>
      <c r="T11" s="77"/>
      <c r="U11" s="78"/>
      <c r="V11" s="77"/>
      <c r="W11" s="7"/>
      <c r="X11" s="27" t="str">
        <f t="shared" si="0"/>
        <v/>
      </c>
      <c r="Y11" s="6" t="s">
        <v>115</v>
      </c>
      <c r="Z11" s="6" t="s">
        <v>93</v>
      </c>
      <c r="AA11" s="15"/>
      <c r="AB11" s="16"/>
      <c r="AC11" s="6">
        <v>1</v>
      </c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7"/>
      <c r="AO11" s="6"/>
      <c r="AP11" s="6"/>
      <c r="AQ11" s="6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</row>
    <row r="12" spans="1:54" s="5" customFormat="1" x14ac:dyDescent="0.25">
      <c r="A12" s="7"/>
      <c r="B12" s="80"/>
      <c r="C12" s="79"/>
      <c r="D12" s="78"/>
      <c r="E12" s="77"/>
      <c r="F12" s="77"/>
      <c r="G12" s="77"/>
      <c r="H12" s="77"/>
      <c r="I12" s="78"/>
      <c r="J12" s="77"/>
      <c r="K12" s="78"/>
      <c r="L12" s="77"/>
      <c r="M12" s="78"/>
      <c r="N12" s="77"/>
      <c r="O12" s="78"/>
      <c r="P12" s="77"/>
      <c r="Q12" s="78"/>
      <c r="R12" s="77"/>
      <c r="S12" s="78"/>
      <c r="T12" s="77"/>
      <c r="U12" s="78"/>
      <c r="V12" s="77"/>
      <c r="W12" s="7"/>
      <c r="X12" s="27" t="str">
        <f t="shared" si="0"/>
        <v/>
      </c>
      <c r="Y12" s="6"/>
      <c r="Z12" s="6"/>
      <c r="AA12" s="6"/>
      <c r="AB12" s="11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7"/>
      <c r="AO12" s="15"/>
      <c r="AP12" s="15"/>
      <c r="AQ12" s="15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</row>
    <row r="13" spans="1:54" s="5" customFormat="1" x14ac:dyDescent="0.25">
      <c r="A13" s="7"/>
      <c r="B13" s="77"/>
      <c r="C13" s="81"/>
      <c r="D13" s="32" t="s">
        <v>5</v>
      </c>
      <c r="E13" s="79"/>
      <c r="F13" s="78"/>
      <c r="G13" s="78"/>
      <c r="H13" s="77"/>
      <c r="I13" s="78"/>
      <c r="J13" s="77"/>
      <c r="K13" s="78"/>
      <c r="L13" s="77"/>
      <c r="M13" s="78"/>
      <c r="N13" s="77"/>
      <c r="O13" s="78"/>
      <c r="P13" s="77"/>
      <c r="Q13" s="78"/>
      <c r="R13" s="77"/>
      <c r="S13" s="78"/>
      <c r="T13" s="77"/>
      <c r="U13" s="78"/>
      <c r="V13" s="77"/>
      <c r="W13" s="7"/>
      <c r="X13" s="28" t="str">
        <f t="shared" si="0"/>
        <v>Alberta</v>
      </c>
      <c r="Y13" s="6"/>
      <c r="Z13" s="6"/>
      <c r="AA13" s="6"/>
      <c r="AB13" s="11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7"/>
      <c r="AO13" s="15"/>
      <c r="AP13" s="15"/>
      <c r="AQ13" s="15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</row>
    <row r="14" spans="1:54" s="5" customFormat="1" x14ac:dyDescent="0.25">
      <c r="A14" s="7"/>
      <c r="B14" s="77"/>
      <c r="C14" s="78"/>
      <c r="D14" s="78"/>
      <c r="E14" s="79"/>
      <c r="F14" s="78"/>
      <c r="G14" s="78"/>
      <c r="H14" s="77"/>
      <c r="I14" s="78"/>
      <c r="J14" s="77"/>
      <c r="K14" s="78"/>
      <c r="L14" s="77"/>
      <c r="M14" s="78"/>
      <c r="N14" s="77"/>
      <c r="O14" s="78"/>
      <c r="P14" s="77"/>
      <c r="Q14" s="78"/>
      <c r="R14" s="77"/>
      <c r="S14" s="78"/>
      <c r="T14" s="77"/>
      <c r="U14" s="78"/>
      <c r="V14" s="77"/>
      <c r="W14" s="7"/>
      <c r="X14" s="27" t="str">
        <f t="shared" si="0"/>
        <v/>
      </c>
      <c r="Y14" s="17" t="s">
        <v>114</v>
      </c>
      <c r="Z14" s="17" t="s">
        <v>93</v>
      </c>
      <c r="AA14" s="17" t="s">
        <v>59</v>
      </c>
      <c r="AB14" s="18" t="s">
        <v>54</v>
      </c>
      <c r="AC14" s="19">
        <f>INDEX(Macro!F$3:F$16,MATCH("Alberta",Macro!$C$3:$C$16,0))</f>
        <v>3004198</v>
      </c>
      <c r="AD14" s="19">
        <f>INDEX(Macro!G$3:G$16,MATCH("Alberta",Macro!$C$3:$C$16,0))</f>
        <v>3321768</v>
      </c>
      <c r="AE14" s="19">
        <f>INDEX(Macro!H$3:H$16,MATCH("Alberta",Macro!$C$3:$C$16,0))</f>
        <v>3732082</v>
      </c>
      <c r="AF14" s="19">
        <f>INDEX(Macro!I$3:I$16,MATCH("Alberta",Macro!$C$3:$C$16,0))</f>
        <v>4144491</v>
      </c>
      <c r="AG14" s="19">
        <f>INDEX(Macro!J$3:J$16,MATCH("Alberta",Macro!$C$3:$C$16,0))</f>
        <v>4472800</v>
      </c>
      <c r="AH14" s="19">
        <f>INDEX(Macro!K$3:K$16,MATCH("Alberta",Macro!$C$3:$C$16,0))</f>
        <v>4908500</v>
      </c>
      <c r="AI14" s="19">
        <f>INDEX(Macro!L$3:L$16,MATCH("Alberta",Macro!$C$3:$C$16,0))</f>
        <v>5360500</v>
      </c>
      <c r="AJ14" s="19">
        <f>INDEX(Macro!M$3:M$16,MATCH("Alberta",Macro!$C$3:$C$16,0))</f>
        <v>5830000</v>
      </c>
      <c r="AK14" s="19">
        <f>INDEX(Macro!N$3:N$16,MATCH("Alberta",Macro!$C$3:$C$16,0))</f>
        <v>6317800</v>
      </c>
      <c r="AL14" s="19">
        <f>INDEX(Macro!O$3:O$16,MATCH("Alberta",Macro!$C$3:$C$16,0))</f>
        <v>6546789.4987122808</v>
      </c>
      <c r="AM14" s="19">
        <f>INDEX(Macro!P$3:P$16,MATCH("Alberta",Macro!$C$3:$C$16,0))</f>
        <v>6769878.6374783553</v>
      </c>
      <c r="AN14" s="7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5" customFormat="1" x14ac:dyDescent="0.25">
      <c r="A15" s="7"/>
      <c r="B15" s="77"/>
      <c r="C15" s="78"/>
      <c r="D15" s="78"/>
      <c r="E15" s="79"/>
      <c r="F15" s="78"/>
      <c r="G15" s="78"/>
      <c r="H15" s="77"/>
      <c r="I15" s="78"/>
      <c r="J15" s="77"/>
      <c r="K15" s="78"/>
      <c r="L15" s="77"/>
      <c r="M15" s="78"/>
      <c r="N15" s="77"/>
      <c r="O15" s="78"/>
      <c r="P15" s="77"/>
      <c r="Q15" s="78"/>
      <c r="R15" s="77"/>
      <c r="S15" s="78"/>
      <c r="T15" s="77"/>
      <c r="U15" s="78"/>
      <c r="V15" s="77"/>
      <c r="W15" s="7"/>
      <c r="X15" s="27" t="str">
        <f t="shared" si="0"/>
        <v/>
      </c>
      <c r="Y15" s="17" t="s">
        <v>114</v>
      </c>
      <c r="Z15" s="17" t="s">
        <v>93</v>
      </c>
      <c r="AA15" s="17" t="s">
        <v>58</v>
      </c>
      <c r="AB15" s="18" t="s">
        <v>55</v>
      </c>
      <c r="AC15" s="43">
        <f>INDEX(Macro!F$52:F$65,MATCH("Alberta",Macro!$C$52:$C$65,0))/1000</f>
        <v>217.72399999999999</v>
      </c>
      <c r="AD15" s="43">
        <f>INDEX(Macro!G$52:G$65,MATCH("Alberta",Macro!$C$52:$C$65,0))/1000</f>
        <v>263.911</v>
      </c>
      <c r="AE15" s="43">
        <f>INDEX(Macro!H$52:H$65,MATCH("Alberta",Macro!$C$52:$C$65,0))/1000</f>
        <v>283.54399999999998</v>
      </c>
      <c r="AF15" s="43">
        <f>INDEX(Macro!I$52:I$65,MATCH("Alberta",Macro!$C$52:$C$65,0))/1000</f>
        <v>337.59</v>
      </c>
      <c r="AG15" s="43">
        <f>INDEX(Macro!J$52:J$65,MATCH("Alberta",Macro!$C$52:$C$65,0))/1000</f>
        <v>374.17926303346775</v>
      </c>
      <c r="AH15" s="43">
        <f>INDEX(Macro!K$52:K$65,MATCH("Alberta",Macro!$C$52:$C$65,0))/1000</f>
        <v>404.74213151416194</v>
      </c>
      <c r="AI15" s="43">
        <f>INDEX(Macro!L$52:L$65,MATCH("Alberta",Macro!$C$52:$C$65,0))/1000</f>
        <v>441.25580005641859</v>
      </c>
      <c r="AJ15" s="43">
        <f>INDEX(Macro!M$52:M$65,MATCH("Alberta",Macro!$C$52:$C$65,0))/1000</f>
        <v>484.09671883954439</v>
      </c>
      <c r="AK15" s="43">
        <f>INDEX(Macro!N$52:N$65,MATCH("Alberta",Macro!$C$52:$C$65,0))/1000</f>
        <v>532.61614982592562</v>
      </c>
      <c r="AL15" s="43">
        <f>INDEX(Macro!O$52:O$65,MATCH("Alberta",Macro!$C$52:$C$65,0))/1000</f>
        <v>586.75057398825743</v>
      </c>
      <c r="AM15" s="43">
        <f>INDEX(Macro!P$52:P$65,MATCH("Alberta",Macro!$C$52:$C$65,0))/1000</f>
        <v>646.12087601322003</v>
      </c>
      <c r="AN15" s="7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5" customFormat="1" x14ac:dyDescent="0.25">
      <c r="A16" s="7"/>
      <c r="B16" s="77"/>
      <c r="C16" s="78"/>
      <c r="D16" s="78"/>
      <c r="E16" s="79"/>
      <c r="F16" s="78"/>
      <c r="G16" s="78"/>
      <c r="H16" s="77"/>
      <c r="I16" s="78"/>
      <c r="J16" s="77"/>
      <c r="K16" s="78"/>
      <c r="L16" s="77"/>
      <c r="M16" s="78"/>
      <c r="N16" s="77"/>
      <c r="O16" s="78"/>
      <c r="P16" s="77"/>
      <c r="Q16" s="78"/>
      <c r="R16" s="77"/>
      <c r="S16" s="78"/>
      <c r="T16" s="77"/>
      <c r="U16" s="78"/>
      <c r="V16" s="77"/>
      <c r="W16" s="7"/>
      <c r="X16" s="27" t="str">
        <f t="shared" si="0"/>
        <v/>
      </c>
      <c r="Y16" s="17" t="s">
        <v>63</v>
      </c>
      <c r="Z16" s="17"/>
      <c r="AA16" s="17"/>
      <c r="AB16" s="18" t="s">
        <v>26</v>
      </c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7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x14ac:dyDescent="0.25">
      <c r="A17" s="7"/>
      <c r="B17" s="77"/>
      <c r="C17" s="78"/>
      <c r="D17" s="78"/>
      <c r="E17" s="79"/>
      <c r="F17" s="78"/>
      <c r="G17" s="78"/>
      <c r="H17" s="77"/>
      <c r="I17" s="78"/>
      <c r="J17" s="77"/>
      <c r="K17" s="78"/>
      <c r="L17" s="77"/>
      <c r="M17" s="78"/>
      <c r="N17" s="77"/>
      <c r="O17" s="78"/>
      <c r="P17" s="77"/>
      <c r="Q17" s="78"/>
      <c r="R17" s="77"/>
      <c r="S17" s="78"/>
      <c r="T17" s="77"/>
      <c r="U17" s="78"/>
      <c r="V17" s="77"/>
      <c r="W17" s="7"/>
      <c r="X17" s="27" t="str">
        <f t="shared" si="0"/>
        <v/>
      </c>
      <c r="Y17" s="17" t="s">
        <v>115</v>
      </c>
      <c r="Z17" s="17" t="s">
        <v>107</v>
      </c>
      <c r="AA17" s="17" t="s">
        <v>113</v>
      </c>
      <c r="AB17" s="18" t="s">
        <v>0</v>
      </c>
      <c r="AC17" s="60">
        <f>1/INDEX(Residential!F$3:F$16,MATCH("Alberta",Residential!$C$3:$C$16,0))</f>
        <v>0.38461538461538458</v>
      </c>
      <c r="AD17" s="60">
        <f>1/INDEX(Residential!G$3:G$16,MATCH("Alberta",Residential!$C$3:$C$16,0))</f>
        <v>0.38461538461538458</v>
      </c>
      <c r="AE17" s="60">
        <f>1/INDEX(Residential!H$3:H$16,MATCH("Alberta",Residential!$C$3:$C$16,0))</f>
        <v>0.38461538461538458</v>
      </c>
      <c r="AF17" s="60">
        <f>1/INDEX(Residential!I$3:I$16,MATCH("Alberta",Residential!$C$3:$C$16,0))</f>
        <v>0.38461538461538458</v>
      </c>
      <c r="AG17" s="60">
        <f>1/INDEX(Residential!J$3:J$16,MATCH("Alberta",Residential!$C$3:$C$16,0))</f>
        <v>0.38461538461538458</v>
      </c>
      <c r="AH17" s="60">
        <f>1/INDEX(Residential!K$3:K$16,MATCH("Alberta",Residential!$C$3:$C$16,0))</f>
        <v>0.38461538461538458</v>
      </c>
      <c r="AI17" s="60">
        <f>1/INDEX(Residential!L$3:L$16,MATCH("Alberta",Residential!$C$3:$C$16,0))</f>
        <v>0.38461538461538458</v>
      </c>
      <c r="AJ17" s="60">
        <f>1/INDEX(Residential!M$3:M$16,MATCH("Alberta",Residential!$C$3:$C$16,0))</f>
        <v>0.38461538461538458</v>
      </c>
      <c r="AK17" s="60">
        <f>1/INDEX(Residential!N$3:N$16,MATCH("Alberta",Residential!$C$3:$C$16,0))</f>
        <v>0.38461538461538458</v>
      </c>
      <c r="AL17" s="60">
        <f>1/INDEX(Residential!O$3:O$16,MATCH("Alberta",Residential!$C$3:$C$16,0))</f>
        <v>0.38461538461538458</v>
      </c>
      <c r="AM17" s="60">
        <f>1/INDEX(Residential!P$3:P$16,MATCH("Alberta",Residential!$C$3:$C$16,0))</f>
        <v>0.38461538461538458</v>
      </c>
      <c r="AN17" s="7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5" customFormat="1" x14ac:dyDescent="0.25">
      <c r="A18" s="7"/>
      <c r="B18" s="77"/>
      <c r="C18" s="78"/>
      <c r="D18" s="80"/>
      <c r="E18" s="79"/>
      <c r="F18" s="78"/>
      <c r="G18" s="78"/>
      <c r="H18" s="77"/>
      <c r="I18" s="78"/>
      <c r="J18" s="77"/>
      <c r="K18" s="78"/>
      <c r="L18" s="77"/>
      <c r="M18" s="78"/>
      <c r="N18" s="77"/>
      <c r="O18" s="78"/>
      <c r="P18" s="77"/>
      <c r="Q18" s="78"/>
      <c r="R18" s="77"/>
      <c r="S18" s="78"/>
      <c r="T18" s="77"/>
      <c r="U18" s="78"/>
      <c r="V18" s="77"/>
      <c r="W18" s="7"/>
      <c r="X18" s="4" t="str">
        <f t="shared" si="0"/>
        <v/>
      </c>
      <c r="Y18" s="17"/>
      <c r="Z18" s="17"/>
      <c r="AA18" s="17"/>
      <c r="AB18" s="18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7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5" customFormat="1" x14ac:dyDescent="0.25">
      <c r="A19" s="7"/>
      <c r="B19" s="77"/>
      <c r="C19" s="78"/>
      <c r="D19" s="78"/>
      <c r="E19" s="82"/>
      <c r="F19" s="32" t="s">
        <v>0</v>
      </c>
      <c r="G19" s="79"/>
      <c r="H19" s="78"/>
      <c r="I19" s="80"/>
      <c r="J19" s="77"/>
      <c r="K19" s="80"/>
      <c r="L19" s="77"/>
      <c r="M19" s="80"/>
      <c r="N19" s="77"/>
      <c r="O19" s="80"/>
      <c r="P19" s="77"/>
      <c r="Q19" s="80"/>
      <c r="R19" s="77"/>
      <c r="S19" s="80"/>
      <c r="T19" s="77"/>
      <c r="U19" s="80"/>
      <c r="V19" s="77"/>
      <c r="W19" s="7"/>
      <c r="X19" s="34" t="str">
        <f t="shared" si="0"/>
        <v>Residential</v>
      </c>
      <c r="Y19" s="6"/>
      <c r="Z19" s="6"/>
      <c r="AA19" s="6"/>
      <c r="AB19" s="11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7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x14ac:dyDescent="0.25">
      <c r="A20" s="7"/>
      <c r="B20" s="77"/>
      <c r="C20" s="78"/>
      <c r="D20" s="78"/>
      <c r="E20" s="83"/>
      <c r="F20" s="78"/>
      <c r="G20" s="79"/>
      <c r="H20" s="78"/>
      <c r="I20" s="80"/>
      <c r="J20" s="77"/>
      <c r="K20" s="80"/>
      <c r="L20" s="77"/>
      <c r="M20" s="80"/>
      <c r="N20" s="77"/>
      <c r="O20" s="80"/>
      <c r="P20" s="77"/>
      <c r="Q20" s="80"/>
      <c r="R20" s="77"/>
      <c r="S20" s="80"/>
      <c r="T20" s="77"/>
      <c r="U20" s="80"/>
      <c r="V20" s="77"/>
      <c r="W20" s="7"/>
      <c r="X20" s="27" t="str">
        <f t="shared" si="0"/>
        <v/>
      </c>
      <c r="Y20" s="17" t="s">
        <v>114</v>
      </c>
      <c r="Z20" s="17" t="s">
        <v>92</v>
      </c>
      <c r="AA20" s="17"/>
      <c r="AB20" s="18" t="s">
        <v>60</v>
      </c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7"/>
      <c r="AO20" s="38"/>
      <c r="AP20" s="38"/>
      <c r="AQ20" s="38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</row>
    <row r="21" spans="1:54" s="5" customFormat="1" x14ac:dyDescent="0.25">
      <c r="A21" s="7"/>
      <c r="B21" s="77"/>
      <c r="C21" s="78"/>
      <c r="D21" s="78"/>
      <c r="E21" s="83"/>
      <c r="F21" s="78"/>
      <c r="G21" s="79"/>
      <c r="H21" s="78"/>
      <c r="I21" s="80"/>
      <c r="J21" s="77"/>
      <c r="K21" s="80"/>
      <c r="L21" s="77"/>
      <c r="M21" s="80"/>
      <c r="N21" s="77"/>
      <c r="O21" s="80"/>
      <c r="P21" s="77"/>
      <c r="Q21" s="80"/>
      <c r="R21" s="77"/>
      <c r="S21" s="80"/>
      <c r="T21" s="77"/>
      <c r="U21" s="80"/>
      <c r="V21" s="77"/>
      <c r="W21" s="7"/>
      <c r="X21" s="27" t="str">
        <f t="shared" si="0"/>
        <v/>
      </c>
      <c r="Y21" s="17" t="s">
        <v>63</v>
      </c>
      <c r="Z21" s="17"/>
      <c r="AA21" s="17"/>
      <c r="AB21" s="18" t="s">
        <v>26</v>
      </c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7"/>
      <c r="AO21" s="38"/>
      <c r="AP21" s="38"/>
      <c r="AQ21" s="38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</row>
    <row r="22" spans="1:54" s="5" customFormat="1" x14ac:dyDescent="0.25">
      <c r="A22" s="7"/>
      <c r="B22" s="77"/>
      <c r="C22" s="78"/>
      <c r="D22" s="78"/>
      <c r="E22" s="83"/>
      <c r="F22" s="78"/>
      <c r="G22" s="79"/>
      <c r="H22" s="78"/>
      <c r="I22" s="80"/>
      <c r="J22" s="77"/>
      <c r="K22" s="80"/>
      <c r="L22" s="77"/>
      <c r="M22" s="80"/>
      <c r="N22" s="77"/>
      <c r="O22" s="80"/>
      <c r="P22" s="77"/>
      <c r="Q22" s="80"/>
      <c r="R22" s="77"/>
      <c r="S22" s="80"/>
      <c r="T22" s="77"/>
      <c r="U22" s="80"/>
      <c r="V22" s="77"/>
      <c r="W22" s="7"/>
      <c r="X22" s="27" t="str">
        <f t="shared" si="0"/>
        <v/>
      </c>
      <c r="Y22" s="17" t="s">
        <v>115</v>
      </c>
      <c r="Z22" s="17" t="s">
        <v>108</v>
      </c>
      <c r="AA22" s="17" t="s">
        <v>56</v>
      </c>
      <c r="AB22" s="18" t="s">
        <v>153</v>
      </c>
      <c r="AC22" s="35">
        <f>SUMIF(Residential!$C$36:$C$91,"Alberta",Residential!F$36:F$91)/INDEX(Residential!F$19:F$32,MATCH("Alberta",Residential!$C$19:$C$32,))*1000</f>
        <v>0.12226464434101882</v>
      </c>
      <c r="AD22" s="35">
        <f>SUMIF(Residential!$C$36:$C$91,"Alberta",Residential!G$36:G$91)/INDEX(Residential!G$19:G$32,MATCH("Alberta",Residential!$C$19:$C$32,))*1000</f>
        <v>0.12892971453755947</v>
      </c>
      <c r="AE22" s="35">
        <f>SUMIF(Residential!$C$36:$C$91,"Alberta",Residential!H$36:H$91)/INDEX(Residential!H$19:H$32,MATCH("Alberta",Residential!$C$19:$C$32,))*1000</f>
        <v>0.13282698504480878</v>
      </c>
      <c r="AF22" s="35">
        <f>SUMIF(Residential!$C$36:$C$91,"Alberta",Residential!I$36:I$91)/INDEX(Residential!I$19:I$32,MATCH("Alberta",Residential!$C$19:$C$32,))*1000</f>
        <v>0.13484835652918536</v>
      </c>
      <c r="AG22" s="35">
        <f>SUMIF(Residential!$C$36:$C$91,"Alberta",Residential!J$36:J$91)/INDEX(Residential!J$19:J$32,MATCH("Alberta",Residential!$C$19:$C$32,))*1000</f>
        <v>0.12724293507422646</v>
      </c>
      <c r="AH22" s="35">
        <f>SUMIF(Residential!$C$36:$C$91,"Alberta",Residential!K$36:K$91)/INDEX(Residential!K$19:K$32,MATCH("Alberta",Residential!$C$19:$C$32,))*1000</f>
        <v>0.11594829377610269</v>
      </c>
      <c r="AI22" s="35">
        <f>SUMIF(Residential!$C$36:$C$91,"Alberta",Residential!L$36:L$91)/INDEX(Residential!L$19:L$32,MATCH("Alberta",Residential!$C$19:$C$32,))*1000</f>
        <v>0.10617147654136741</v>
      </c>
      <c r="AJ22" s="35">
        <f>SUMIF(Residential!$C$36:$C$91,"Alberta",Residential!M$36:M$91)/INDEX(Residential!M$19:M$32,MATCH("Alberta",Residential!$C$19:$C$32,))*1000</f>
        <v>9.762130360205834E-2</v>
      </c>
      <c r="AK22" s="35">
        <f>SUMIF(Residential!$C$36:$C$91,"Alberta",Residential!N$36:N$91)/INDEX(Residential!N$19:N$32,MATCH("Alberta",Residential!$C$19:$C$32,))*1000</f>
        <v>9.0083921618284851E-2</v>
      </c>
      <c r="AL22" s="35">
        <f>SUMIF(Residential!$C$36:$C$91,"Alberta",Residential!O$36:O$91)/INDEX(Residential!O$19:O$32,MATCH("Alberta",Residential!$C$19:$C$32,))*1000</f>
        <v>8.6933022684163808E-2</v>
      </c>
      <c r="AM22" s="35">
        <f>SUMIF(Residential!$C$36:$C$91,"Alberta",Residential!P$36:P$91)/INDEX(Residential!P$19:P$32,MATCH("Alberta",Residential!$C$19:$C$32,))*1000</f>
        <v>8.406830173428198E-2</v>
      </c>
      <c r="AN22" s="7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</row>
    <row r="23" spans="1:54" s="5" customFormat="1" x14ac:dyDescent="0.25">
      <c r="A23" s="7"/>
      <c r="B23" s="77"/>
      <c r="C23" s="78"/>
      <c r="D23" s="78"/>
      <c r="E23" s="83"/>
      <c r="F23" s="78"/>
      <c r="G23" s="79"/>
      <c r="H23" s="78"/>
      <c r="I23" s="80"/>
      <c r="J23" s="77"/>
      <c r="K23" s="80"/>
      <c r="L23" s="77"/>
      <c r="M23" s="80"/>
      <c r="N23" s="77"/>
      <c r="O23" s="80"/>
      <c r="P23" s="77"/>
      <c r="Q23" s="80"/>
      <c r="R23" s="77"/>
      <c r="S23" s="80"/>
      <c r="T23" s="77"/>
      <c r="U23" s="80"/>
      <c r="V23" s="77"/>
      <c r="W23" s="7"/>
      <c r="X23" s="27" t="str">
        <f t="shared" si="0"/>
        <v/>
      </c>
      <c r="Y23" s="17" t="s">
        <v>11</v>
      </c>
      <c r="Z23" s="17"/>
      <c r="AA23" s="17" t="s">
        <v>17</v>
      </c>
      <c r="AB23" s="18" t="s">
        <v>12</v>
      </c>
      <c r="AC23" s="21">
        <v>19</v>
      </c>
      <c r="AD23" s="21">
        <v>25</v>
      </c>
      <c r="AE23" s="21">
        <v>29</v>
      </c>
      <c r="AF23" s="21">
        <v>32</v>
      </c>
      <c r="AG23" s="21">
        <v>32.64</v>
      </c>
      <c r="AH23" s="21">
        <v>33.2928</v>
      </c>
      <c r="AI23" s="21">
        <v>33.958655999999998</v>
      </c>
      <c r="AJ23" s="21">
        <v>34.637829119999999</v>
      </c>
      <c r="AK23" s="21">
        <v>35.330585702400001</v>
      </c>
      <c r="AL23" s="21">
        <v>36.037197416448002</v>
      </c>
      <c r="AM23" s="21">
        <v>36.757941364776961</v>
      </c>
      <c r="AN23" s="7"/>
      <c r="AO23" s="38"/>
      <c r="AP23" s="38"/>
      <c r="AQ23" s="38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</row>
    <row r="24" spans="1:54" s="5" customFormat="1" x14ac:dyDescent="0.25">
      <c r="A24" s="7"/>
      <c r="B24" s="77"/>
      <c r="C24" s="78"/>
      <c r="D24" s="78"/>
      <c r="E24" s="83"/>
      <c r="F24" s="78"/>
      <c r="G24" s="79"/>
      <c r="H24" s="78"/>
      <c r="I24" s="80"/>
      <c r="J24" s="77"/>
      <c r="K24" s="80"/>
      <c r="L24" s="77"/>
      <c r="M24" s="80"/>
      <c r="N24" s="77"/>
      <c r="O24" s="80"/>
      <c r="P24" s="77"/>
      <c r="Q24" s="80"/>
      <c r="R24" s="77"/>
      <c r="S24" s="80"/>
      <c r="T24" s="77"/>
      <c r="U24" s="80"/>
      <c r="V24" s="77"/>
      <c r="W24" s="7"/>
      <c r="X24" s="27" t="str">
        <f t="shared" si="0"/>
        <v/>
      </c>
      <c r="Y24" s="17" t="s">
        <v>11</v>
      </c>
      <c r="Z24" s="17"/>
      <c r="AA24" s="17" t="s">
        <v>17</v>
      </c>
      <c r="AB24" s="18" t="s">
        <v>13</v>
      </c>
      <c r="AC24" s="21">
        <v>20</v>
      </c>
      <c r="AD24" s="21">
        <v>26</v>
      </c>
      <c r="AE24" s="21">
        <v>30</v>
      </c>
      <c r="AF24" s="21">
        <v>33</v>
      </c>
      <c r="AG24" s="21">
        <v>33.660000000000004</v>
      </c>
      <c r="AH24" s="21">
        <v>34.333200000000005</v>
      </c>
      <c r="AI24" s="21">
        <v>35.019864000000005</v>
      </c>
      <c r="AJ24" s="21">
        <v>35.72026128000001</v>
      </c>
      <c r="AK24" s="21">
        <v>36.434666505600013</v>
      </c>
      <c r="AL24" s="21">
        <v>37.163359835712015</v>
      </c>
      <c r="AM24" s="21">
        <v>37.906627032426258</v>
      </c>
      <c r="AN24" s="7"/>
      <c r="AO24" s="38"/>
      <c r="AP24" s="38"/>
      <c r="AQ24" s="38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</row>
    <row r="25" spans="1:54" s="5" customFormat="1" x14ac:dyDescent="0.25">
      <c r="A25" s="7"/>
      <c r="B25" s="77"/>
      <c r="C25" s="78"/>
      <c r="D25" s="78"/>
      <c r="E25" s="83"/>
      <c r="F25" s="78"/>
      <c r="G25" s="79"/>
      <c r="H25" s="78"/>
      <c r="I25" s="80"/>
      <c r="J25" s="77"/>
      <c r="K25" s="80"/>
      <c r="L25" s="77"/>
      <c r="M25" s="80"/>
      <c r="N25" s="77"/>
      <c r="O25" s="80"/>
      <c r="P25" s="77"/>
      <c r="Q25" s="80"/>
      <c r="R25" s="77"/>
      <c r="S25" s="80"/>
      <c r="T25" s="77"/>
      <c r="U25" s="80"/>
      <c r="V25" s="77"/>
      <c r="W25" s="7"/>
      <c r="X25" s="27" t="str">
        <f t="shared" si="0"/>
        <v/>
      </c>
      <c r="Y25" s="17" t="s">
        <v>11</v>
      </c>
      <c r="Z25" s="17"/>
      <c r="AA25" s="17" t="s">
        <v>17</v>
      </c>
      <c r="AB25" s="18" t="s">
        <v>2</v>
      </c>
      <c r="AC25" s="21">
        <v>22</v>
      </c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7"/>
      <c r="AO25" s="38"/>
      <c r="AP25" s="38"/>
      <c r="AQ25" s="38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</row>
    <row r="26" spans="1:54" s="5" customFormat="1" x14ac:dyDescent="0.25">
      <c r="A26" s="7"/>
      <c r="B26" s="77"/>
      <c r="C26" s="78"/>
      <c r="D26" s="78"/>
      <c r="E26" s="83"/>
      <c r="F26" s="78"/>
      <c r="G26" s="79"/>
      <c r="H26" s="78"/>
      <c r="I26" s="80"/>
      <c r="J26" s="77"/>
      <c r="K26" s="80"/>
      <c r="L26" s="77"/>
      <c r="M26" s="80"/>
      <c r="N26" s="77"/>
      <c r="O26" s="80"/>
      <c r="P26" s="77"/>
      <c r="Q26" s="80"/>
      <c r="R26" s="77"/>
      <c r="S26" s="80"/>
      <c r="T26" s="77"/>
      <c r="U26" s="80"/>
      <c r="V26" s="77"/>
      <c r="W26" s="7"/>
      <c r="X26" s="27" t="str">
        <f t="shared" si="0"/>
        <v/>
      </c>
      <c r="Y26" s="17" t="s">
        <v>11</v>
      </c>
      <c r="Z26" s="17"/>
      <c r="AA26" s="17" t="s">
        <v>17</v>
      </c>
      <c r="AB26" s="18" t="s">
        <v>15</v>
      </c>
      <c r="AC26" s="21">
        <v>12</v>
      </c>
      <c r="AD26" s="21">
        <v>12</v>
      </c>
      <c r="AE26" s="21">
        <v>12</v>
      </c>
      <c r="AF26" s="21">
        <v>12</v>
      </c>
      <c r="AG26" s="21">
        <v>12.24</v>
      </c>
      <c r="AH26" s="21">
        <v>12.4848</v>
      </c>
      <c r="AI26" s="21">
        <v>12.734496</v>
      </c>
      <c r="AJ26" s="21">
        <v>12.989185920000001</v>
      </c>
      <c r="AK26" s="21">
        <v>13.2489696384</v>
      </c>
      <c r="AL26" s="21">
        <v>13.513949031168</v>
      </c>
      <c r="AM26" s="21">
        <v>13.78422801179136</v>
      </c>
      <c r="AN26" s="7"/>
      <c r="AO26" s="38"/>
      <c r="AP26" s="38"/>
      <c r="AQ26" s="38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</row>
    <row r="27" spans="1:54" s="5" customFormat="1" x14ac:dyDescent="0.25">
      <c r="A27" s="7"/>
      <c r="B27" s="77"/>
      <c r="C27" s="78"/>
      <c r="D27" s="78"/>
      <c r="E27" s="83"/>
      <c r="F27" s="78"/>
      <c r="G27" s="79"/>
      <c r="H27" s="78"/>
      <c r="I27" s="80"/>
      <c r="J27" s="77"/>
      <c r="K27" s="80"/>
      <c r="L27" s="77"/>
      <c r="M27" s="80"/>
      <c r="N27" s="77"/>
      <c r="O27" s="80"/>
      <c r="P27" s="77"/>
      <c r="Q27" s="80"/>
      <c r="R27" s="77"/>
      <c r="S27" s="80"/>
      <c r="T27" s="77"/>
      <c r="U27" s="80"/>
      <c r="V27" s="77"/>
      <c r="W27" s="7"/>
      <c r="X27" s="27" t="str">
        <f t="shared" si="0"/>
        <v/>
      </c>
      <c r="Y27" s="17" t="s">
        <v>11</v>
      </c>
      <c r="Z27" s="17"/>
      <c r="AA27" s="17" t="s">
        <v>18</v>
      </c>
      <c r="AB27" s="18" t="s">
        <v>19</v>
      </c>
      <c r="AC27" s="21">
        <v>0</v>
      </c>
      <c r="AD27" s="21">
        <v>0</v>
      </c>
      <c r="AE27" s="21">
        <v>0</v>
      </c>
      <c r="AF27" s="21">
        <v>0</v>
      </c>
      <c r="AG27" s="21">
        <v>20</v>
      </c>
      <c r="AH27" s="21">
        <v>50</v>
      </c>
      <c r="AI27" s="21">
        <v>70</v>
      </c>
      <c r="AJ27" s="21">
        <v>70</v>
      </c>
      <c r="AK27" s="21">
        <v>70</v>
      </c>
      <c r="AL27" s="21">
        <v>70</v>
      </c>
      <c r="AM27" s="21">
        <v>70</v>
      </c>
      <c r="AN27" s="7"/>
      <c r="AO27" s="38"/>
      <c r="AP27" s="38"/>
      <c r="AQ27" s="38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</row>
    <row r="28" spans="1:54" s="5" customFormat="1" x14ac:dyDescent="0.25">
      <c r="A28" s="7"/>
      <c r="B28" s="77"/>
      <c r="C28" s="78"/>
      <c r="D28" s="78"/>
      <c r="E28" s="83"/>
      <c r="F28" s="78"/>
      <c r="G28" s="79"/>
      <c r="H28" s="78"/>
      <c r="I28" s="80"/>
      <c r="J28" s="77"/>
      <c r="K28" s="80"/>
      <c r="L28" s="77"/>
      <c r="M28" s="80"/>
      <c r="N28" s="77"/>
      <c r="O28" s="80"/>
      <c r="P28" s="77"/>
      <c r="Q28" s="80"/>
      <c r="R28" s="77"/>
      <c r="S28" s="80"/>
      <c r="T28" s="77"/>
      <c r="U28" s="80"/>
      <c r="V28" s="77"/>
      <c r="W28" s="7"/>
      <c r="X28" s="27" t="str">
        <f t="shared" si="0"/>
        <v/>
      </c>
      <c r="Y28" s="17" t="s">
        <v>11</v>
      </c>
      <c r="Z28" s="17"/>
      <c r="AA28" s="17" t="s">
        <v>18</v>
      </c>
      <c r="AB28" s="18" t="s">
        <v>20</v>
      </c>
      <c r="AC28" s="21">
        <v>0</v>
      </c>
      <c r="AD28" s="21">
        <v>0</v>
      </c>
      <c r="AE28" s="21">
        <v>0</v>
      </c>
      <c r="AF28" s="21">
        <v>0</v>
      </c>
      <c r="AG28" s="21">
        <v>0</v>
      </c>
      <c r="AH28" s="21">
        <v>0</v>
      </c>
      <c r="AI28" s="21">
        <v>0</v>
      </c>
      <c r="AJ28" s="21">
        <v>0</v>
      </c>
      <c r="AK28" s="21">
        <v>0</v>
      </c>
      <c r="AL28" s="21">
        <v>0</v>
      </c>
      <c r="AM28" s="21">
        <v>0</v>
      </c>
      <c r="AN28" s="7"/>
      <c r="AO28" s="38"/>
      <c r="AP28" s="38"/>
      <c r="AQ28" s="38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</row>
    <row r="29" spans="1:54" s="5" customFormat="1" x14ac:dyDescent="0.25">
      <c r="A29" s="7"/>
      <c r="B29" s="77"/>
      <c r="C29" s="78"/>
      <c r="D29" s="78"/>
      <c r="E29" s="83"/>
      <c r="F29" s="78"/>
      <c r="G29" s="79"/>
      <c r="H29" s="78"/>
      <c r="I29" s="80"/>
      <c r="J29" s="77"/>
      <c r="K29" s="80"/>
      <c r="L29" s="77"/>
      <c r="M29" s="80"/>
      <c r="N29" s="77"/>
      <c r="O29" s="80"/>
      <c r="P29" s="77"/>
      <c r="Q29" s="80"/>
      <c r="R29" s="77"/>
      <c r="S29" s="80"/>
      <c r="T29" s="77"/>
      <c r="U29" s="80"/>
      <c r="V29" s="77"/>
      <c r="W29" s="7"/>
      <c r="X29" s="27" t="str">
        <f t="shared" si="0"/>
        <v/>
      </c>
      <c r="Y29" s="17" t="s">
        <v>11</v>
      </c>
      <c r="Z29" s="17"/>
      <c r="AA29" s="17" t="s">
        <v>18</v>
      </c>
      <c r="AB29" s="18" t="s">
        <v>21</v>
      </c>
      <c r="AC29" s="21">
        <v>0</v>
      </c>
      <c r="AD29" s="21">
        <v>0</v>
      </c>
      <c r="AE29" s="21">
        <v>0</v>
      </c>
      <c r="AF29" s="21">
        <v>0</v>
      </c>
      <c r="AG29" s="21">
        <v>0</v>
      </c>
      <c r="AH29" s="21">
        <v>0</v>
      </c>
      <c r="AI29" s="21">
        <v>0</v>
      </c>
      <c r="AJ29" s="21">
        <v>0</v>
      </c>
      <c r="AK29" s="21">
        <v>0</v>
      </c>
      <c r="AL29" s="21">
        <v>0</v>
      </c>
      <c r="AM29" s="21">
        <v>0</v>
      </c>
      <c r="AN29" s="7"/>
      <c r="AO29" s="38"/>
      <c r="AP29" s="38"/>
      <c r="AQ29" s="38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</row>
    <row r="30" spans="1:54" s="5" customFormat="1" x14ac:dyDescent="0.25">
      <c r="A30" s="7"/>
      <c r="B30" s="77"/>
      <c r="C30" s="78"/>
      <c r="D30" s="78"/>
      <c r="E30" s="83"/>
      <c r="F30" s="80"/>
      <c r="G30" s="79"/>
      <c r="H30" s="78"/>
      <c r="I30" s="80"/>
      <c r="J30" s="77"/>
      <c r="K30" s="80"/>
      <c r="L30" s="77"/>
      <c r="M30" s="80"/>
      <c r="N30" s="77"/>
      <c r="O30" s="80"/>
      <c r="P30" s="77"/>
      <c r="Q30" s="80"/>
      <c r="R30" s="77"/>
      <c r="S30" s="80"/>
      <c r="T30" s="77"/>
      <c r="U30" s="80"/>
      <c r="V30" s="77"/>
      <c r="W30" s="7"/>
      <c r="X30" s="27" t="str">
        <f t="shared" si="0"/>
        <v/>
      </c>
      <c r="Y30" s="6"/>
      <c r="Z30" s="6"/>
      <c r="AA30" s="6"/>
      <c r="AB30" s="11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7"/>
      <c r="AO30" s="15"/>
      <c r="AP30" s="15"/>
      <c r="AQ30" s="15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</row>
    <row r="31" spans="1:54" s="5" customFormat="1" x14ac:dyDescent="0.25">
      <c r="A31" s="7"/>
      <c r="B31" s="77"/>
      <c r="C31" s="78"/>
      <c r="D31" s="78"/>
      <c r="E31" s="83"/>
      <c r="F31" s="78"/>
      <c r="G31" s="81"/>
      <c r="H31" s="33" t="s">
        <v>153</v>
      </c>
      <c r="I31" s="83"/>
      <c r="J31" s="78"/>
      <c r="K31" s="78"/>
      <c r="L31" s="77"/>
      <c r="M31" s="78"/>
      <c r="N31" s="77"/>
      <c r="O31" s="78"/>
      <c r="P31" s="77"/>
      <c r="Q31" s="78"/>
      <c r="R31" s="77"/>
      <c r="S31" s="78"/>
      <c r="T31" s="77"/>
      <c r="U31" s="78"/>
      <c r="V31" s="77"/>
      <c r="W31" s="7"/>
      <c r="X31" s="28" t="str">
        <f t="shared" si="0"/>
        <v>Buildings</v>
      </c>
      <c r="Y31" s="6"/>
      <c r="Z31" s="6"/>
      <c r="AA31" s="6"/>
      <c r="AB31" s="11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7"/>
      <c r="AO31" s="15"/>
      <c r="AP31" s="15"/>
      <c r="AQ31" s="15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</row>
    <row r="32" spans="1:54" s="5" customFormat="1" x14ac:dyDescent="0.25">
      <c r="A32" s="7"/>
      <c r="B32" s="77"/>
      <c r="C32" s="78"/>
      <c r="D32" s="78"/>
      <c r="E32" s="83"/>
      <c r="F32" s="78"/>
      <c r="G32" s="78"/>
      <c r="H32" s="78"/>
      <c r="I32" s="83"/>
      <c r="J32" s="78"/>
      <c r="K32" s="78"/>
      <c r="L32" s="77"/>
      <c r="M32" s="78"/>
      <c r="N32" s="77"/>
      <c r="O32" s="78"/>
      <c r="P32" s="77"/>
      <c r="Q32" s="78"/>
      <c r="R32" s="77"/>
      <c r="S32" s="78"/>
      <c r="T32" s="77"/>
      <c r="U32" s="78"/>
      <c r="V32" s="77"/>
      <c r="W32" s="7"/>
      <c r="X32" s="27" t="str">
        <f t="shared" si="0"/>
        <v/>
      </c>
      <c r="Y32" s="17" t="s">
        <v>114</v>
      </c>
      <c r="Z32" s="17" t="s">
        <v>91</v>
      </c>
      <c r="AA32" s="17"/>
      <c r="AB32" s="18" t="s">
        <v>41</v>
      </c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7"/>
      <c r="AO32" s="38"/>
      <c r="AP32" s="38"/>
      <c r="AQ32" s="38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</row>
    <row r="33" spans="1:54" s="5" customFormat="1" x14ac:dyDescent="0.25">
      <c r="A33" s="7"/>
      <c r="B33" s="77"/>
      <c r="C33" s="78"/>
      <c r="D33" s="78"/>
      <c r="E33" s="83"/>
      <c r="F33" s="78"/>
      <c r="G33" s="78"/>
      <c r="H33" s="78"/>
      <c r="I33" s="83"/>
      <c r="J33" s="78"/>
      <c r="K33" s="78"/>
      <c r="L33" s="77"/>
      <c r="M33" s="78"/>
      <c r="N33" s="77"/>
      <c r="O33" s="78"/>
      <c r="P33" s="77"/>
      <c r="Q33" s="78"/>
      <c r="R33" s="77"/>
      <c r="S33" s="78"/>
      <c r="T33" s="77"/>
      <c r="U33" s="78"/>
      <c r="V33" s="77"/>
      <c r="W33" s="7"/>
      <c r="X33" s="27" t="str">
        <f t="shared" si="0"/>
        <v/>
      </c>
      <c r="Y33" s="17" t="s">
        <v>63</v>
      </c>
      <c r="Z33" s="17"/>
      <c r="AA33" s="17"/>
      <c r="AB33" s="18" t="s">
        <v>61</v>
      </c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7"/>
      <c r="AO33" s="38"/>
      <c r="AP33" s="38"/>
      <c r="AQ33" s="38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</row>
    <row r="34" spans="1:54" s="5" customFormat="1" x14ac:dyDescent="0.25">
      <c r="A34" s="7"/>
      <c r="B34" s="77"/>
      <c r="C34" s="78"/>
      <c r="D34" s="78"/>
      <c r="E34" s="83"/>
      <c r="F34" s="78"/>
      <c r="G34" s="78"/>
      <c r="H34" s="78"/>
      <c r="I34" s="83"/>
      <c r="J34" s="78"/>
      <c r="K34" s="78"/>
      <c r="L34" s="77"/>
      <c r="M34" s="78"/>
      <c r="N34" s="77"/>
      <c r="O34" s="78"/>
      <c r="P34" s="77"/>
      <c r="Q34" s="78"/>
      <c r="R34" s="77"/>
      <c r="S34" s="78"/>
      <c r="T34" s="77"/>
      <c r="U34" s="78"/>
      <c r="V34" s="77"/>
      <c r="W34" s="7"/>
      <c r="X34" s="27" t="str">
        <f t="shared" si="0"/>
        <v/>
      </c>
      <c r="Y34" s="17" t="s">
        <v>115</v>
      </c>
      <c r="Z34" s="17" t="s">
        <v>109</v>
      </c>
      <c r="AA34" s="3" t="s">
        <v>139</v>
      </c>
      <c r="AB34" s="18" t="s">
        <v>27</v>
      </c>
      <c r="AC34" s="20">
        <v>0.719409242</v>
      </c>
      <c r="AD34" s="20">
        <v>0.71950000000000003</v>
      </c>
      <c r="AE34" s="20">
        <v>0.71899999999999997</v>
      </c>
      <c r="AF34" s="20">
        <v>0.71850000000000003</v>
      </c>
      <c r="AG34" s="20">
        <v>0.71799999999999997</v>
      </c>
      <c r="AH34" s="20">
        <v>0.71750000000000003</v>
      </c>
      <c r="AI34" s="20">
        <v>0.71699999999999997</v>
      </c>
      <c r="AJ34" s="20">
        <v>0.71650000000000003</v>
      </c>
      <c r="AK34" s="20">
        <v>0.71599999999999997</v>
      </c>
      <c r="AL34" s="20">
        <v>0.71550000000000002</v>
      </c>
      <c r="AM34" s="20">
        <v>0.71500000000000097</v>
      </c>
      <c r="AN34" s="7"/>
      <c r="AO34" s="38"/>
      <c r="AP34" s="38"/>
      <c r="AQ34" s="38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</row>
    <row r="35" spans="1:54" s="5" customFormat="1" x14ac:dyDescent="0.25">
      <c r="A35" s="7"/>
      <c r="B35" s="77"/>
      <c r="C35" s="78"/>
      <c r="D35" s="78"/>
      <c r="E35" s="83"/>
      <c r="F35" s="78"/>
      <c r="G35" s="78"/>
      <c r="H35" s="78"/>
      <c r="I35" s="83"/>
      <c r="J35" s="78"/>
      <c r="K35" s="78"/>
      <c r="L35" s="77"/>
      <c r="M35" s="78"/>
      <c r="N35" s="77"/>
      <c r="O35" s="78"/>
      <c r="P35" s="77"/>
      <c r="Q35" s="78"/>
      <c r="R35" s="77"/>
      <c r="S35" s="78"/>
      <c r="T35" s="77"/>
      <c r="U35" s="78"/>
      <c r="V35" s="77"/>
      <c r="W35" s="7"/>
      <c r="X35" s="27" t="str">
        <f t="shared" si="0"/>
        <v/>
      </c>
      <c r="Y35" s="17" t="s">
        <v>115</v>
      </c>
      <c r="Z35" s="17" t="s">
        <v>109</v>
      </c>
      <c r="AA35" s="3" t="s">
        <v>139</v>
      </c>
      <c r="AB35" s="18" t="s">
        <v>28</v>
      </c>
      <c r="AC35" s="20">
        <v>0.1</v>
      </c>
      <c r="AD35" s="20">
        <v>0.10100000000000001</v>
      </c>
      <c r="AE35" s="20">
        <v>0.10199999999999999</v>
      </c>
      <c r="AF35" s="20">
        <v>0.10299999999999999</v>
      </c>
      <c r="AG35" s="20">
        <v>0.104</v>
      </c>
      <c r="AH35" s="20">
        <v>0.105</v>
      </c>
      <c r="AI35" s="20">
        <v>0.106</v>
      </c>
      <c r="AJ35" s="20">
        <v>0.107</v>
      </c>
      <c r="AK35" s="20">
        <v>0.108</v>
      </c>
      <c r="AL35" s="20">
        <v>0.109</v>
      </c>
      <c r="AM35" s="20">
        <v>0.11</v>
      </c>
      <c r="AN35" s="7"/>
      <c r="AO35" s="38"/>
      <c r="AP35" s="38"/>
      <c r="AQ35" s="38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</row>
    <row r="36" spans="1:54" s="5" customFormat="1" x14ac:dyDescent="0.25">
      <c r="A36" s="7"/>
      <c r="B36" s="77"/>
      <c r="C36" s="78"/>
      <c r="D36" s="78"/>
      <c r="E36" s="83"/>
      <c r="F36" s="78"/>
      <c r="G36" s="78"/>
      <c r="H36" s="78"/>
      <c r="I36" s="83"/>
      <c r="J36" s="78"/>
      <c r="K36" s="78"/>
      <c r="L36" s="77"/>
      <c r="M36" s="78"/>
      <c r="N36" s="77"/>
      <c r="O36" s="78"/>
      <c r="P36" s="77"/>
      <c r="Q36" s="78"/>
      <c r="R36" s="77"/>
      <c r="S36" s="78"/>
      <c r="T36" s="77"/>
      <c r="U36" s="78"/>
      <c r="V36" s="77"/>
      <c r="W36" s="7"/>
      <c r="X36" s="27" t="str">
        <f t="shared" si="0"/>
        <v/>
      </c>
      <c r="Y36" s="17" t="s">
        <v>115</v>
      </c>
      <c r="Z36" s="17" t="s">
        <v>109</v>
      </c>
      <c r="AA36" s="3" t="s">
        <v>139</v>
      </c>
      <c r="AB36" s="18" t="s">
        <v>29</v>
      </c>
      <c r="AC36" s="20">
        <v>0.14000000000000001</v>
      </c>
      <c r="AD36" s="20">
        <v>0.13950000000000001</v>
      </c>
      <c r="AE36" s="20">
        <v>0.13900000000000001</v>
      </c>
      <c r="AF36" s="20">
        <v>0.13850000000000001</v>
      </c>
      <c r="AG36" s="20">
        <v>0.13800000000000001</v>
      </c>
      <c r="AH36" s="20">
        <v>0.13750000000000001</v>
      </c>
      <c r="AI36" s="20">
        <v>0.13700000000000001</v>
      </c>
      <c r="AJ36" s="20">
        <v>0.13650000000000001</v>
      </c>
      <c r="AK36" s="20">
        <v>0.13600000000000001</v>
      </c>
      <c r="AL36" s="20">
        <v>0.13550000000000001</v>
      </c>
      <c r="AM36" s="20">
        <v>0.13500000000000001</v>
      </c>
      <c r="AN36" s="7"/>
      <c r="AO36" s="38"/>
      <c r="AP36" s="38"/>
      <c r="AQ36" s="38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</row>
    <row r="37" spans="1:54" s="5" customFormat="1" x14ac:dyDescent="0.25">
      <c r="A37" s="7"/>
      <c r="B37" s="77"/>
      <c r="C37" s="78"/>
      <c r="D37" s="78"/>
      <c r="E37" s="83"/>
      <c r="F37" s="78"/>
      <c r="G37" s="78"/>
      <c r="H37" s="78"/>
      <c r="I37" s="83"/>
      <c r="J37" s="78"/>
      <c r="K37" s="78"/>
      <c r="L37" s="77"/>
      <c r="M37" s="78"/>
      <c r="N37" s="77"/>
      <c r="O37" s="78"/>
      <c r="P37" s="77"/>
      <c r="Q37" s="78"/>
      <c r="R37" s="77"/>
      <c r="S37" s="78"/>
      <c r="T37" s="77"/>
      <c r="U37" s="78"/>
      <c r="V37" s="77"/>
      <c r="W37" s="7"/>
      <c r="X37" s="27" t="str">
        <f t="shared" si="0"/>
        <v/>
      </c>
      <c r="Y37" s="17" t="s">
        <v>115</v>
      </c>
      <c r="Z37" s="17" t="s">
        <v>109</v>
      </c>
      <c r="AA37" s="3" t="s">
        <v>139</v>
      </c>
      <c r="AB37" s="18" t="s">
        <v>30</v>
      </c>
      <c r="AC37" s="20">
        <f>1-SUM(AC34:AC36)</f>
        <v>4.0590758000000005E-2</v>
      </c>
      <c r="AD37" s="20">
        <f t="shared" ref="AD37:AM37" si="1">1-SUM(AD34:AD36)</f>
        <v>4.0000000000000036E-2</v>
      </c>
      <c r="AE37" s="20">
        <f t="shared" si="1"/>
        <v>4.0000000000000036E-2</v>
      </c>
      <c r="AF37" s="20">
        <f t="shared" si="1"/>
        <v>4.0000000000000036E-2</v>
      </c>
      <c r="AG37" s="20">
        <f t="shared" si="1"/>
        <v>4.0000000000000036E-2</v>
      </c>
      <c r="AH37" s="20">
        <f t="shared" si="1"/>
        <v>4.0000000000000036E-2</v>
      </c>
      <c r="AI37" s="20">
        <f t="shared" si="1"/>
        <v>4.0000000000000036E-2</v>
      </c>
      <c r="AJ37" s="20">
        <f t="shared" si="1"/>
        <v>4.0000000000000036E-2</v>
      </c>
      <c r="AK37" s="20">
        <f t="shared" si="1"/>
        <v>4.0000000000000036E-2</v>
      </c>
      <c r="AL37" s="20">
        <f t="shared" si="1"/>
        <v>4.0000000000000036E-2</v>
      </c>
      <c r="AM37" s="20">
        <f t="shared" si="1"/>
        <v>3.9999999999999036E-2</v>
      </c>
      <c r="AN37" s="7"/>
      <c r="AO37" s="38"/>
      <c r="AP37" s="38"/>
      <c r="AQ37" s="38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</row>
    <row r="38" spans="1:54" s="5" customFormat="1" x14ac:dyDescent="0.25">
      <c r="A38" s="7"/>
      <c r="B38" s="77"/>
      <c r="C38" s="78"/>
      <c r="D38" s="78"/>
      <c r="E38" s="83"/>
      <c r="F38" s="78"/>
      <c r="G38" s="77"/>
      <c r="H38" s="80"/>
      <c r="I38" s="84"/>
      <c r="J38" s="78"/>
      <c r="K38" s="78"/>
      <c r="L38" s="77"/>
      <c r="M38" s="78"/>
      <c r="N38" s="77"/>
      <c r="O38" s="78"/>
      <c r="P38" s="77"/>
      <c r="Q38" s="78"/>
      <c r="R38" s="77"/>
      <c r="S38" s="78"/>
      <c r="T38" s="77"/>
      <c r="U38" s="78"/>
      <c r="V38" s="77"/>
      <c r="W38" s="7"/>
      <c r="X38" s="27" t="str">
        <f t="shared" si="0"/>
        <v/>
      </c>
      <c r="Y38" s="6"/>
      <c r="Z38" s="6"/>
      <c r="AA38" s="6"/>
      <c r="AB38" s="11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7"/>
      <c r="AO38" s="15"/>
      <c r="AP38" s="15"/>
      <c r="AQ38" s="15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</row>
    <row r="39" spans="1:54" s="5" customFormat="1" x14ac:dyDescent="0.25">
      <c r="A39" s="7"/>
      <c r="B39" s="77"/>
      <c r="C39" s="78"/>
      <c r="D39" s="78"/>
      <c r="E39" s="83"/>
      <c r="F39" s="78"/>
      <c r="G39" s="77"/>
      <c r="H39" s="78"/>
      <c r="I39" s="81"/>
      <c r="J39" s="33" t="s">
        <v>1</v>
      </c>
      <c r="K39" s="83"/>
      <c r="L39" s="78"/>
      <c r="M39" s="78"/>
      <c r="N39" s="77"/>
      <c r="O39" s="78"/>
      <c r="P39" s="77"/>
      <c r="Q39" s="78"/>
      <c r="R39" s="77"/>
      <c r="S39" s="78"/>
      <c r="T39" s="77"/>
      <c r="U39" s="78"/>
      <c r="V39" s="77"/>
      <c r="W39" s="7"/>
      <c r="X39" s="28" t="str">
        <f t="shared" si="0"/>
        <v>Shell</v>
      </c>
      <c r="Y39" s="6"/>
      <c r="Z39" s="6"/>
      <c r="AA39" s="6"/>
      <c r="AB39" s="11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7"/>
      <c r="AO39" s="15"/>
      <c r="AP39" s="15"/>
      <c r="AQ39" s="15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</row>
    <row r="40" spans="1:54" s="5" customFormat="1" x14ac:dyDescent="0.25">
      <c r="A40" s="7"/>
      <c r="B40" s="77"/>
      <c r="C40" s="78"/>
      <c r="D40" s="78"/>
      <c r="E40" s="83"/>
      <c r="F40" s="78"/>
      <c r="G40" s="77"/>
      <c r="H40" s="78"/>
      <c r="I40" s="78"/>
      <c r="J40" s="78"/>
      <c r="K40" s="83"/>
      <c r="L40" s="78"/>
      <c r="M40" s="78"/>
      <c r="N40" s="77"/>
      <c r="O40" s="78"/>
      <c r="P40" s="77"/>
      <c r="Q40" s="78"/>
      <c r="R40" s="77"/>
      <c r="S40" s="78"/>
      <c r="T40" s="77"/>
      <c r="U40" s="78"/>
      <c r="V40" s="77"/>
      <c r="W40" s="7"/>
      <c r="X40" s="27" t="str">
        <f t="shared" si="0"/>
        <v/>
      </c>
      <c r="Y40" s="3" t="s">
        <v>114</v>
      </c>
      <c r="Z40" s="3" t="s">
        <v>109</v>
      </c>
      <c r="AA40" s="3" t="s">
        <v>41</v>
      </c>
      <c r="AB40" s="18" t="s">
        <v>1</v>
      </c>
      <c r="AC40" s="3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7"/>
      <c r="AO40" s="38"/>
      <c r="AP40" s="38"/>
      <c r="AQ40" s="38"/>
      <c r="AR40" s="43"/>
      <c r="AS40" s="42"/>
      <c r="AT40" s="42"/>
      <c r="AU40" s="42"/>
      <c r="AV40" s="42"/>
      <c r="AW40" s="42"/>
      <c r="AX40" s="42"/>
      <c r="AY40" s="42"/>
      <c r="AZ40" s="42"/>
      <c r="BA40" s="42"/>
      <c r="BB40" s="42"/>
    </row>
    <row r="41" spans="1:54" s="5" customFormat="1" x14ac:dyDescent="0.25">
      <c r="A41" s="7"/>
      <c r="B41" s="77"/>
      <c r="C41" s="78"/>
      <c r="D41" s="78"/>
      <c r="E41" s="83"/>
      <c r="F41" s="78"/>
      <c r="G41" s="77"/>
      <c r="H41" s="78"/>
      <c r="I41" s="78"/>
      <c r="J41" s="78"/>
      <c r="K41" s="83"/>
      <c r="L41" s="78"/>
      <c r="M41" s="78"/>
      <c r="N41" s="77"/>
      <c r="O41" s="78"/>
      <c r="P41" s="77"/>
      <c r="Q41" s="78"/>
      <c r="R41" s="77"/>
      <c r="S41" s="78"/>
      <c r="T41" s="77"/>
      <c r="U41" s="78"/>
      <c r="V41" s="77"/>
      <c r="W41" s="7"/>
      <c r="X41" s="27" t="str">
        <f t="shared" si="0"/>
        <v/>
      </c>
      <c r="Y41" s="3" t="s">
        <v>63</v>
      </c>
      <c r="Z41" s="3"/>
      <c r="AA41" s="3"/>
      <c r="AB41" s="18" t="s">
        <v>25</v>
      </c>
      <c r="AC41" s="3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7"/>
      <c r="AO41" s="38"/>
      <c r="AP41" s="38"/>
      <c r="AQ41" s="38"/>
      <c r="AR41" s="43"/>
      <c r="AS41" s="42"/>
      <c r="AT41" s="42"/>
      <c r="AU41" s="42"/>
      <c r="AV41" s="42"/>
      <c r="AW41" s="42"/>
      <c r="AX41" s="42"/>
      <c r="AY41" s="42"/>
      <c r="AZ41" s="42"/>
      <c r="BA41" s="42"/>
      <c r="BB41" s="42"/>
    </row>
    <row r="42" spans="1:54" s="5" customFormat="1" x14ac:dyDescent="0.25">
      <c r="A42" s="7"/>
      <c r="B42" s="77"/>
      <c r="C42" s="78"/>
      <c r="D42" s="78"/>
      <c r="E42" s="83"/>
      <c r="F42" s="78"/>
      <c r="G42" s="77"/>
      <c r="H42" s="78"/>
      <c r="I42" s="78"/>
      <c r="J42" s="78"/>
      <c r="K42" s="83"/>
      <c r="L42" s="78"/>
      <c r="M42" s="78"/>
      <c r="N42" s="77"/>
      <c r="O42" s="78"/>
      <c r="P42" s="77"/>
      <c r="Q42" s="78"/>
      <c r="R42" s="77"/>
      <c r="S42" s="78"/>
      <c r="T42" s="77"/>
      <c r="U42" s="78"/>
      <c r="V42" s="77"/>
      <c r="W42" s="7"/>
      <c r="X42" s="27" t="str">
        <f t="shared" si="0"/>
        <v/>
      </c>
      <c r="Y42" s="3" t="s">
        <v>86</v>
      </c>
      <c r="Z42" s="3"/>
      <c r="AA42" s="3"/>
      <c r="AB42" s="18" t="s">
        <v>39</v>
      </c>
      <c r="AC42" s="3">
        <v>10</v>
      </c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7"/>
      <c r="AO42" s="38"/>
      <c r="AP42" s="38"/>
      <c r="AQ42" s="38"/>
      <c r="AR42" s="43"/>
      <c r="AS42" s="42"/>
      <c r="AT42" s="42"/>
      <c r="AU42" s="42"/>
      <c r="AV42" s="42"/>
      <c r="AW42" s="42"/>
      <c r="AX42" s="42"/>
      <c r="AY42" s="42"/>
      <c r="AZ42" s="42"/>
      <c r="BA42" s="42"/>
      <c r="BB42" s="42"/>
    </row>
    <row r="43" spans="1:54" s="5" customFormat="1" x14ac:dyDescent="0.25">
      <c r="A43" s="7"/>
      <c r="B43" s="77"/>
      <c r="C43" s="78"/>
      <c r="D43" s="78"/>
      <c r="E43" s="83"/>
      <c r="F43" s="78"/>
      <c r="G43" s="77"/>
      <c r="H43" s="78"/>
      <c r="I43" s="78"/>
      <c r="J43" s="78"/>
      <c r="K43" s="83"/>
      <c r="L43" s="78"/>
      <c r="M43" s="78"/>
      <c r="N43" s="77"/>
      <c r="O43" s="78"/>
      <c r="P43" s="77"/>
      <c r="Q43" s="78"/>
      <c r="R43" s="77"/>
      <c r="S43" s="78"/>
      <c r="T43" s="77"/>
      <c r="U43" s="78"/>
      <c r="V43" s="77"/>
      <c r="W43" s="7"/>
      <c r="X43" s="27" t="str">
        <f t="shared" si="0"/>
        <v/>
      </c>
      <c r="Y43" s="3" t="s">
        <v>68</v>
      </c>
      <c r="Z43" s="3"/>
      <c r="AA43" s="3"/>
      <c r="AB43" s="90" t="s">
        <v>35</v>
      </c>
      <c r="AC43" s="3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7"/>
      <c r="AO43" s="38"/>
      <c r="AP43" s="38"/>
      <c r="AQ43" s="38"/>
      <c r="AR43" s="43"/>
      <c r="AS43" s="42"/>
      <c r="AT43" s="42"/>
      <c r="AU43" s="42"/>
      <c r="AV43" s="42"/>
      <c r="AW43" s="42"/>
      <c r="AX43" s="42"/>
      <c r="AY43" s="42"/>
      <c r="AZ43" s="42"/>
      <c r="BA43" s="42"/>
      <c r="BB43" s="42"/>
    </row>
    <row r="44" spans="1:54" s="5" customFormat="1" x14ac:dyDescent="0.25">
      <c r="A44" s="7"/>
      <c r="B44" s="77"/>
      <c r="C44" s="78"/>
      <c r="D44" s="78"/>
      <c r="E44" s="83"/>
      <c r="F44" s="78"/>
      <c r="G44" s="77"/>
      <c r="H44" s="78"/>
      <c r="I44" s="78"/>
      <c r="J44" s="78"/>
      <c r="K44" s="83"/>
      <c r="L44" s="78"/>
      <c r="M44" s="78"/>
      <c r="N44" s="77"/>
      <c r="O44" s="78"/>
      <c r="P44" s="77"/>
      <c r="Q44" s="78"/>
      <c r="R44" s="77"/>
      <c r="S44" s="78"/>
      <c r="T44" s="77"/>
      <c r="U44" s="78"/>
      <c r="V44" s="77"/>
      <c r="W44" s="7"/>
      <c r="X44" s="27" t="str">
        <f t="shared" si="0"/>
        <v/>
      </c>
      <c r="Y44" s="3" t="s">
        <v>43</v>
      </c>
      <c r="Z44" s="3"/>
      <c r="AA44" s="3" t="s">
        <v>45</v>
      </c>
      <c r="AB44" s="18" t="s">
        <v>35</v>
      </c>
      <c r="AC44" s="3">
        <v>2015</v>
      </c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7"/>
      <c r="AO44" s="38"/>
      <c r="AP44" s="38"/>
      <c r="AQ44" s="38"/>
      <c r="AR44" s="43"/>
      <c r="AS44" s="42"/>
      <c r="AT44" s="42"/>
      <c r="AU44" s="42"/>
      <c r="AV44" s="42"/>
      <c r="AW44" s="42"/>
      <c r="AX44" s="42"/>
      <c r="AY44" s="42"/>
      <c r="AZ44" s="42"/>
      <c r="BA44" s="42"/>
      <c r="BB44" s="42"/>
    </row>
    <row r="45" spans="1:54" s="5" customFormat="1" x14ac:dyDescent="0.25">
      <c r="A45" s="7"/>
      <c r="B45" s="77"/>
      <c r="C45" s="78"/>
      <c r="D45" s="78"/>
      <c r="E45" s="83"/>
      <c r="F45" s="78"/>
      <c r="G45" s="77"/>
      <c r="H45" s="78"/>
      <c r="I45" s="78"/>
      <c r="J45" s="78"/>
      <c r="K45" s="83"/>
      <c r="L45" s="78"/>
      <c r="M45" s="78"/>
      <c r="N45" s="77"/>
      <c r="O45" s="78"/>
      <c r="P45" s="77"/>
      <c r="Q45" s="78"/>
      <c r="R45" s="77"/>
      <c r="S45" s="78"/>
      <c r="T45" s="77"/>
      <c r="U45" s="78"/>
      <c r="V45" s="77"/>
      <c r="W45" s="7"/>
      <c r="X45" s="27" t="str">
        <f t="shared" si="0"/>
        <v/>
      </c>
      <c r="Y45" s="3" t="s">
        <v>42</v>
      </c>
      <c r="Z45" s="3"/>
      <c r="AA45" s="3" t="s">
        <v>45</v>
      </c>
      <c r="AB45" s="18" t="s">
        <v>35</v>
      </c>
      <c r="AC45" s="3">
        <v>2100</v>
      </c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7"/>
      <c r="AO45" s="38"/>
      <c r="AP45" s="38"/>
      <c r="AQ45" s="38"/>
      <c r="AR45" s="43"/>
      <c r="AS45" s="42"/>
      <c r="AT45" s="42"/>
      <c r="AU45" s="42"/>
      <c r="AV45" s="42"/>
      <c r="AW45" s="42"/>
      <c r="AX45" s="42"/>
      <c r="AY45" s="42"/>
      <c r="AZ45" s="42"/>
      <c r="BA45" s="42"/>
      <c r="BB45" s="42"/>
    </row>
    <row r="46" spans="1:54" s="5" customFormat="1" x14ac:dyDescent="0.25">
      <c r="A46" s="7"/>
      <c r="B46" s="77"/>
      <c r="C46" s="78"/>
      <c r="D46" s="78"/>
      <c r="E46" s="83"/>
      <c r="F46" s="78"/>
      <c r="G46" s="77"/>
      <c r="H46" s="78"/>
      <c r="I46" s="78"/>
      <c r="J46" s="78"/>
      <c r="K46" s="83"/>
      <c r="L46" s="78"/>
      <c r="M46" s="78"/>
      <c r="N46" s="77"/>
      <c r="O46" s="78"/>
      <c r="P46" s="77"/>
      <c r="Q46" s="78"/>
      <c r="R46" s="77"/>
      <c r="S46" s="78"/>
      <c r="T46" s="77"/>
      <c r="U46" s="78"/>
      <c r="V46" s="77"/>
      <c r="W46" s="7"/>
      <c r="X46" s="27" t="str">
        <f t="shared" si="0"/>
        <v/>
      </c>
      <c r="Y46" s="3" t="s">
        <v>44</v>
      </c>
      <c r="Z46" s="3"/>
      <c r="AA46" s="3" t="s">
        <v>10</v>
      </c>
      <c r="AB46" s="18" t="s">
        <v>35</v>
      </c>
      <c r="AC46" s="3">
        <v>25</v>
      </c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7"/>
      <c r="AO46" s="38"/>
      <c r="AP46" s="38"/>
      <c r="AQ46" s="38"/>
      <c r="AR46" s="43"/>
      <c r="AS46" s="42"/>
      <c r="AT46" s="42"/>
      <c r="AU46" s="42"/>
      <c r="AV46" s="42"/>
      <c r="AW46" s="42"/>
      <c r="AX46" s="42"/>
      <c r="AY46" s="42"/>
      <c r="AZ46" s="42"/>
      <c r="BA46" s="42"/>
      <c r="BB46" s="42"/>
    </row>
    <row r="47" spans="1:54" s="5" customFormat="1" x14ac:dyDescent="0.25">
      <c r="A47" s="7"/>
      <c r="B47" s="77"/>
      <c r="C47" s="78"/>
      <c r="D47" s="78"/>
      <c r="E47" s="83"/>
      <c r="F47" s="78"/>
      <c r="G47" s="77"/>
      <c r="H47" s="78"/>
      <c r="I47" s="78"/>
      <c r="J47" s="78"/>
      <c r="K47" s="83"/>
      <c r="L47" s="78"/>
      <c r="M47" s="78"/>
      <c r="N47" s="77"/>
      <c r="O47" s="78"/>
      <c r="P47" s="77"/>
      <c r="Q47" s="78"/>
      <c r="R47" s="77"/>
      <c r="S47" s="78"/>
      <c r="T47" s="77"/>
      <c r="U47" s="78"/>
      <c r="V47" s="77"/>
      <c r="W47" s="7"/>
      <c r="X47" s="27" t="str">
        <f t="shared" si="0"/>
        <v/>
      </c>
      <c r="Y47" s="3" t="s">
        <v>73</v>
      </c>
      <c r="Z47" s="3"/>
      <c r="AA47" s="3" t="s">
        <v>139</v>
      </c>
      <c r="AB47" s="18" t="s">
        <v>35</v>
      </c>
      <c r="AC47" s="3">
        <v>0.25</v>
      </c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7"/>
      <c r="AO47" s="38"/>
      <c r="AP47" s="38"/>
      <c r="AQ47" s="38"/>
      <c r="AR47" s="43"/>
      <c r="AS47" s="42"/>
      <c r="AT47" s="42"/>
      <c r="AU47" s="42"/>
      <c r="AV47" s="42"/>
      <c r="AW47" s="42"/>
      <c r="AX47" s="42"/>
      <c r="AY47" s="42"/>
      <c r="AZ47" s="42"/>
      <c r="BA47" s="42"/>
      <c r="BB47" s="42"/>
    </row>
    <row r="48" spans="1:54" s="5" customFormat="1" x14ac:dyDescent="0.25">
      <c r="A48" s="7"/>
      <c r="B48" s="77"/>
      <c r="C48" s="78"/>
      <c r="D48" s="78"/>
      <c r="E48" s="83"/>
      <c r="F48" s="78"/>
      <c r="G48" s="77"/>
      <c r="H48" s="78"/>
      <c r="I48" s="78"/>
      <c r="J48" s="78"/>
      <c r="K48" s="83"/>
      <c r="L48" s="78"/>
      <c r="M48" s="78"/>
      <c r="N48" s="77"/>
      <c r="O48" s="78"/>
      <c r="P48" s="77"/>
      <c r="Q48" s="78"/>
      <c r="R48" s="77"/>
      <c r="S48" s="78"/>
      <c r="T48" s="77"/>
      <c r="U48" s="78"/>
      <c r="V48" s="77"/>
      <c r="W48" s="7"/>
      <c r="X48" s="27" t="str">
        <f t="shared" si="0"/>
        <v/>
      </c>
      <c r="Y48" s="3" t="s">
        <v>40</v>
      </c>
      <c r="Z48" s="3"/>
      <c r="AA48" s="3" t="s">
        <v>74</v>
      </c>
      <c r="AB48" s="18" t="s">
        <v>35</v>
      </c>
      <c r="AC48" s="3">
        <v>300</v>
      </c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7"/>
      <c r="AO48" s="38"/>
      <c r="AP48" s="38"/>
      <c r="AQ48" s="38"/>
      <c r="AR48" s="43"/>
      <c r="AS48" s="42"/>
      <c r="AT48" s="42"/>
      <c r="AU48" s="42"/>
      <c r="AV48" s="42"/>
      <c r="AW48" s="42"/>
      <c r="AX48" s="42"/>
      <c r="AY48" s="42"/>
      <c r="AZ48" s="42"/>
      <c r="BA48" s="42"/>
      <c r="BB48" s="42"/>
    </row>
    <row r="49" spans="1:54" s="5" customFormat="1" x14ac:dyDescent="0.25">
      <c r="A49" s="7"/>
      <c r="B49" s="77"/>
      <c r="C49" s="78"/>
      <c r="D49" s="78"/>
      <c r="E49" s="83"/>
      <c r="F49" s="78"/>
      <c r="G49" s="77"/>
      <c r="H49" s="78"/>
      <c r="I49" s="78"/>
      <c r="J49" s="78"/>
      <c r="K49" s="83"/>
      <c r="L49" s="78"/>
      <c r="M49" s="78"/>
      <c r="N49" s="77"/>
      <c r="O49" s="78"/>
      <c r="P49" s="77"/>
      <c r="Q49" s="78"/>
      <c r="R49" s="77"/>
      <c r="S49" s="78"/>
      <c r="T49" s="77"/>
      <c r="U49" s="78"/>
      <c r="V49" s="77"/>
      <c r="W49" s="7"/>
      <c r="X49" s="27" t="str">
        <f t="shared" si="0"/>
        <v/>
      </c>
      <c r="Y49" s="3" t="s">
        <v>46</v>
      </c>
      <c r="Z49" s="3"/>
      <c r="AA49" s="3" t="s">
        <v>74</v>
      </c>
      <c r="AB49" s="18" t="s">
        <v>35</v>
      </c>
      <c r="AC49" s="3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7"/>
      <c r="AO49" s="38"/>
      <c r="AP49" s="38"/>
      <c r="AQ49" s="38"/>
      <c r="AR49" s="43"/>
      <c r="AS49" s="42"/>
      <c r="AT49" s="42"/>
      <c r="AU49" s="42"/>
      <c r="AV49" s="42"/>
      <c r="AW49" s="42"/>
      <c r="AX49" s="42"/>
      <c r="AY49" s="42"/>
      <c r="AZ49" s="42"/>
      <c r="BA49" s="42"/>
      <c r="BB49" s="42"/>
    </row>
    <row r="50" spans="1:54" s="5" customFormat="1" x14ac:dyDescent="0.25">
      <c r="A50" s="7"/>
      <c r="B50" s="77"/>
      <c r="C50" s="78"/>
      <c r="D50" s="78"/>
      <c r="E50" s="83"/>
      <c r="F50" s="78"/>
      <c r="G50" s="77"/>
      <c r="H50" s="78"/>
      <c r="I50" s="78"/>
      <c r="J50" s="78"/>
      <c r="K50" s="83"/>
      <c r="L50" s="78"/>
      <c r="M50" s="78"/>
      <c r="N50" s="77"/>
      <c r="O50" s="78"/>
      <c r="P50" s="77"/>
      <c r="Q50" s="78"/>
      <c r="R50" s="77"/>
      <c r="S50" s="78"/>
      <c r="T50" s="77"/>
      <c r="U50" s="78"/>
      <c r="V50" s="77"/>
      <c r="W50" s="7"/>
      <c r="X50" s="27" t="str">
        <f t="shared" si="0"/>
        <v/>
      </c>
      <c r="Y50" s="3" t="s">
        <v>53</v>
      </c>
      <c r="Z50" s="3"/>
      <c r="AA50" s="3" t="s">
        <v>74</v>
      </c>
      <c r="AB50" s="18" t="s">
        <v>35</v>
      </c>
      <c r="AC50" s="3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7"/>
      <c r="AO50" s="38"/>
      <c r="AP50" s="38"/>
      <c r="AQ50" s="38"/>
      <c r="AR50" s="43"/>
      <c r="AS50" s="42"/>
      <c r="AT50" s="42"/>
      <c r="AU50" s="42"/>
      <c r="AV50" s="42"/>
      <c r="AW50" s="42"/>
      <c r="AX50" s="42"/>
      <c r="AY50" s="42"/>
      <c r="AZ50" s="42"/>
      <c r="BA50" s="42"/>
      <c r="BB50" s="42"/>
    </row>
    <row r="51" spans="1:54" s="5" customFormat="1" x14ac:dyDescent="0.25">
      <c r="A51" s="7"/>
      <c r="B51" s="77"/>
      <c r="C51" s="78"/>
      <c r="D51" s="78"/>
      <c r="E51" s="83"/>
      <c r="F51" s="78"/>
      <c r="G51" s="77"/>
      <c r="H51" s="78"/>
      <c r="I51" s="78"/>
      <c r="J51" s="78"/>
      <c r="K51" s="83"/>
      <c r="L51" s="78"/>
      <c r="M51" s="78"/>
      <c r="N51" s="77"/>
      <c r="O51" s="78"/>
      <c r="P51" s="77"/>
      <c r="Q51" s="78"/>
      <c r="R51" s="77"/>
      <c r="S51" s="78"/>
      <c r="T51" s="77"/>
      <c r="U51" s="78"/>
      <c r="V51" s="77"/>
      <c r="W51" s="7"/>
      <c r="X51" s="27" t="str">
        <f t="shared" si="0"/>
        <v/>
      </c>
      <c r="Y51" s="3" t="s">
        <v>49</v>
      </c>
      <c r="Z51" s="3"/>
      <c r="AA51" s="3" t="s">
        <v>139</v>
      </c>
      <c r="AB51" s="18" t="s">
        <v>35</v>
      </c>
      <c r="AC51" s="3">
        <v>1</v>
      </c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7"/>
      <c r="AO51" s="38"/>
      <c r="AP51" s="38"/>
      <c r="AQ51" s="38"/>
      <c r="AR51" s="43"/>
      <c r="AS51" s="42"/>
      <c r="AT51" s="42"/>
      <c r="AU51" s="42"/>
      <c r="AV51" s="42"/>
      <c r="AW51" s="42"/>
      <c r="AX51" s="42"/>
      <c r="AY51" s="42"/>
      <c r="AZ51" s="42"/>
      <c r="BA51" s="42"/>
      <c r="BB51" s="42"/>
    </row>
    <row r="52" spans="1:54" s="5" customFormat="1" x14ac:dyDescent="0.25">
      <c r="A52" s="7"/>
      <c r="B52" s="77"/>
      <c r="C52" s="78"/>
      <c r="D52" s="78"/>
      <c r="E52" s="83"/>
      <c r="F52" s="78"/>
      <c r="G52" s="77"/>
      <c r="H52" s="78"/>
      <c r="I52" s="78"/>
      <c r="J52" s="78"/>
      <c r="K52" s="83"/>
      <c r="L52" s="78"/>
      <c r="M52" s="78"/>
      <c r="N52" s="77"/>
      <c r="O52" s="78"/>
      <c r="P52" s="77"/>
      <c r="Q52" s="78"/>
      <c r="R52" s="77"/>
      <c r="S52" s="78"/>
      <c r="T52" s="77"/>
      <c r="U52" s="78"/>
      <c r="V52" s="77"/>
      <c r="W52" s="7"/>
      <c r="X52" s="27" t="str">
        <f t="shared" si="0"/>
        <v/>
      </c>
      <c r="Y52" s="3" t="s">
        <v>50</v>
      </c>
      <c r="Z52" s="3"/>
      <c r="AA52" s="3" t="s">
        <v>139</v>
      </c>
      <c r="AB52" s="18" t="s">
        <v>35</v>
      </c>
      <c r="AC52" s="3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7"/>
      <c r="AO52" s="38"/>
      <c r="AP52" s="38"/>
      <c r="AQ52" s="38"/>
      <c r="AR52" s="43"/>
      <c r="AS52" s="42"/>
      <c r="AT52" s="42"/>
      <c r="AU52" s="42"/>
      <c r="AV52" s="42"/>
      <c r="AW52" s="42"/>
      <c r="AX52" s="42"/>
      <c r="AY52" s="42"/>
      <c r="AZ52" s="42"/>
      <c r="BA52" s="42"/>
      <c r="BB52" s="42"/>
    </row>
    <row r="53" spans="1:54" s="5" customFormat="1" x14ac:dyDescent="0.25">
      <c r="A53" s="7"/>
      <c r="B53" s="77"/>
      <c r="C53" s="78"/>
      <c r="D53" s="78"/>
      <c r="E53" s="83"/>
      <c r="F53" s="78"/>
      <c r="G53" s="77"/>
      <c r="H53" s="78"/>
      <c r="I53" s="78"/>
      <c r="J53" s="78"/>
      <c r="K53" s="83"/>
      <c r="L53" s="78"/>
      <c r="M53" s="78"/>
      <c r="N53" s="77"/>
      <c r="O53" s="78"/>
      <c r="P53" s="77"/>
      <c r="Q53" s="78"/>
      <c r="R53" s="77"/>
      <c r="S53" s="78"/>
      <c r="T53" s="77"/>
      <c r="U53" s="78"/>
      <c r="V53" s="77"/>
      <c r="W53" s="7"/>
      <c r="X53" s="27" t="str">
        <f t="shared" si="0"/>
        <v/>
      </c>
      <c r="Y53" s="3" t="s">
        <v>115</v>
      </c>
      <c r="Z53" s="3" t="s">
        <v>103</v>
      </c>
      <c r="AA53" s="3" t="s">
        <v>57</v>
      </c>
      <c r="AB53" s="18" t="s">
        <v>35</v>
      </c>
      <c r="AC53" s="22">
        <v>0.309</v>
      </c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7"/>
      <c r="AO53" s="38"/>
      <c r="AP53" s="38"/>
      <c r="AQ53" s="38"/>
      <c r="AR53" s="43"/>
      <c r="AS53" s="42"/>
      <c r="AT53" s="42"/>
      <c r="AU53" s="42"/>
      <c r="AV53" s="42"/>
      <c r="AW53" s="42"/>
      <c r="AX53" s="42"/>
      <c r="AY53" s="42"/>
      <c r="AZ53" s="42"/>
      <c r="BA53" s="42"/>
      <c r="BB53" s="42"/>
    </row>
    <row r="54" spans="1:54" s="5" customFormat="1" x14ac:dyDescent="0.25">
      <c r="A54" s="7"/>
      <c r="B54" s="77"/>
      <c r="C54" s="78"/>
      <c r="D54" s="78"/>
      <c r="E54" s="83"/>
      <c r="F54" s="78"/>
      <c r="G54" s="77"/>
      <c r="H54" s="78"/>
      <c r="I54" s="78"/>
      <c r="J54" s="78"/>
      <c r="K54" s="83"/>
      <c r="L54" s="78"/>
      <c r="M54" s="78"/>
      <c r="N54" s="77"/>
      <c r="O54" s="78"/>
      <c r="P54" s="77"/>
      <c r="Q54" s="78"/>
      <c r="R54" s="77"/>
      <c r="S54" s="78"/>
      <c r="T54" s="77"/>
      <c r="U54" s="78"/>
      <c r="V54" s="77"/>
      <c r="W54" s="7"/>
      <c r="X54" s="27" t="str">
        <f t="shared" si="0"/>
        <v/>
      </c>
      <c r="Y54" s="3" t="s">
        <v>115</v>
      </c>
      <c r="Z54" s="3" t="s">
        <v>104</v>
      </c>
      <c r="AA54" s="3" t="s">
        <v>57</v>
      </c>
      <c r="AB54" s="18" t="s">
        <v>35</v>
      </c>
      <c r="AC54" s="22">
        <v>2.3E-2</v>
      </c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7"/>
      <c r="AO54" s="38"/>
      <c r="AP54" s="38"/>
      <c r="AQ54" s="38"/>
      <c r="AR54" s="43"/>
      <c r="AS54" s="42"/>
      <c r="AT54" s="42"/>
      <c r="AU54" s="42"/>
      <c r="AV54" s="42"/>
      <c r="AW54" s="42"/>
      <c r="AX54" s="42"/>
      <c r="AY54" s="42"/>
      <c r="AZ54" s="42"/>
      <c r="BA54" s="42"/>
      <c r="BB54" s="42"/>
    </row>
    <row r="55" spans="1:54" s="5" customFormat="1" x14ac:dyDescent="0.25">
      <c r="A55" s="7"/>
      <c r="B55" s="77"/>
      <c r="C55" s="78"/>
      <c r="D55" s="78"/>
      <c r="E55" s="83"/>
      <c r="F55" s="78"/>
      <c r="G55" s="77"/>
      <c r="H55" s="78"/>
      <c r="I55" s="78"/>
      <c r="J55" s="78"/>
      <c r="K55" s="83"/>
      <c r="L55" s="78"/>
      <c r="M55" s="78"/>
      <c r="N55" s="77"/>
      <c r="O55" s="78"/>
      <c r="P55" s="77"/>
      <c r="Q55" s="78"/>
      <c r="R55" s="77"/>
      <c r="S55" s="78"/>
      <c r="T55" s="77"/>
      <c r="U55" s="78"/>
      <c r="V55" s="77"/>
      <c r="W55" s="7"/>
      <c r="X55" s="27" t="str">
        <f t="shared" si="0"/>
        <v/>
      </c>
      <c r="Y55" s="3" t="s">
        <v>105</v>
      </c>
      <c r="Z55" s="3"/>
      <c r="AA55" s="3" t="s">
        <v>139</v>
      </c>
      <c r="AB55" s="18" t="s">
        <v>35</v>
      </c>
      <c r="AC55" s="22">
        <v>0</v>
      </c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7"/>
      <c r="AO55" s="38"/>
      <c r="AP55" s="38"/>
      <c r="AQ55" s="38"/>
      <c r="AR55" s="43"/>
      <c r="AS55" s="42"/>
      <c r="AT55" s="42"/>
      <c r="AU55" s="42"/>
      <c r="AV55" s="42"/>
      <c r="AW55" s="42"/>
      <c r="AX55" s="42"/>
      <c r="AY55" s="42"/>
      <c r="AZ55" s="42"/>
      <c r="BA55" s="42"/>
      <c r="BB55" s="42"/>
    </row>
    <row r="56" spans="1:54" s="5" customFormat="1" x14ac:dyDescent="0.25">
      <c r="A56" s="7"/>
      <c r="B56" s="77"/>
      <c r="C56" s="78"/>
      <c r="D56" s="78"/>
      <c r="E56" s="83"/>
      <c r="F56" s="78"/>
      <c r="G56" s="77"/>
      <c r="H56" s="78"/>
      <c r="I56" s="78"/>
      <c r="J56" s="78"/>
      <c r="K56" s="83"/>
      <c r="L56" s="78"/>
      <c r="M56" s="78"/>
      <c r="N56" s="77"/>
      <c r="O56" s="78"/>
      <c r="P56" s="77"/>
      <c r="Q56" s="78"/>
      <c r="R56" s="77"/>
      <c r="S56" s="78"/>
      <c r="T56" s="77"/>
      <c r="U56" s="78"/>
      <c r="V56" s="77"/>
      <c r="W56" s="7"/>
      <c r="X56" s="27" t="str">
        <f t="shared" ref="X56:X119" si="2">IFERROR(INDEX($B56:$V56,MATCH(TRUE,INDEX(($B56:$V56&lt;&gt;0),0),0)),"")</f>
        <v/>
      </c>
      <c r="Y56" s="3" t="s">
        <v>68</v>
      </c>
      <c r="Z56" s="3"/>
      <c r="AA56" s="3"/>
      <c r="AB56" s="18" t="s">
        <v>31</v>
      </c>
      <c r="AC56" s="3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7"/>
      <c r="AO56" s="38"/>
      <c r="AP56" s="38"/>
      <c r="AQ56" s="38"/>
      <c r="AR56" s="43"/>
      <c r="AS56" s="42"/>
      <c r="AT56" s="42"/>
      <c r="AU56" s="42"/>
      <c r="AV56" s="42"/>
      <c r="AW56" s="42"/>
      <c r="AX56" s="42"/>
      <c r="AY56" s="42"/>
      <c r="AZ56" s="42"/>
      <c r="BA56" s="42"/>
      <c r="BB56" s="42"/>
    </row>
    <row r="57" spans="1:54" s="5" customFormat="1" x14ac:dyDescent="0.25">
      <c r="A57" s="7"/>
      <c r="B57" s="77"/>
      <c r="C57" s="78"/>
      <c r="D57" s="78"/>
      <c r="E57" s="83"/>
      <c r="F57" s="78"/>
      <c r="G57" s="77"/>
      <c r="H57" s="78"/>
      <c r="I57" s="78"/>
      <c r="J57" s="78"/>
      <c r="K57" s="83"/>
      <c r="L57" s="78"/>
      <c r="M57" s="78"/>
      <c r="N57" s="77"/>
      <c r="O57" s="78"/>
      <c r="P57" s="77"/>
      <c r="Q57" s="78"/>
      <c r="R57" s="77"/>
      <c r="S57" s="78"/>
      <c r="T57" s="77"/>
      <c r="U57" s="78"/>
      <c r="V57" s="77"/>
      <c r="W57" s="7"/>
      <c r="X57" s="27" t="str">
        <f t="shared" si="2"/>
        <v/>
      </c>
      <c r="Y57" s="3" t="s">
        <v>43</v>
      </c>
      <c r="Z57" s="3"/>
      <c r="AA57" s="3" t="s">
        <v>45</v>
      </c>
      <c r="AB57" s="18" t="s">
        <v>31</v>
      </c>
      <c r="AC57" s="3">
        <v>1990</v>
      </c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7"/>
      <c r="AO57" s="38"/>
      <c r="AP57" s="38"/>
      <c r="AQ57" s="38"/>
      <c r="AR57" s="43"/>
      <c r="AS57" s="42"/>
      <c r="AT57" s="42"/>
      <c r="AU57" s="42"/>
      <c r="AV57" s="42"/>
      <c r="AW57" s="42"/>
      <c r="AX57" s="42"/>
      <c r="AY57" s="42"/>
      <c r="AZ57" s="42"/>
      <c r="BA57" s="42"/>
      <c r="BB57" s="42"/>
    </row>
    <row r="58" spans="1:54" s="5" customFormat="1" x14ac:dyDescent="0.25">
      <c r="A58" s="7"/>
      <c r="B58" s="77"/>
      <c r="C58" s="78"/>
      <c r="D58" s="78"/>
      <c r="E58" s="83"/>
      <c r="F58" s="78"/>
      <c r="G58" s="77"/>
      <c r="H58" s="78"/>
      <c r="I58" s="78"/>
      <c r="J58" s="78"/>
      <c r="K58" s="83"/>
      <c r="L58" s="78"/>
      <c r="M58" s="78"/>
      <c r="N58" s="77"/>
      <c r="O58" s="78"/>
      <c r="P58" s="77"/>
      <c r="Q58" s="78"/>
      <c r="R58" s="77"/>
      <c r="S58" s="78"/>
      <c r="T58" s="77"/>
      <c r="U58" s="78"/>
      <c r="V58" s="77"/>
      <c r="W58" s="7"/>
      <c r="X58" s="27" t="str">
        <f t="shared" si="2"/>
        <v/>
      </c>
      <c r="Y58" s="3" t="s">
        <v>42</v>
      </c>
      <c r="Z58" s="3"/>
      <c r="AA58" s="3" t="s">
        <v>45</v>
      </c>
      <c r="AB58" s="18" t="s">
        <v>31</v>
      </c>
      <c r="AC58" s="3">
        <v>2000</v>
      </c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7"/>
      <c r="AO58" s="38"/>
      <c r="AP58" s="38"/>
      <c r="AQ58" s="38"/>
      <c r="AR58" s="43"/>
      <c r="AS58" s="42"/>
      <c r="AT58" s="42"/>
      <c r="AU58" s="42"/>
      <c r="AV58" s="42"/>
      <c r="AW58" s="42"/>
      <c r="AX58" s="42"/>
      <c r="AY58" s="42"/>
      <c r="AZ58" s="42"/>
      <c r="BA58" s="42"/>
      <c r="BB58" s="42"/>
    </row>
    <row r="59" spans="1:54" s="5" customFormat="1" x14ac:dyDescent="0.25">
      <c r="A59" s="7"/>
      <c r="B59" s="77"/>
      <c r="C59" s="78"/>
      <c r="D59" s="78"/>
      <c r="E59" s="83"/>
      <c r="F59" s="78"/>
      <c r="G59" s="77"/>
      <c r="H59" s="78"/>
      <c r="I59" s="78"/>
      <c r="J59" s="78"/>
      <c r="K59" s="83"/>
      <c r="L59" s="78"/>
      <c r="M59" s="78"/>
      <c r="N59" s="77"/>
      <c r="O59" s="78"/>
      <c r="P59" s="77"/>
      <c r="Q59" s="78"/>
      <c r="R59" s="77"/>
      <c r="S59" s="78"/>
      <c r="T59" s="77"/>
      <c r="U59" s="78"/>
      <c r="V59" s="77"/>
      <c r="W59" s="7"/>
      <c r="X59" s="27" t="str">
        <f t="shared" si="2"/>
        <v/>
      </c>
      <c r="Y59" s="3" t="s">
        <v>44</v>
      </c>
      <c r="Z59" s="3"/>
      <c r="AA59" s="3" t="s">
        <v>10</v>
      </c>
      <c r="AB59" s="18" t="s">
        <v>31</v>
      </c>
      <c r="AC59" s="3">
        <v>25</v>
      </c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7"/>
      <c r="AO59" s="38"/>
      <c r="AP59" s="38"/>
      <c r="AQ59" s="38"/>
      <c r="AR59" s="43"/>
      <c r="AS59" s="42"/>
      <c r="AT59" s="42"/>
      <c r="AU59" s="42"/>
      <c r="AV59" s="42"/>
      <c r="AW59" s="42"/>
      <c r="AX59" s="42"/>
      <c r="AY59" s="42"/>
      <c r="AZ59" s="42"/>
      <c r="BA59" s="42"/>
      <c r="BB59" s="42"/>
    </row>
    <row r="60" spans="1:54" s="5" customFormat="1" x14ac:dyDescent="0.25">
      <c r="A60" s="7"/>
      <c r="B60" s="77"/>
      <c r="C60" s="78"/>
      <c r="D60" s="78"/>
      <c r="E60" s="83"/>
      <c r="F60" s="78"/>
      <c r="G60" s="77"/>
      <c r="H60" s="78"/>
      <c r="I60" s="78"/>
      <c r="J60" s="78"/>
      <c r="K60" s="83"/>
      <c r="L60" s="78"/>
      <c r="M60" s="78"/>
      <c r="N60" s="77"/>
      <c r="O60" s="78"/>
      <c r="P60" s="77"/>
      <c r="Q60" s="78"/>
      <c r="R60" s="77"/>
      <c r="S60" s="78"/>
      <c r="T60" s="77"/>
      <c r="U60" s="78"/>
      <c r="V60" s="77"/>
      <c r="W60" s="7"/>
      <c r="X60" s="27" t="str">
        <f t="shared" si="2"/>
        <v/>
      </c>
      <c r="Y60" s="3" t="s">
        <v>73</v>
      </c>
      <c r="Z60" s="3"/>
      <c r="AA60" s="3" t="s">
        <v>139</v>
      </c>
      <c r="AB60" s="18" t="s">
        <v>31</v>
      </c>
      <c r="AC60" s="3">
        <v>0.25</v>
      </c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7"/>
      <c r="AO60" s="38"/>
      <c r="AP60" s="38"/>
      <c r="AQ60" s="38"/>
      <c r="AR60" s="43"/>
      <c r="AS60" s="42"/>
      <c r="AT60" s="42"/>
      <c r="AU60" s="42"/>
      <c r="AV60" s="42"/>
      <c r="AW60" s="42"/>
      <c r="AX60" s="42"/>
      <c r="AY60" s="42"/>
      <c r="AZ60" s="42"/>
      <c r="BA60" s="42"/>
      <c r="BB60" s="42"/>
    </row>
    <row r="61" spans="1:54" s="5" customFormat="1" x14ac:dyDescent="0.25">
      <c r="A61" s="7"/>
      <c r="B61" s="77"/>
      <c r="C61" s="78"/>
      <c r="D61" s="78"/>
      <c r="E61" s="83"/>
      <c r="F61" s="78"/>
      <c r="G61" s="77"/>
      <c r="H61" s="78"/>
      <c r="I61" s="78"/>
      <c r="J61" s="78"/>
      <c r="K61" s="83"/>
      <c r="L61" s="78"/>
      <c r="M61" s="78"/>
      <c r="N61" s="77"/>
      <c r="O61" s="78"/>
      <c r="P61" s="77"/>
      <c r="Q61" s="78"/>
      <c r="R61" s="77"/>
      <c r="S61" s="78"/>
      <c r="T61" s="77"/>
      <c r="U61" s="78"/>
      <c r="V61" s="77"/>
      <c r="W61" s="7"/>
      <c r="X61" s="27" t="str">
        <f t="shared" si="2"/>
        <v/>
      </c>
      <c r="Y61" s="3" t="s">
        <v>46</v>
      </c>
      <c r="Z61" s="3"/>
      <c r="AA61" s="3" t="s">
        <v>74</v>
      </c>
      <c r="AB61" s="18" t="s">
        <v>31</v>
      </c>
      <c r="AC61" s="3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7"/>
      <c r="AO61" s="38"/>
      <c r="AP61" s="38"/>
      <c r="AQ61" s="38"/>
      <c r="AR61" s="43"/>
      <c r="AS61" s="42"/>
      <c r="AT61" s="42"/>
      <c r="AU61" s="42"/>
      <c r="AV61" s="42"/>
      <c r="AW61" s="42"/>
      <c r="AX61" s="42"/>
      <c r="AY61" s="42"/>
      <c r="AZ61" s="42"/>
      <c r="BA61" s="42"/>
      <c r="BB61" s="42"/>
    </row>
    <row r="62" spans="1:54" s="5" customFormat="1" x14ac:dyDescent="0.25">
      <c r="A62" s="7"/>
      <c r="B62" s="77"/>
      <c r="C62" s="78"/>
      <c r="D62" s="78"/>
      <c r="E62" s="83"/>
      <c r="F62" s="78"/>
      <c r="G62" s="77"/>
      <c r="H62" s="78"/>
      <c r="I62" s="78"/>
      <c r="J62" s="78"/>
      <c r="K62" s="83"/>
      <c r="L62" s="78"/>
      <c r="M62" s="78"/>
      <c r="N62" s="77"/>
      <c r="O62" s="78"/>
      <c r="P62" s="77"/>
      <c r="Q62" s="78"/>
      <c r="R62" s="77"/>
      <c r="S62" s="78"/>
      <c r="T62" s="77"/>
      <c r="U62" s="78"/>
      <c r="V62" s="77"/>
      <c r="W62" s="7"/>
      <c r="X62" s="27" t="str">
        <f t="shared" si="2"/>
        <v/>
      </c>
      <c r="Y62" s="3" t="s">
        <v>53</v>
      </c>
      <c r="Z62" s="3"/>
      <c r="AA62" s="3" t="s">
        <v>74</v>
      </c>
      <c r="AB62" s="18" t="s">
        <v>31</v>
      </c>
      <c r="AC62" s="3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7"/>
      <c r="AO62" s="38"/>
      <c r="AP62" s="38"/>
      <c r="AQ62" s="38"/>
      <c r="AR62" s="43"/>
      <c r="AS62" s="42"/>
      <c r="AT62" s="42"/>
      <c r="AU62" s="42"/>
      <c r="AV62" s="42"/>
      <c r="AW62" s="42"/>
      <c r="AX62" s="42"/>
      <c r="AY62" s="42"/>
      <c r="AZ62" s="42"/>
      <c r="BA62" s="42"/>
      <c r="BB62" s="42"/>
    </row>
    <row r="63" spans="1:54" s="5" customFormat="1" x14ac:dyDescent="0.25">
      <c r="A63" s="7"/>
      <c r="B63" s="77"/>
      <c r="C63" s="78"/>
      <c r="D63" s="78"/>
      <c r="E63" s="83"/>
      <c r="F63" s="78"/>
      <c r="G63" s="77"/>
      <c r="H63" s="78"/>
      <c r="I63" s="78"/>
      <c r="J63" s="78"/>
      <c r="K63" s="83"/>
      <c r="L63" s="78"/>
      <c r="M63" s="78"/>
      <c r="N63" s="77"/>
      <c r="O63" s="78"/>
      <c r="P63" s="77"/>
      <c r="Q63" s="78"/>
      <c r="R63" s="77"/>
      <c r="S63" s="78"/>
      <c r="T63" s="77"/>
      <c r="U63" s="78"/>
      <c r="V63" s="77"/>
      <c r="W63" s="7"/>
      <c r="X63" s="27" t="str">
        <f t="shared" si="2"/>
        <v/>
      </c>
      <c r="Y63" s="3" t="s">
        <v>49</v>
      </c>
      <c r="Z63" s="3"/>
      <c r="AA63" s="3" t="s">
        <v>139</v>
      </c>
      <c r="AB63" s="18" t="s">
        <v>31</v>
      </c>
      <c r="AC63" s="3">
        <v>1</v>
      </c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7"/>
      <c r="AO63" s="38"/>
      <c r="AP63" s="38"/>
      <c r="AQ63" s="38"/>
      <c r="AR63" s="43"/>
      <c r="AS63" s="42"/>
      <c r="AT63" s="42"/>
      <c r="AU63" s="42"/>
      <c r="AV63" s="42"/>
      <c r="AW63" s="42"/>
      <c r="AX63" s="42"/>
      <c r="AY63" s="42"/>
      <c r="AZ63" s="42"/>
      <c r="BA63" s="42"/>
      <c r="BB63" s="42"/>
    </row>
    <row r="64" spans="1:54" s="5" customFormat="1" x14ac:dyDescent="0.25">
      <c r="A64" s="7"/>
      <c r="B64" s="77"/>
      <c r="C64" s="78"/>
      <c r="D64" s="78"/>
      <c r="E64" s="83"/>
      <c r="F64" s="78"/>
      <c r="G64" s="77"/>
      <c r="H64" s="78"/>
      <c r="I64" s="78"/>
      <c r="J64" s="78"/>
      <c r="K64" s="83"/>
      <c r="L64" s="78"/>
      <c r="M64" s="78"/>
      <c r="N64" s="77"/>
      <c r="O64" s="78"/>
      <c r="P64" s="77"/>
      <c r="Q64" s="78"/>
      <c r="R64" s="77"/>
      <c r="S64" s="78"/>
      <c r="T64" s="77"/>
      <c r="U64" s="78"/>
      <c r="V64" s="77"/>
      <c r="W64" s="7"/>
      <c r="X64" s="27" t="str">
        <f t="shared" si="2"/>
        <v/>
      </c>
      <c r="Y64" s="3" t="s">
        <v>50</v>
      </c>
      <c r="Z64" s="3"/>
      <c r="AA64" s="3" t="s">
        <v>139</v>
      </c>
      <c r="AB64" s="18" t="s">
        <v>31</v>
      </c>
      <c r="AC64" s="3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7"/>
      <c r="AO64" s="38"/>
      <c r="AP64" s="38"/>
      <c r="AQ64" s="38"/>
      <c r="AR64" s="43"/>
      <c r="AS64" s="42"/>
      <c r="AT64" s="42"/>
      <c r="AU64" s="42"/>
      <c r="AV64" s="42"/>
      <c r="AW64" s="42"/>
      <c r="AX64" s="42"/>
      <c r="AY64" s="42"/>
      <c r="AZ64" s="42"/>
      <c r="BA64" s="42"/>
      <c r="BB64" s="42"/>
    </row>
    <row r="65" spans="1:54" s="5" customFormat="1" x14ac:dyDescent="0.25">
      <c r="A65" s="7"/>
      <c r="B65" s="77"/>
      <c r="C65" s="78"/>
      <c r="D65" s="78"/>
      <c r="E65" s="83"/>
      <c r="F65" s="78"/>
      <c r="G65" s="77"/>
      <c r="H65" s="78"/>
      <c r="I65" s="78"/>
      <c r="J65" s="78"/>
      <c r="K65" s="83"/>
      <c r="L65" s="78"/>
      <c r="M65" s="78"/>
      <c r="N65" s="77"/>
      <c r="O65" s="78"/>
      <c r="P65" s="77"/>
      <c r="Q65" s="78"/>
      <c r="R65" s="77"/>
      <c r="S65" s="78"/>
      <c r="T65" s="77"/>
      <c r="U65" s="78"/>
      <c r="V65" s="77"/>
      <c r="W65" s="7"/>
      <c r="X65" s="27" t="str">
        <f t="shared" si="2"/>
        <v/>
      </c>
      <c r="Y65" s="3" t="s">
        <v>115</v>
      </c>
      <c r="Z65" s="3" t="s">
        <v>103</v>
      </c>
      <c r="AA65" s="3" t="s">
        <v>57</v>
      </c>
      <c r="AB65" s="18" t="s">
        <v>31</v>
      </c>
      <c r="AC65" s="22">
        <v>0.63300000000000001</v>
      </c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7"/>
      <c r="AO65" s="38"/>
      <c r="AP65" s="38"/>
      <c r="AQ65" s="38"/>
      <c r="AR65" s="43"/>
      <c r="AS65" s="42"/>
      <c r="AT65" s="42"/>
      <c r="AU65" s="42"/>
      <c r="AV65" s="42"/>
      <c r="AW65" s="42"/>
      <c r="AX65" s="42"/>
      <c r="AY65" s="42"/>
      <c r="AZ65" s="42"/>
      <c r="BA65" s="42"/>
      <c r="BB65" s="42"/>
    </row>
    <row r="66" spans="1:54" s="5" customFormat="1" x14ac:dyDescent="0.25">
      <c r="A66" s="7"/>
      <c r="B66" s="77"/>
      <c r="C66" s="78"/>
      <c r="D66" s="78"/>
      <c r="E66" s="83"/>
      <c r="F66" s="78"/>
      <c r="G66" s="77"/>
      <c r="H66" s="78"/>
      <c r="I66" s="78"/>
      <c r="J66" s="78"/>
      <c r="K66" s="83"/>
      <c r="L66" s="78"/>
      <c r="M66" s="78"/>
      <c r="N66" s="77"/>
      <c r="O66" s="78"/>
      <c r="P66" s="77"/>
      <c r="Q66" s="78"/>
      <c r="R66" s="77"/>
      <c r="S66" s="78"/>
      <c r="T66" s="77"/>
      <c r="U66" s="78"/>
      <c r="V66" s="77"/>
      <c r="W66" s="7"/>
      <c r="X66" s="27" t="str">
        <f t="shared" si="2"/>
        <v/>
      </c>
      <c r="Y66" s="3" t="s">
        <v>115</v>
      </c>
      <c r="Z66" s="3" t="s">
        <v>104</v>
      </c>
      <c r="AA66" s="3" t="s">
        <v>57</v>
      </c>
      <c r="AB66" s="18" t="s">
        <v>31</v>
      </c>
      <c r="AC66" s="22">
        <v>6.9000000000000006E-2</v>
      </c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7"/>
      <c r="AO66" s="38"/>
      <c r="AP66" s="38"/>
      <c r="AQ66" s="38"/>
      <c r="AR66" s="43"/>
      <c r="AS66" s="42"/>
      <c r="AT66" s="42"/>
      <c r="AU66" s="42"/>
      <c r="AV66" s="42"/>
      <c r="AW66" s="42"/>
      <c r="AX66" s="42"/>
      <c r="AY66" s="42"/>
      <c r="AZ66" s="42"/>
      <c r="BA66" s="42"/>
      <c r="BB66" s="42"/>
    </row>
    <row r="67" spans="1:54" s="5" customFormat="1" x14ac:dyDescent="0.25">
      <c r="A67" s="7"/>
      <c r="B67" s="77"/>
      <c r="C67" s="78"/>
      <c r="D67" s="78"/>
      <c r="E67" s="83"/>
      <c r="F67" s="78"/>
      <c r="G67" s="77"/>
      <c r="H67" s="78"/>
      <c r="I67" s="78"/>
      <c r="J67" s="78"/>
      <c r="K67" s="83"/>
      <c r="L67" s="78"/>
      <c r="M67" s="78"/>
      <c r="N67" s="77"/>
      <c r="O67" s="78"/>
      <c r="P67" s="77"/>
      <c r="Q67" s="78"/>
      <c r="R67" s="77"/>
      <c r="S67" s="78"/>
      <c r="T67" s="77"/>
      <c r="U67" s="78"/>
      <c r="V67" s="77"/>
      <c r="W67" s="7"/>
      <c r="X67" s="27" t="str">
        <f t="shared" si="2"/>
        <v/>
      </c>
      <c r="Y67" s="3" t="s">
        <v>105</v>
      </c>
      <c r="Z67" s="3"/>
      <c r="AA67" s="3" t="s">
        <v>139</v>
      </c>
      <c r="AB67" s="18" t="s">
        <v>31</v>
      </c>
      <c r="AC67" s="22">
        <v>0.83299999999999996</v>
      </c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7"/>
      <c r="AO67" s="38"/>
      <c r="AP67" s="38"/>
      <c r="AQ67" s="38"/>
      <c r="AR67" s="43"/>
      <c r="AS67" s="42"/>
      <c r="AT67" s="42"/>
      <c r="AU67" s="42"/>
      <c r="AV67" s="42"/>
      <c r="AW67" s="42"/>
      <c r="AX67" s="42"/>
      <c r="AY67" s="42"/>
      <c r="AZ67" s="42"/>
      <c r="BA67" s="42"/>
      <c r="BB67" s="42"/>
    </row>
    <row r="68" spans="1:54" s="5" customFormat="1" x14ac:dyDescent="0.25">
      <c r="A68" s="7"/>
      <c r="B68" s="77"/>
      <c r="C68" s="78"/>
      <c r="D68" s="78"/>
      <c r="E68" s="83"/>
      <c r="F68" s="78"/>
      <c r="G68" s="77"/>
      <c r="H68" s="78"/>
      <c r="I68" s="78"/>
      <c r="J68" s="78"/>
      <c r="K68" s="83"/>
      <c r="L68" s="78"/>
      <c r="M68" s="78"/>
      <c r="N68" s="77"/>
      <c r="O68" s="78"/>
      <c r="P68" s="77"/>
      <c r="Q68" s="78"/>
      <c r="R68" s="77"/>
      <c r="S68" s="78"/>
      <c r="T68" s="77"/>
      <c r="U68" s="78"/>
      <c r="V68" s="77"/>
      <c r="W68" s="7"/>
      <c r="X68" s="27" t="str">
        <f t="shared" si="2"/>
        <v/>
      </c>
      <c r="Y68" s="3" t="s">
        <v>68</v>
      </c>
      <c r="Z68" s="3"/>
      <c r="AA68" s="3"/>
      <c r="AB68" s="18" t="s">
        <v>32</v>
      </c>
      <c r="AC68" s="3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7"/>
      <c r="AO68" s="38"/>
      <c r="AP68" s="38"/>
      <c r="AQ68" s="38"/>
      <c r="AR68" s="43"/>
      <c r="AS68" s="42"/>
      <c r="AT68" s="42"/>
      <c r="AU68" s="42"/>
      <c r="AV68" s="42"/>
      <c r="AW68" s="42"/>
      <c r="AX68" s="42"/>
      <c r="AY68" s="42"/>
      <c r="AZ68" s="42"/>
      <c r="BA68" s="42"/>
      <c r="BB68" s="42"/>
    </row>
    <row r="69" spans="1:54" s="5" customFormat="1" x14ac:dyDescent="0.25">
      <c r="A69" s="7"/>
      <c r="B69" s="77"/>
      <c r="C69" s="78"/>
      <c r="D69" s="78"/>
      <c r="E69" s="83"/>
      <c r="F69" s="78"/>
      <c r="G69" s="77"/>
      <c r="H69" s="78"/>
      <c r="I69" s="78"/>
      <c r="J69" s="78"/>
      <c r="K69" s="83"/>
      <c r="L69" s="78"/>
      <c r="M69" s="78"/>
      <c r="N69" s="77"/>
      <c r="O69" s="78"/>
      <c r="P69" s="77"/>
      <c r="Q69" s="78"/>
      <c r="R69" s="77"/>
      <c r="S69" s="78"/>
      <c r="T69" s="77"/>
      <c r="U69" s="78"/>
      <c r="V69" s="77"/>
      <c r="W69" s="7"/>
      <c r="X69" s="27" t="str">
        <f t="shared" si="2"/>
        <v/>
      </c>
      <c r="Y69" s="3" t="s">
        <v>43</v>
      </c>
      <c r="Z69" s="3"/>
      <c r="AA69" s="3" t="s">
        <v>45</v>
      </c>
      <c r="AB69" s="18" t="s">
        <v>32</v>
      </c>
      <c r="AC69" s="3">
        <v>1990</v>
      </c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7"/>
      <c r="AO69" s="38"/>
      <c r="AP69" s="38"/>
      <c r="AQ69" s="38"/>
      <c r="AR69" s="43"/>
      <c r="AS69" s="42"/>
      <c r="AT69" s="42"/>
      <c r="AU69" s="42"/>
      <c r="AV69" s="42"/>
      <c r="AW69" s="42"/>
      <c r="AX69" s="42"/>
      <c r="AY69" s="42"/>
      <c r="AZ69" s="42"/>
      <c r="BA69" s="42"/>
      <c r="BB69" s="42"/>
    </row>
    <row r="70" spans="1:54" s="5" customFormat="1" x14ac:dyDescent="0.25">
      <c r="A70" s="7"/>
      <c r="B70" s="77"/>
      <c r="C70" s="78"/>
      <c r="D70" s="78"/>
      <c r="E70" s="83"/>
      <c r="F70" s="78"/>
      <c r="G70" s="77"/>
      <c r="H70" s="78"/>
      <c r="I70" s="78"/>
      <c r="J70" s="78"/>
      <c r="K70" s="83"/>
      <c r="L70" s="78"/>
      <c r="M70" s="78"/>
      <c r="N70" s="77"/>
      <c r="O70" s="78"/>
      <c r="P70" s="77"/>
      <c r="Q70" s="78"/>
      <c r="R70" s="77"/>
      <c r="S70" s="78"/>
      <c r="T70" s="77"/>
      <c r="U70" s="78"/>
      <c r="V70" s="77"/>
      <c r="W70" s="7"/>
      <c r="X70" s="27" t="str">
        <f t="shared" si="2"/>
        <v/>
      </c>
      <c r="Y70" s="3" t="s">
        <v>42</v>
      </c>
      <c r="Z70" s="3"/>
      <c r="AA70" s="3" t="s">
        <v>45</v>
      </c>
      <c r="AB70" s="18" t="s">
        <v>32</v>
      </c>
      <c r="AC70" s="3">
        <v>2000</v>
      </c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7"/>
      <c r="AO70" s="38"/>
      <c r="AP70" s="38"/>
      <c r="AQ70" s="38"/>
      <c r="AR70" s="43"/>
      <c r="AS70" s="42"/>
      <c r="AT70" s="42"/>
      <c r="AU70" s="42"/>
      <c r="AV70" s="42"/>
      <c r="AW70" s="42"/>
      <c r="AX70" s="42"/>
      <c r="AY70" s="42"/>
      <c r="AZ70" s="42"/>
      <c r="BA70" s="42"/>
      <c r="BB70" s="42"/>
    </row>
    <row r="71" spans="1:54" s="5" customFormat="1" x14ac:dyDescent="0.25">
      <c r="A71" s="7"/>
      <c r="B71" s="77"/>
      <c r="C71" s="78"/>
      <c r="D71" s="78"/>
      <c r="E71" s="83"/>
      <c r="F71" s="78"/>
      <c r="G71" s="77"/>
      <c r="H71" s="78"/>
      <c r="I71" s="78"/>
      <c r="J71" s="78"/>
      <c r="K71" s="83"/>
      <c r="L71" s="78"/>
      <c r="M71" s="78"/>
      <c r="N71" s="77"/>
      <c r="O71" s="78"/>
      <c r="P71" s="77"/>
      <c r="Q71" s="78"/>
      <c r="R71" s="77"/>
      <c r="S71" s="78"/>
      <c r="T71" s="77"/>
      <c r="U71" s="78"/>
      <c r="V71" s="77"/>
      <c r="W71" s="7"/>
      <c r="X71" s="27" t="str">
        <f t="shared" si="2"/>
        <v/>
      </c>
      <c r="Y71" s="3" t="s">
        <v>44</v>
      </c>
      <c r="Z71" s="3"/>
      <c r="AA71" s="3" t="s">
        <v>10</v>
      </c>
      <c r="AB71" s="18" t="s">
        <v>32</v>
      </c>
      <c r="AC71" s="3">
        <v>25</v>
      </c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7"/>
      <c r="AO71" s="38"/>
      <c r="AP71" s="38"/>
      <c r="AQ71" s="38"/>
      <c r="AR71" s="43"/>
      <c r="AS71" s="42"/>
      <c r="AT71" s="42"/>
      <c r="AU71" s="42"/>
      <c r="AV71" s="42"/>
      <c r="AW71" s="42"/>
      <c r="AX71" s="42"/>
      <c r="AY71" s="42"/>
      <c r="AZ71" s="42"/>
      <c r="BA71" s="42"/>
      <c r="BB71" s="42"/>
    </row>
    <row r="72" spans="1:54" s="5" customFormat="1" x14ac:dyDescent="0.25">
      <c r="A72" s="7"/>
      <c r="B72" s="77"/>
      <c r="C72" s="78"/>
      <c r="D72" s="78"/>
      <c r="E72" s="83"/>
      <c r="F72" s="78"/>
      <c r="G72" s="77"/>
      <c r="H72" s="78"/>
      <c r="I72" s="78"/>
      <c r="J72" s="78"/>
      <c r="K72" s="83"/>
      <c r="L72" s="78"/>
      <c r="M72" s="78"/>
      <c r="N72" s="77"/>
      <c r="O72" s="78"/>
      <c r="P72" s="77"/>
      <c r="Q72" s="78"/>
      <c r="R72" s="77"/>
      <c r="S72" s="78"/>
      <c r="T72" s="77"/>
      <c r="U72" s="78"/>
      <c r="V72" s="77"/>
      <c r="W72" s="7"/>
      <c r="X72" s="27" t="str">
        <f t="shared" si="2"/>
        <v/>
      </c>
      <c r="Y72" s="3" t="s">
        <v>73</v>
      </c>
      <c r="Z72" s="3"/>
      <c r="AA72" s="3" t="s">
        <v>139</v>
      </c>
      <c r="AB72" s="18" t="s">
        <v>32</v>
      </c>
      <c r="AC72" s="3">
        <v>0.25</v>
      </c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7"/>
      <c r="AO72" s="38"/>
      <c r="AP72" s="38"/>
      <c r="AQ72" s="38"/>
      <c r="AR72" s="43"/>
      <c r="AS72" s="42"/>
      <c r="AT72" s="42"/>
      <c r="AU72" s="42"/>
      <c r="AV72" s="42"/>
      <c r="AW72" s="42"/>
      <c r="AX72" s="42"/>
      <c r="AY72" s="42"/>
      <c r="AZ72" s="42"/>
      <c r="BA72" s="42"/>
      <c r="BB72" s="42"/>
    </row>
    <row r="73" spans="1:54" s="5" customFormat="1" x14ac:dyDescent="0.25">
      <c r="A73" s="7"/>
      <c r="B73" s="77"/>
      <c r="C73" s="78"/>
      <c r="D73" s="78"/>
      <c r="E73" s="83"/>
      <c r="F73" s="78"/>
      <c r="G73" s="77"/>
      <c r="H73" s="78"/>
      <c r="I73" s="78"/>
      <c r="J73" s="78"/>
      <c r="K73" s="83"/>
      <c r="L73" s="78"/>
      <c r="M73" s="78"/>
      <c r="N73" s="77"/>
      <c r="O73" s="78"/>
      <c r="P73" s="77"/>
      <c r="Q73" s="78"/>
      <c r="R73" s="77"/>
      <c r="S73" s="78"/>
      <c r="T73" s="77"/>
      <c r="U73" s="78"/>
      <c r="V73" s="77"/>
      <c r="W73" s="7"/>
      <c r="X73" s="27" t="str">
        <f t="shared" si="2"/>
        <v/>
      </c>
      <c r="Y73" s="3" t="s">
        <v>46</v>
      </c>
      <c r="Z73" s="3"/>
      <c r="AA73" s="3" t="s">
        <v>74</v>
      </c>
      <c r="AB73" s="18" t="s">
        <v>32</v>
      </c>
      <c r="AC73" s="3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7"/>
      <c r="AO73" s="38"/>
      <c r="AP73" s="38"/>
      <c r="AQ73" s="38"/>
      <c r="AR73" s="43"/>
      <c r="AS73" s="42"/>
      <c r="AT73" s="42"/>
      <c r="AU73" s="42"/>
      <c r="AV73" s="42"/>
      <c r="AW73" s="42"/>
      <c r="AX73" s="42"/>
      <c r="AY73" s="42"/>
      <c r="AZ73" s="42"/>
      <c r="BA73" s="42"/>
      <c r="BB73" s="42"/>
    </row>
    <row r="74" spans="1:54" s="5" customFormat="1" x14ac:dyDescent="0.25">
      <c r="A74" s="7"/>
      <c r="B74" s="77"/>
      <c r="C74" s="78"/>
      <c r="D74" s="78"/>
      <c r="E74" s="83"/>
      <c r="F74" s="78"/>
      <c r="G74" s="77"/>
      <c r="H74" s="78"/>
      <c r="I74" s="78"/>
      <c r="J74" s="78"/>
      <c r="K74" s="83"/>
      <c r="L74" s="78"/>
      <c r="M74" s="78"/>
      <c r="N74" s="77"/>
      <c r="O74" s="78"/>
      <c r="P74" s="77"/>
      <c r="Q74" s="78"/>
      <c r="R74" s="77"/>
      <c r="S74" s="78"/>
      <c r="T74" s="77"/>
      <c r="U74" s="78"/>
      <c r="V74" s="77"/>
      <c r="W74" s="7"/>
      <c r="X74" s="27" t="str">
        <f t="shared" si="2"/>
        <v/>
      </c>
      <c r="Y74" s="3" t="s">
        <v>53</v>
      </c>
      <c r="Z74" s="3"/>
      <c r="AA74" s="3" t="s">
        <v>74</v>
      </c>
      <c r="AB74" s="18" t="s">
        <v>32</v>
      </c>
      <c r="AC74" s="3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7"/>
      <c r="AO74" s="38"/>
      <c r="AP74" s="38"/>
      <c r="AQ74" s="38"/>
      <c r="AR74" s="43"/>
      <c r="AS74" s="42"/>
      <c r="AT74" s="42"/>
      <c r="AU74" s="42"/>
      <c r="AV74" s="42"/>
      <c r="AW74" s="42"/>
      <c r="AX74" s="42"/>
      <c r="AY74" s="42"/>
      <c r="AZ74" s="42"/>
      <c r="BA74" s="42"/>
      <c r="BB74" s="42"/>
    </row>
    <row r="75" spans="1:54" s="5" customFormat="1" x14ac:dyDescent="0.25">
      <c r="A75" s="7"/>
      <c r="B75" s="77"/>
      <c r="C75" s="78"/>
      <c r="D75" s="78"/>
      <c r="E75" s="83"/>
      <c r="F75" s="78"/>
      <c r="G75" s="77"/>
      <c r="H75" s="78"/>
      <c r="I75" s="78"/>
      <c r="J75" s="78"/>
      <c r="K75" s="83"/>
      <c r="L75" s="78"/>
      <c r="M75" s="78"/>
      <c r="N75" s="77"/>
      <c r="O75" s="78"/>
      <c r="P75" s="77"/>
      <c r="Q75" s="78"/>
      <c r="R75" s="77"/>
      <c r="S75" s="78"/>
      <c r="T75" s="77"/>
      <c r="U75" s="78"/>
      <c r="V75" s="77"/>
      <c r="W75" s="7"/>
      <c r="X75" s="27" t="str">
        <f t="shared" si="2"/>
        <v/>
      </c>
      <c r="Y75" s="3" t="s">
        <v>49</v>
      </c>
      <c r="Z75" s="3"/>
      <c r="AA75" s="3" t="s">
        <v>139</v>
      </c>
      <c r="AB75" s="18" t="s">
        <v>32</v>
      </c>
      <c r="AC75" s="3">
        <v>1</v>
      </c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7"/>
      <c r="AO75" s="38"/>
      <c r="AP75" s="38"/>
      <c r="AQ75" s="38"/>
      <c r="AR75" s="43"/>
      <c r="AS75" s="42"/>
      <c r="AT75" s="42"/>
      <c r="AU75" s="42"/>
      <c r="AV75" s="42"/>
      <c r="AW75" s="42"/>
      <c r="AX75" s="42"/>
      <c r="AY75" s="42"/>
      <c r="AZ75" s="42"/>
      <c r="BA75" s="42"/>
      <c r="BB75" s="42"/>
    </row>
    <row r="76" spans="1:54" s="5" customFormat="1" x14ac:dyDescent="0.25">
      <c r="A76" s="7"/>
      <c r="B76" s="77"/>
      <c r="C76" s="78"/>
      <c r="D76" s="78"/>
      <c r="E76" s="83"/>
      <c r="F76" s="78"/>
      <c r="G76" s="77"/>
      <c r="H76" s="78"/>
      <c r="I76" s="78"/>
      <c r="J76" s="78"/>
      <c r="K76" s="83"/>
      <c r="L76" s="78"/>
      <c r="M76" s="78"/>
      <c r="N76" s="77"/>
      <c r="O76" s="78"/>
      <c r="P76" s="77"/>
      <c r="Q76" s="78"/>
      <c r="R76" s="77"/>
      <c r="S76" s="78"/>
      <c r="T76" s="77"/>
      <c r="U76" s="78"/>
      <c r="V76" s="77"/>
      <c r="W76" s="7"/>
      <c r="X76" s="27" t="str">
        <f t="shared" si="2"/>
        <v/>
      </c>
      <c r="Y76" s="3" t="s">
        <v>50</v>
      </c>
      <c r="Z76" s="3"/>
      <c r="AA76" s="3" t="s">
        <v>139</v>
      </c>
      <c r="AB76" s="18" t="s">
        <v>32</v>
      </c>
      <c r="AC76" s="3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7"/>
      <c r="AO76" s="38"/>
      <c r="AP76" s="38"/>
      <c r="AQ76" s="38"/>
      <c r="AR76" s="43"/>
      <c r="AS76" s="42"/>
      <c r="AT76" s="42"/>
      <c r="AU76" s="42"/>
      <c r="AV76" s="42"/>
      <c r="AW76" s="42"/>
      <c r="AX76" s="42"/>
      <c r="AY76" s="42"/>
      <c r="AZ76" s="42"/>
      <c r="BA76" s="42"/>
      <c r="BB76" s="42"/>
    </row>
    <row r="77" spans="1:54" s="5" customFormat="1" x14ac:dyDescent="0.25">
      <c r="A77" s="7"/>
      <c r="B77" s="77"/>
      <c r="C77" s="78"/>
      <c r="D77" s="78"/>
      <c r="E77" s="83"/>
      <c r="F77" s="78"/>
      <c r="G77" s="77"/>
      <c r="H77" s="78"/>
      <c r="I77" s="78"/>
      <c r="J77" s="78"/>
      <c r="K77" s="83"/>
      <c r="L77" s="78"/>
      <c r="M77" s="78"/>
      <c r="N77" s="77"/>
      <c r="O77" s="78"/>
      <c r="P77" s="77"/>
      <c r="Q77" s="78"/>
      <c r="R77" s="77"/>
      <c r="S77" s="78"/>
      <c r="T77" s="77"/>
      <c r="U77" s="78"/>
      <c r="V77" s="77"/>
      <c r="W77" s="7"/>
      <c r="X77" s="27" t="str">
        <f t="shared" si="2"/>
        <v/>
      </c>
      <c r="Y77" s="3" t="s">
        <v>115</v>
      </c>
      <c r="Z77" s="3" t="s">
        <v>103</v>
      </c>
      <c r="AA77" s="3" t="s">
        <v>57</v>
      </c>
      <c r="AB77" s="18" t="s">
        <v>32</v>
      </c>
      <c r="AC77" s="22">
        <v>0.997</v>
      </c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7"/>
      <c r="AO77" s="38"/>
      <c r="AP77" s="38"/>
      <c r="AQ77" s="38"/>
      <c r="AR77" s="43"/>
      <c r="AS77" s="42"/>
      <c r="AT77" s="42"/>
      <c r="AU77" s="42"/>
      <c r="AV77" s="42"/>
      <c r="AW77" s="42"/>
      <c r="AX77" s="42"/>
      <c r="AY77" s="42"/>
      <c r="AZ77" s="42"/>
      <c r="BA77" s="42"/>
      <c r="BB77" s="42"/>
    </row>
    <row r="78" spans="1:54" s="5" customFormat="1" x14ac:dyDescent="0.25">
      <c r="A78" s="7"/>
      <c r="B78" s="77"/>
      <c r="C78" s="78"/>
      <c r="D78" s="78"/>
      <c r="E78" s="83"/>
      <c r="F78" s="78"/>
      <c r="G78" s="77"/>
      <c r="H78" s="78"/>
      <c r="I78" s="78"/>
      <c r="J78" s="78"/>
      <c r="K78" s="83"/>
      <c r="L78" s="78"/>
      <c r="M78" s="78"/>
      <c r="N78" s="77"/>
      <c r="O78" s="78"/>
      <c r="P78" s="77"/>
      <c r="Q78" s="78"/>
      <c r="R78" s="77"/>
      <c r="S78" s="78"/>
      <c r="T78" s="77"/>
      <c r="U78" s="78"/>
      <c r="V78" s="77"/>
      <c r="W78" s="7"/>
      <c r="X78" s="27" t="str">
        <f t="shared" si="2"/>
        <v/>
      </c>
      <c r="Y78" s="3" t="s">
        <v>115</v>
      </c>
      <c r="Z78" s="3" t="s">
        <v>104</v>
      </c>
      <c r="AA78" s="3" t="s">
        <v>57</v>
      </c>
      <c r="AB78" s="18" t="s">
        <v>32</v>
      </c>
      <c r="AC78" s="22">
        <v>0.109</v>
      </c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7"/>
      <c r="AO78" s="38"/>
      <c r="AP78" s="38"/>
      <c r="AQ78" s="38"/>
      <c r="AR78" s="43"/>
      <c r="AS78" s="42"/>
      <c r="AT78" s="42"/>
      <c r="AU78" s="42"/>
      <c r="AV78" s="42"/>
      <c r="AW78" s="42"/>
      <c r="AX78" s="42"/>
      <c r="AY78" s="42"/>
      <c r="AZ78" s="42"/>
      <c r="BA78" s="42"/>
      <c r="BB78" s="42"/>
    </row>
    <row r="79" spans="1:54" s="5" customFormat="1" x14ac:dyDescent="0.25">
      <c r="A79" s="7"/>
      <c r="B79" s="77"/>
      <c r="C79" s="78"/>
      <c r="D79" s="78"/>
      <c r="E79" s="83"/>
      <c r="F79" s="78"/>
      <c r="G79" s="77"/>
      <c r="H79" s="78"/>
      <c r="I79" s="78"/>
      <c r="J79" s="78"/>
      <c r="K79" s="83"/>
      <c r="L79" s="78"/>
      <c r="M79" s="78"/>
      <c r="N79" s="77"/>
      <c r="O79" s="78"/>
      <c r="P79" s="77"/>
      <c r="Q79" s="78"/>
      <c r="R79" s="77"/>
      <c r="S79" s="78"/>
      <c r="T79" s="77"/>
      <c r="U79" s="78"/>
      <c r="V79" s="77"/>
      <c r="W79" s="7"/>
      <c r="X79" s="27" t="str">
        <f t="shared" si="2"/>
        <v/>
      </c>
      <c r="Y79" s="3" t="s">
        <v>105</v>
      </c>
      <c r="Z79" s="3"/>
      <c r="AA79" s="3" t="s">
        <v>139</v>
      </c>
      <c r="AB79" s="18" t="s">
        <v>32</v>
      </c>
      <c r="AC79" s="22">
        <v>0.16700000000000001</v>
      </c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7"/>
      <c r="AO79" s="38"/>
      <c r="AP79" s="38"/>
      <c r="AQ79" s="38"/>
      <c r="AR79" s="43"/>
      <c r="AS79" s="42"/>
      <c r="AT79" s="42"/>
      <c r="AU79" s="42"/>
      <c r="AV79" s="42"/>
      <c r="AW79" s="42"/>
      <c r="AX79" s="42"/>
      <c r="AY79" s="42"/>
      <c r="AZ79" s="42"/>
      <c r="BA79" s="42"/>
      <c r="BB79" s="42"/>
    </row>
    <row r="80" spans="1:54" s="5" customFormat="1" x14ac:dyDescent="0.25">
      <c r="A80" s="7"/>
      <c r="B80" s="77"/>
      <c r="C80" s="78"/>
      <c r="D80" s="78"/>
      <c r="E80" s="83"/>
      <c r="F80" s="78"/>
      <c r="G80" s="77"/>
      <c r="H80" s="78"/>
      <c r="I80" s="78"/>
      <c r="J80" s="78"/>
      <c r="K80" s="83"/>
      <c r="L80" s="78"/>
      <c r="M80" s="78"/>
      <c r="N80" s="77"/>
      <c r="O80" s="78"/>
      <c r="P80" s="77"/>
      <c r="Q80" s="78"/>
      <c r="R80" s="77"/>
      <c r="S80" s="78"/>
      <c r="T80" s="77"/>
      <c r="U80" s="78"/>
      <c r="V80" s="77"/>
      <c r="W80" s="7"/>
      <c r="X80" s="27" t="str">
        <f t="shared" si="2"/>
        <v/>
      </c>
      <c r="Y80" s="3" t="s">
        <v>68</v>
      </c>
      <c r="Z80" s="3"/>
      <c r="AA80" s="3"/>
      <c r="AB80" s="18" t="s">
        <v>34</v>
      </c>
      <c r="AC80" s="3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7"/>
      <c r="AO80" s="38"/>
      <c r="AP80" s="38"/>
      <c r="AQ80" s="38"/>
      <c r="AR80" s="43"/>
      <c r="AS80" s="42"/>
      <c r="AT80" s="42"/>
      <c r="AU80" s="42"/>
      <c r="AV80" s="42"/>
      <c r="AW80" s="42"/>
      <c r="AX80" s="42"/>
      <c r="AY80" s="42"/>
      <c r="AZ80" s="42"/>
      <c r="BA80" s="42"/>
      <c r="BB80" s="42"/>
    </row>
    <row r="81" spans="1:54" s="5" customFormat="1" x14ac:dyDescent="0.25">
      <c r="A81" s="7"/>
      <c r="B81" s="77"/>
      <c r="C81" s="78"/>
      <c r="D81" s="78"/>
      <c r="E81" s="83"/>
      <c r="F81" s="78"/>
      <c r="G81" s="77"/>
      <c r="H81" s="78"/>
      <c r="I81" s="78"/>
      <c r="J81" s="78"/>
      <c r="K81" s="83"/>
      <c r="L81" s="78"/>
      <c r="M81" s="78"/>
      <c r="N81" s="77"/>
      <c r="O81" s="78"/>
      <c r="P81" s="77"/>
      <c r="Q81" s="78"/>
      <c r="R81" s="77"/>
      <c r="S81" s="78"/>
      <c r="T81" s="77"/>
      <c r="U81" s="78"/>
      <c r="V81" s="77"/>
      <c r="W81" s="7"/>
      <c r="X81" s="27" t="str">
        <f t="shared" si="2"/>
        <v/>
      </c>
      <c r="Y81" s="3" t="s">
        <v>43</v>
      </c>
      <c r="Z81" s="3"/>
      <c r="AA81" s="3" t="s">
        <v>45</v>
      </c>
      <c r="AB81" s="18" t="s">
        <v>34</v>
      </c>
      <c r="AC81" s="3">
        <v>2000</v>
      </c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7"/>
      <c r="AO81" s="38"/>
      <c r="AP81" s="38"/>
      <c r="AQ81" s="38"/>
      <c r="AR81" s="43"/>
      <c r="AS81" s="42"/>
      <c r="AT81" s="42"/>
      <c r="AU81" s="42"/>
      <c r="AV81" s="42"/>
      <c r="AW81" s="42"/>
      <c r="AX81" s="42"/>
      <c r="AY81" s="42"/>
      <c r="AZ81" s="42"/>
      <c r="BA81" s="42"/>
      <c r="BB81" s="42"/>
    </row>
    <row r="82" spans="1:54" s="5" customFormat="1" x14ac:dyDescent="0.25">
      <c r="A82" s="7"/>
      <c r="B82" s="77"/>
      <c r="C82" s="78"/>
      <c r="D82" s="78"/>
      <c r="E82" s="83"/>
      <c r="F82" s="78"/>
      <c r="G82" s="77"/>
      <c r="H82" s="78"/>
      <c r="I82" s="78"/>
      <c r="J82" s="78"/>
      <c r="K82" s="83"/>
      <c r="L82" s="78"/>
      <c r="M82" s="78"/>
      <c r="N82" s="77"/>
      <c r="O82" s="78"/>
      <c r="P82" s="77"/>
      <c r="Q82" s="78"/>
      <c r="R82" s="77"/>
      <c r="S82" s="78"/>
      <c r="T82" s="77"/>
      <c r="U82" s="78"/>
      <c r="V82" s="77"/>
      <c r="W82" s="7"/>
      <c r="X82" s="27" t="str">
        <f t="shared" si="2"/>
        <v/>
      </c>
      <c r="Y82" s="3" t="s">
        <v>42</v>
      </c>
      <c r="Z82" s="3"/>
      <c r="AA82" s="3" t="s">
        <v>45</v>
      </c>
      <c r="AB82" s="18" t="s">
        <v>34</v>
      </c>
      <c r="AC82" s="3">
        <v>2100</v>
      </c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7"/>
      <c r="AO82" s="38"/>
      <c r="AP82" s="38"/>
      <c r="AQ82" s="38"/>
      <c r="AR82" s="43"/>
      <c r="AS82" s="42"/>
      <c r="AT82" s="42"/>
      <c r="AU82" s="42"/>
      <c r="AV82" s="42"/>
      <c r="AW82" s="42"/>
      <c r="AX82" s="42"/>
      <c r="AY82" s="42"/>
      <c r="AZ82" s="42"/>
      <c r="BA82" s="42"/>
      <c r="BB82" s="42"/>
    </row>
    <row r="83" spans="1:54" s="5" customFormat="1" x14ac:dyDescent="0.25">
      <c r="A83" s="7"/>
      <c r="B83" s="77"/>
      <c r="C83" s="78"/>
      <c r="D83" s="78"/>
      <c r="E83" s="83"/>
      <c r="F83" s="78"/>
      <c r="G83" s="77"/>
      <c r="H83" s="78"/>
      <c r="I83" s="78"/>
      <c r="J83" s="78"/>
      <c r="K83" s="83"/>
      <c r="L83" s="78"/>
      <c r="M83" s="78"/>
      <c r="N83" s="77"/>
      <c r="O83" s="78"/>
      <c r="P83" s="77"/>
      <c r="Q83" s="78"/>
      <c r="R83" s="77"/>
      <c r="S83" s="78"/>
      <c r="T83" s="77"/>
      <c r="U83" s="78"/>
      <c r="V83" s="77"/>
      <c r="W83" s="7"/>
      <c r="X83" s="27" t="str">
        <f t="shared" si="2"/>
        <v/>
      </c>
      <c r="Y83" s="3" t="s">
        <v>44</v>
      </c>
      <c r="Z83" s="3"/>
      <c r="AA83" s="3" t="s">
        <v>10</v>
      </c>
      <c r="AB83" s="18" t="s">
        <v>34</v>
      </c>
      <c r="AC83" s="3">
        <v>25</v>
      </c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7"/>
      <c r="AO83" s="38"/>
      <c r="AP83" s="38"/>
      <c r="AQ83" s="38"/>
      <c r="AR83" s="43"/>
      <c r="AS83" s="42"/>
      <c r="AT83" s="42"/>
      <c r="AU83" s="42"/>
      <c r="AV83" s="42"/>
      <c r="AW83" s="42"/>
      <c r="AX83" s="42"/>
      <c r="AY83" s="42"/>
      <c r="AZ83" s="42"/>
      <c r="BA83" s="42"/>
      <c r="BB83" s="42"/>
    </row>
    <row r="84" spans="1:54" s="5" customFormat="1" x14ac:dyDescent="0.25">
      <c r="A84" s="7"/>
      <c r="B84" s="77"/>
      <c r="C84" s="78"/>
      <c r="D84" s="78"/>
      <c r="E84" s="83"/>
      <c r="F84" s="78"/>
      <c r="G84" s="77"/>
      <c r="H84" s="78"/>
      <c r="I84" s="78"/>
      <c r="J84" s="78"/>
      <c r="K84" s="83"/>
      <c r="L84" s="78"/>
      <c r="M84" s="78"/>
      <c r="N84" s="77"/>
      <c r="O84" s="78"/>
      <c r="P84" s="77"/>
      <c r="Q84" s="78"/>
      <c r="R84" s="77"/>
      <c r="S84" s="78"/>
      <c r="T84" s="77"/>
      <c r="U84" s="78"/>
      <c r="V84" s="77"/>
      <c r="W84" s="7"/>
      <c r="X84" s="27" t="str">
        <f t="shared" si="2"/>
        <v/>
      </c>
      <c r="Y84" s="3" t="s">
        <v>73</v>
      </c>
      <c r="Z84" s="3"/>
      <c r="AA84" s="3" t="s">
        <v>139</v>
      </c>
      <c r="AB84" s="18" t="s">
        <v>34</v>
      </c>
      <c r="AC84" s="3">
        <v>0.25</v>
      </c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7"/>
      <c r="AO84" s="38"/>
      <c r="AP84" s="38"/>
      <c r="AQ84" s="38"/>
      <c r="AR84" s="43"/>
      <c r="AS84" s="42"/>
      <c r="AT84" s="42"/>
      <c r="AU84" s="42"/>
      <c r="AV84" s="42"/>
      <c r="AW84" s="42"/>
      <c r="AX84" s="42"/>
      <c r="AY84" s="42"/>
      <c r="AZ84" s="42"/>
      <c r="BA84" s="42"/>
      <c r="BB84" s="42"/>
    </row>
    <row r="85" spans="1:54" s="5" customFormat="1" x14ac:dyDescent="0.25">
      <c r="A85" s="7"/>
      <c r="B85" s="77"/>
      <c r="C85" s="78"/>
      <c r="D85" s="78"/>
      <c r="E85" s="83"/>
      <c r="F85" s="78"/>
      <c r="G85" s="77"/>
      <c r="H85" s="78"/>
      <c r="I85" s="78"/>
      <c r="J85" s="78"/>
      <c r="K85" s="83"/>
      <c r="L85" s="78"/>
      <c r="M85" s="78"/>
      <c r="N85" s="77"/>
      <c r="O85" s="78"/>
      <c r="P85" s="77"/>
      <c r="Q85" s="78"/>
      <c r="R85" s="77"/>
      <c r="S85" s="78"/>
      <c r="T85" s="77"/>
      <c r="U85" s="78"/>
      <c r="V85" s="77"/>
      <c r="W85" s="7"/>
      <c r="X85" s="27" t="str">
        <f t="shared" si="2"/>
        <v/>
      </c>
      <c r="Y85" s="3" t="s">
        <v>40</v>
      </c>
      <c r="Z85" s="3"/>
      <c r="AA85" s="3" t="s">
        <v>74</v>
      </c>
      <c r="AB85" s="18" t="s">
        <v>34</v>
      </c>
      <c r="AC85" s="3">
        <v>250</v>
      </c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7"/>
      <c r="AO85" s="38"/>
      <c r="AP85" s="38"/>
      <c r="AQ85" s="38"/>
      <c r="AR85" s="43"/>
      <c r="AS85" s="42"/>
      <c r="AT85" s="42"/>
      <c r="AU85" s="42"/>
      <c r="AV85" s="42"/>
      <c r="AW85" s="42"/>
      <c r="AX85" s="42"/>
      <c r="AY85" s="42"/>
      <c r="AZ85" s="42"/>
      <c r="BA85" s="42"/>
      <c r="BB85" s="42"/>
    </row>
    <row r="86" spans="1:54" s="5" customFormat="1" x14ac:dyDescent="0.25">
      <c r="A86" s="7"/>
      <c r="B86" s="77"/>
      <c r="C86" s="78"/>
      <c r="D86" s="78"/>
      <c r="E86" s="83"/>
      <c r="F86" s="78"/>
      <c r="G86" s="77"/>
      <c r="H86" s="78"/>
      <c r="I86" s="78"/>
      <c r="J86" s="78"/>
      <c r="K86" s="83"/>
      <c r="L86" s="78"/>
      <c r="M86" s="78"/>
      <c r="N86" s="77"/>
      <c r="O86" s="78"/>
      <c r="P86" s="77"/>
      <c r="Q86" s="78"/>
      <c r="R86" s="77"/>
      <c r="S86" s="78"/>
      <c r="T86" s="77"/>
      <c r="U86" s="78"/>
      <c r="V86" s="77"/>
      <c r="W86" s="7"/>
      <c r="X86" s="27" t="str">
        <f t="shared" si="2"/>
        <v/>
      </c>
      <c r="Y86" s="3" t="s">
        <v>46</v>
      </c>
      <c r="Z86" s="3"/>
      <c r="AA86" s="3" t="s">
        <v>74</v>
      </c>
      <c r="AB86" s="18" t="s">
        <v>34</v>
      </c>
      <c r="AC86" s="3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7"/>
      <c r="AO86" s="38"/>
      <c r="AP86" s="38"/>
      <c r="AQ86" s="38"/>
      <c r="AR86" s="43"/>
      <c r="AS86" s="42"/>
      <c r="AT86" s="42"/>
      <c r="AU86" s="42"/>
      <c r="AV86" s="42"/>
      <c r="AW86" s="42"/>
      <c r="AX86" s="42"/>
      <c r="AY86" s="42"/>
      <c r="AZ86" s="42"/>
      <c r="BA86" s="42"/>
      <c r="BB86" s="42"/>
    </row>
    <row r="87" spans="1:54" s="5" customFormat="1" x14ac:dyDescent="0.25">
      <c r="A87" s="7"/>
      <c r="B87" s="77"/>
      <c r="C87" s="78"/>
      <c r="D87" s="78"/>
      <c r="E87" s="83"/>
      <c r="F87" s="78"/>
      <c r="G87" s="77"/>
      <c r="H87" s="78"/>
      <c r="I87" s="78"/>
      <c r="J87" s="78"/>
      <c r="K87" s="83"/>
      <c r="L87" s="78"/>
      <c r="M87" s="78"/>
      <c r="N87" s="77"/>
      <c r="O87" s="78"/>
      <c r="P87" s="77"/>
      <c r="Q87" s="78"/>
      <c r="R87" s="77"/>
      <c r="S87" s="78"/>
      <c r="T87" s="77"/>
      <c r="U87" s="78"/>
      <c r="V87" s="77"/>
      <c r="W87" s="7"/>
      <c r="X87" s="27" t="str">
        <f t="shared" si="2"/>
        <v/>
      </c>
      <c r="Y87" s="3" t="s">
        <v>53</v>
      </c>
      <c r="Z87" s="3"/>
      <c r="AA87" s="3" t="s">
        <v>74</v>
      </c>
      <c r="AB87" s="18" t="s">
        <v>34</v>
      </c>
      <c r="AC87" s="3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7"/>
      <c r="AO87" s="38"/>
      <c r="AP87" s="38"/>
      <c r="AQ87" s="38"/>
      <c r="AR87" s="43"/>
      <c r="AS87" s="42"/>
      <c r="AT87" s="42"/>
      <c r="AU87" s="42"/>
      <c r="AV87" s="42"/>
      <c r="AW87" s="42"/>
      <c r="AX87" s="42"/>
      <c r="AY87" s="42"/>
      <c r="AZ87" s="42"/>
      <c r="BA87" s="42"/>
      <c r="BB87" s="42"/>
    </row>
    <row r="88" spans="1:54" s="5" customFormat="1" x14ac:dyDescent="0.25">
      <c r="A88" s="7"/>
      <c r="B88" s="77"/>
      <c r="C88" s="78"/>
      <c r="D88" s="78"/>
      <c r="E88" s="83"/>
      <c r="F88" s="78"/>
      <c r="G88" s="77"/>
      <c r="H88" s="78"/>
      <c r="I88" s="78"/>
      <c r="J88" s="78"/>
      <c r="K88" s="83"/>
      <c r="L88" s="78"/>
      <c r="M88" s="78"/>
      <c r="N88" s="77"/>
      <c r="O88" s="78"/>
      <c r="P88" s="77"/>
      <c r="Q88" s="78"/>
      <c r="R88" s="77"/>
      <c r="S88" s="78"/>
      <c r="T88" s="77"/>
      <c r="U88" s="78"/>
      <c r="V88" s="77"/>
      <c r="W88" s="7"/>
      <c r="X88" s="27" t="str">
        <f t="shared" si="2"/>
        <v/>
      </c>
      <c r="Y88" s="3" t="s">
        <v>49</v>
      </c>
      <c r="Z88" s="3"/>
      <c r="AA88" s="3" t="s">
        <v>139</v>
      </c>
      <c r="AB88" s="18" t="s">
        <v>34</v>
      </c>
      <c r="AC88" s="3">
        <v>1</v>
      </c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7"/>
      <c r="AO88" s="38"/>
      <c r="AP88" s="38"/>
      <c r="AQ88" s="38"/>
      <c r="AR88" s="43"/>
      <c r="AS88" s="42"/>
      <c r="AT88" s="42"/>
      <c r="AU88" s="42"/>
      <c r="AV88" s="42"/>
      <c r="AW88" s="42"/>
      <c r="AX88" s="42"/>
      <c r="AY88" s="42"/>
      <c r="AZ88" s="42"/>
      <c r="BA88" s="42"/>
      <c r="BB88" s="42"/>
    </row>
    <row r="89" spans="1:54" s="5" customFormat="1" x14ac:dyDescent="0.25">
      <c r="A89" s="7"/>
      <c r="B89" s="77"/>
      <c r="C89" s="78"/>
      <c r="D89" s="78"/>
      <c r="E89" s="83"/>
      <c r="F89" s="78"/>
      <c r="G89" s="77"/>
      <c r="H89" s="78"/>
      <c r="I89" s="78"/>
      <c r="J89" s="78"/>
      <c r="K89" s="83"/>
      <c r="L89" s="78"/>
      <c r="M89" s="78"/>
      <c r="N89" s="77"/>
      <c r="O89" s="78"/>
      <c r="P89" s="77"/>
      <c r="Q89" s="78"/>
      <c r="R89" s="77"/>
      <c r="S89" s="78"/>
      <c r="T89" s="77"/>
      <c r="U89" s="78"/>
      <c r="V89" s="77"/>
      <c r="W89" s="7"/>
      <c r="X89" s="27" t="str">
        <f t="shared" si="2"/>
        <v/>
      </c>
      <c r="Y89" s="3" t="s">
        <v>50</v>
      </c>
      <c r="Z89" s="3"/>
      <c r="AA89" s="3" t="s">
        <v>139</v>
      </c>
      <c r="AB89" s="18" t="s">
        <v>34</v>
      </c>
      <c r="AC89" s="3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7"/>
      <c r="AO89" s="38"/>
      <c r="AP89" s="38"/>
      <c r="AQ89" s="38"/>
      <c r="AR89" s="43"/>
      <c r="AS89" s="42"/>
      <c r="AT89" s="42"/>
      <c r="AU89" s="42"/>
      <c r="AV89" s="42"/>
      <c r="AW89" s="42"/>
      <c r="AX89" s="42"/>
      <c r="AY89" s="42"/>
      <c r="AZ89" s="42"/>
      <c r="BA89" s="42"/>
      <c r="BB89" s="42"/>
    </row>
    <row r="90" spans="1:54" s="5" customFormat="1" x14ac:dyDescent="0.25">
      <c r="A90" s="7"/>
      <c r="B90" s="77"/>
      <c r="C90" s="78"/>
      <c r="D90" s="78"/>
      <c r="E90" s="83"/>
      <c r="F90" s="78"/>
      <c r="G90" s="77"/>
      <c r="H90" s="78"/>
      <c r="I90" s="78"/>
      <c r="J90" s="78"/>
      <c r="K90" s="83"/>
      <c r="L90" s="78"/>
      <c r="M90" s="78"/>
      <c r="N90" s="77"/>
      <c r="O90" s="78"/>
      <c r="P90" s="77"/>
      <c r="Q90" s="78"/>
      <c r="R90" s="77"/>
      <c r="S90" s="78"/>
      <c r="T90" s="77"/>
      <c r="U90" s="78"/>
      <c r="V90" s="77"/>
      <c r="W90" s="7"/>
      <c r="X90" s="27" t="str">
        <f t="shared" si="2"/>
        <v/>
      </c>
      <c r="Y90" s="3" t="s">
        <v>115</v>
      </c>
      <c r="Z90" s="3" t="s">
        <v>103</v>
      </c>
      <c r="AA90" s="3" t="s">
        <v>57</v>
      </c>
      <c r="AB90" s="18" t="s">
        <v>34</v>
      </c>
      <c r="AC90" s="22">
        <v>0.36</v>
      </c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7"/>
      <c r="AO90" s="38"/>
      <c r="AP90" s="38"/>
      <c r="AQ90" s="38"/>
      <c r="AR90" s="43"/>
      <c r="AS90" s="42"/>
      <c r="AT90" s="42"/>
      <c r="AU90" s="42"/>
      <c r="AV90" s="42"/>
      <c r="AW90" s="42"/>
      <c r="AX90" s="42"/>
      <c r="AY90" s="42"/>
      <c r="AZ90" s="42"/>
      <c r="BA90" s="42"/>
      <c r="BB90" s="42"/>
    </row>
    <row r="91" spans="1:54" s="5" customFormat="1" x14ac:dyDescent="0.25">
      <c r="A91" s="7"/>
      <c r="B91" s="77"/>
      <c r="C91" s="78"/>
      <c r="D91" s="78"/>
      <c r="E91" s="83"/>
      <c r="F91" s="78"/>
      <c r="G91" s="77"/>
      <c r="H91" s="78"/>
      <c r="I91" s="78"/>
      <c r="J91" s="78"/>
      <c r="K91" s="83"/>
      <c r="L91" s="78"/>
      <c r="M91" s="78"/>
      <c r="N91" s="77"/>
      <c r="O91" s="78"/>
      <c r="P91" s="77"/>
      <c r="Q91" s="78"/>
      <c r="R91" s="77"/>
      <c r="S91" s="78"/>
      <c r="T91" s="77"/>
      <c r="U91" s="78"/>
      <c r="V91" s="77"/>
      <c r="W91" s="7"/>
      <c r="X91" s="27" t="str">
        <f t="shared" si="2"/>
        <v/>
      </c>
      <c r="Y91" s="3" t="s">
        <v>115</v>
      </c>
      <c r="Z91" s="3" t="s">
        <v>104</v>
      </c>
      <c r="AA91" s="3" t="s">
        <v>57</v>
      </c>
      <c r="AB91" s="18" t="s">
        <v>34</v>
      </c>
      <c r="AC91" s="22">
        <v>3.9E-2</v>
      </c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7"/>
      <c r="AO91" s="38"/>
      <c r="AP91" s="38"/>
      <c r="AQ91" s="38"/>
      <c r="AR91" s="43"/>
      <c r="AS91" s="42"/>
      <c r="AT91" s="42"/>
      <c r="AU91" s="42"/>
      <c r="AV91" s="42"/>
      <c r="AW91" s="42"/>
      <c r="AX91" s="42"/>
      <c r="AY91" s="42"/>
      <c r="AZ91" s="42"/>
      <c r="BA91" s="42"/>
      <c r="BB91" s="42"/>
    </row>
    <row r="92" spans="1:54" s="5" customFormat="1" x14ac:dyDescent="0.25">
      <c r="A92" s="7"/>
      <c r="B92" s="77"/>
      <c r="C92" s="78"/>
      <c r="D92" s="78"/>
      <c r="E92" s="83"/>
      <c r="F92" s="78"/>
      <c r="G92" s="77"/>
      <c r="H92" s="78"/>
      <c r="I92" s="78"/>
      <c r="J92" s="78"/>
      <c r="K92" s="83"/>
      <c r="L92" s="78"/>
      <c r="M92" s="78"/>
      <c r="N92" s="77"/>
      <c r="O92" s="78"/>
      <c r="P92" s="77"/>
      <c r="Q92" s="78"/>
      <c r="R92" s="77"/>
      <c r="S92" s="78"/>
      <c r="T92" s="77"/>
      <c r="U92" s="78"/>
      <c r="V92" s="77"/>
      <c r="W92" s="7"/>
      <c r="X92" s="27" t="str">
        <f t="shared" si="2"/>
        <v/>
      </c>
      <c r="Y92" s="3" t="s">
        <v>105</v>
      </c>
      <c r="Z92" s="3"/>
      <c r="AA92" s="3" t="s">
        <v>139</v>
      </c>
      <c r="AB92" s="18" t="s">
        <v>34</v>
      </c>
      <c r="AC92" s="22">
        <v>0</v>
      </c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7"/>
      <c r="AO92" s="38"/>
      <c r="AP92" s="38"/>
      <c r="AQ92" s="38"/>
      <c r="AR92" s="43"/>
      <c r="AS92" s="42"/>
      <c r="AT92" s="42"/>
      <c r="AU92" s="42"/>
      <c r="AV92" s="42"/>
      <c r="AW92" s="42"/>
      <c r="AX92" s="42"/>
      <c r="AY92" s="42"/>
      <c r="AZ92" s="42"/>
      <c r="BA92" s="42"/>
      <c r="BB92" s="42"/>
    </row>
    <row r="93" spans="1:54" s="5" customFormat="1" x14ac:dyDescent="0.25">
      <c r="A93" s="7"/>
      <c r="B93" s="77"/>
      <c r="C93" s="78"/>
      <c r="D93" s="78"/>
      <c r="E93" s="83"/>
      <c r="F93" s="78"/>
      <c r="G93" s="77"/>
      <c r="H93" s="78"/>
      <c r="I93" s="78"/>
      <c r="J93" s="78"/>
      <c r="K93" s="83"/>
      <c r="L93" s="78"/>
      <c r="M93" s="78"/>
      <c r="N93" s="77"/>
      <c r="O93" s="78"/>
      <c r="P93" s="77"/>
      <c r="Q93" s="78"/>
      <c r="R93" s="77"/>
      <c r="S93" s="78"/>
      <c r="T93" s="77"/>
      <c r="U93" s="78"/>
      <c r="V93" s="77"/>
      <c r="W93" s="7"/>
      <c r="X93" s="27" t="str">
        <f t="shared" si="2"/>
        <v/>
      </c>
      <c r="Y93" s="3" t="s">
        <v>68</v>
      </c>
      <c r="Z93" s="3"/>
      <c r="AA93" s="3"/>
      <c r="AB93" s="18" t="s">
        <v>33</v>
      </c>
      <c r="AC93" s="3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7"/>
      <c r="AO93" s="38"/>
      <c r="AP93" s="38"/>
      <c r="AQ93" s="38"/>
      <c r="AR93" s="43"/>
      <c r="AS93" s="42"/>
      <c r="AT93" s="42"/>
      <c r="AU93" s="42"/>
      <c r="AV93" s="42"/>
      <c r="AW93" s="42"/>
      <c r="AX93" s="42"/>
      <c r="AY93" s="42"/>
      <c r="AZ93" s="42"/>
      <c r="BA93" s="42"/>
      <c r="BB93" s="42"/>
    </row>
    <row r="94" spans="1:54" s="5" customFormat="1" x14ac:dyDescent="0.25">
      <c r="A94" s="7"/>
      <c r="B94" s="77"/>
      <c r="C94" s="78"/>
      <c r="D94" s="78"/>
      <c r="E94" s="83"/>
      <c r="F94" s="78"/>
      <c r="G94" s="77"/>
      <c r="H94" s="78"/>
      <c r="I94" s="78"/>
      <c r="J94" s="78"/>
      <c r="K94" s="83"/>
      <c r="L94" s="78"/>
      <c r="M94" s="78"/>
      <c r="N94" s="77"/>
      <c r="O94" s="78"/>
      <c r="P94" s="77"/>
      <c r="Q94" s="78"/>
      <c r="R94" s="77"/>
      <c r="S94" s="78"/>
      <c r="T94" s="77"/>
      <c r="U94" s="78"/>
      <c r="V94" s="77"/>
      <c r="W94" s="7"/>
      <c r="X94" s="27" t="str">
        <f t="shared" si="2"/>
        <v/>
      </c>
      <c r="Y94" s="3" t="s">
        <v>43</v>
      </c>
      <c r="Z94" s="3"/>
      <c r="AA94" s="3" t="s">
        <v>45</v>
      </c>
      <c r="AB94" s="18" t="s">
        <v>33</v>
      </c>
      <c r="AC94" s="3">
        <v>2000</v>
      </c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7"/>
      <c r="AO94" s="38"/>
      <c r="AP94" s="38"/>
      <c r="AQ94" s="38"/>
      <c r="AR94" s="43"/>
      <c r="AS94" s="42"/>
      <c r="AT94" s="42"/>
      <c r="AU94" s="42"/>
      <c r="AV94" s="42"/>
      <c r="AW94" s="42"/>
      <c r="AX94" s="42"/>
      <c r="AY94" s="42"/>
      <c r="AZ94" s="42"/>
      <c r="BA94" s="42"/>
      <c r="BB94" s="42"/>
    </row>
    <row r="95" spans="1:54" s="5" customFormat="1" x14ac:dyDescent="0.25">
      <c r="A95" s="7"/>
      <c r="B95" s="77"/>
      <c r="C95" s="78"/>
      <c r="D95" s="78"/>
      <c r="E95" s="83"/>
      <c r="F95" s="78"/>
      <c r="G95" s="77"/>
      <c r="H95" s="78"/>
      <c r="I95" s="78"/>
      <c r="J95" s="78"/>
      <c r="K95" s="83"/>
      <c r="L95" s="78"/>
      <c r="M95" s="78"/>
      <c r="N95" s="77"/>
      <c r="O95" s="78"/>
      <c r="P95" s="77"/>
      <c r="Q95" s="78"/>
      <c r="R95" s="77"/>
      <c r="S95" s="78"/>
      <c r="T95" s="77"/>
      <c r="U95" s="78"/>
      <c r="V95" s="77"/>
      <c r="W95" s="7"/>
      <c r="X95" s="27" t="str">
        <f t="shared" si="2"/>
        <v/>
      </c>
      <c r="Y95" s="3" t="s">
        <v>42</v>
      </c>
      <c r="Z95" s="3"/>
      <c r="AA95" s="3" t="s">
        <v>45</v>
      </c>
      <c r="AB95" s="18" t="s">
        <v>33</v>
      </c>
      <c r="AC95" s="3">
        <v>2100</v>
      </c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7"/>
      <c r="AO95" s="38"/>
      <c r="AP95" s="38"/>
      <c r="AQ95" s="38"/>
      <c r="AR95" s="43"/>
      <c r="AS95" s="42"/>
      <c r="AT95" s="42"/>
      <c r="AU95" s="42"/>
      <c r="AV95" s="42"/>
      <c r="AW95" s="42"/>
      <c r="AX95" s="42"/>
      <c r="AY95" s="42"/>
      <c r="AZ95" s="42"/>
      <c r="BA95" s="42"/>
      <c r="BB95" s="42"/>
    </row>
    <row r="96" spans="1:54" s="5" customFormat="1" x14ac:dyDescent="0.25">
      <c r="A96" s="7"/>
      <c r="B96" s="77"/>
      <c r="C96" s="78"/>
      <c r="D96" s="78"/>
      <c r="E96" s="83"/>
      <c r="F96" s="78"/>
      <c r="G96" s="77"/>
      <c r="H96" s="78"/>
      <c r="I96" s="78"/>
      <c r="J96" s="78"/>
      <c r="K96" s="83"/>
      <c r="L96" s="78"/>
      <c r="M96" s="78"/>
      <c r="N96" s="77"/>
      <c r="O96" s="78"/>
      <c r="P96" s="77"/>
      <c r="Q96" s="78"/>
      <c r="R96" s="77"/>
      <c r="S96" s="78"/>
      <c r="T96" s="77"/>
      <c r="U96" s="78"/>
      <c r="V96" s="77"/>
      <c r="W96" s="7"/>
      <c r="X96" s="27" t="str">
        <f t="shared" si="2"/>
        <v/>
      </c>
      <c r="Y96" s="3" t="s">
        <v>44</v>
      </c>
      <c r="Z96" s="3"/>
      <c r="AA96" s="3" t="s">
        <v>10</v>
      </c>
      <c r="AB96" s="18" t="s">
        <v>33</v>
      </c>
      <c r="AC96" s="3">
        <v>25</v>
      </c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7"/>
      <c r="AO96" s="38"/>
      <c r="AP96" s="38"/>
      <c r="AQ96" s="38"/>
      <c r="AR96" s="43"/>
      <c r="AS96" s="42"/>
      <c r="AT96" s="42"/>
      <c r="AU96" s="42"/>
      <c r="AV96" s="42"/>
      <c r="AW96" s="42"/>
      <c r="AX96" s="42"/>
      <c r="AY96" s="42"/>
      <c r="AZ96" s="42"/>
      <c r="BA96" s="42"/>
      <c r="BB96" s="42"/>
    </row>
    <row r="97" spans="1:54" s="5" customFormat="1" x14ac:dyDescent="0.25">
      <c r="A97" s="7"/>
      <c r="B97" s="77"/>
      <c r="C97" s="78"/>
      <c r="D97" s="78"/>
      <c r="E97" s="83"/>
      <c r="F97" s="78"/>
      <c r="G97" s="77"/>
      <c r="H97" s="78"/>
      <c r="I97" s="78"/>
      <c r="J97" s="78"/>
      <c r="K97" s="83"/>
      <c r="L97" s="78"/>
      <c r="M97" s="78"/>
      <c r="N97" s="77"/>
      <c r="O97" s="78"/>
      <c r="P97" s="77"/>
      <c r="Q97" s="78"/>
      <c r="R97" s="77"/>
      <c r="S97" s="78"/>
      <c r="T97" s="77"/>
      <c r="U97" s="78"/>
      <c r="V97" s="77"/>
      <c r="W97" s="7"/>
      <c r="X97" s="27" t="str">
        <f t="shared" si="2"/>
        <v/>
      </c>
      <c r="Y97" s="3" t="s">
        <v>73</v>
      </c>
      <c r="Z97" s="3"/>
      <c r="AA97" s="3" t="s">
        <v>139</v>
      </c>
      <c r="AB97" s="18" t="s">
        <v>33</v>
      </c>
      <c r="AC97" s="3">
        <v>0.25</v>
      </c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7"/>
      <c r="AO97" s="38"/>
      <c r="AP97" s="38"/>
      <c r="AQ97" s="38"/>
      <c r="AR97" s="43"/>
      <c r="AS97" s="42"/>
      <c r="AT97" s="42"/>
      <c r="AU97" s="42"/>
      <c r="AV97" s="42"/>
      <c r="AW97" s="42"/>
      <c r="AX97" s="42"/>
      <c r="AY97" s="42"/>
      <c r="AZ97" s="42"/>
      <c r="BA97" s="42"/>
      <c r="BB97" s="42"/>
    </row>
    <row r="98" spans="1:54" s="5" customFormat="1" x14ac:dyDescent="0.25">
      <c r="A98" s="7"/>
      <c r="B98" s="77"/>
      <c r="C98" s="78"/>
      <c r="D98" s="78"/>
      <c r="E98" s="83"/>
      <c r="F98" s="78"/>
      <c r="G98" s="77"/>
      <c r="H98" s="78"/>
      <c r="I98" s="78"/>
      <c r="J98" s="78"/>
      <c r="K98" s="83"/>
      <c r="L98" s="78"/>
      <c r="M98" s="78"/>
      <c r="N98" s="77"/>
      <c r="O98" s="78"/>
      <c r="P98" s="77"/>
      <c r="Q98" s="78"/>
      <c r="R98" s="77"/>
      <c r="S98" s="78"/>
      <c r="T98" s="77"/>
      <c r="U98" s="78"/>
      <c r="V98" s="77"/>
      <c r="W98" s="7"/>
      <c r="X98" s="27" t="str">
        <f t="shared" si="2"/>
        <v/>
      </c>
      <c r="Y98" s="3" t="s">
        <v>40</v>
      </c>
      <c r="Z98" s="3"/>
      <c r="AA98" s="3" t="s">
        <v>74</v>
      </c>
      <c r="AB98" s="18" t="s">
        <v>33</v>
      </c>
      <c r="AC98" s="3">
        <v>200</v>
      </c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7"/>
      <c r="AO98" s="38"/>
      <c r="AP98" s="38"/>
      <c r="AQ98" s="38"/>
      <c r="AR98" s="43"/>
      <c r="AS98" s="42"/>
      <c r="AT98" s="42"/>
      <c r="AU98" s="42"/>
      <c r="AV98" s="42"/>
      <c r="AW98" s="42"/>
      <c r="AX98" s="42"/>
      <c r="AY98" s="42"/>
      <c r="AZ98" s="42"/>
      <c r="BA98" s="42"/>
      <c r="BB98" s="42"/>
    </row>
    <row r="99" spans="1:54" s="5" customFormat="1" x14ac:dyDescent="0.25">
      <c r="A99" s="7"/>
      <c r="B99" s="77"/>
      <c r="C99" s="78"/>
      <c r="D99" s="78"/>
      <c r="E99" s="83"/>
      <c r="F99" s="78"/>
      <c r="G99" s="77"/>
      <c r="H99" s="78"/>
      <c r="I99" s="78"/>
      <c r="J99" s="78"/>
      <c r="K99" s="83"/>
      <c r="L99" s="78"/>
      <c r="M99" s="78"/>
      <c r="N99" s="77"/>
      <c r="O99" s="78"/>
      <c r="P99" s="77"/>
      <c r="Q99" s="78"/>
      <c r="R99" s="77"/>
      <c r="S99" s="78"/>
      <c r="T99" s="77"/>
      <c r="U99" s="78"/>
      <c r="V99" s="77"/>
      <c r="W99" s="7"/>
      <c r="X99" s="27" t="str">
        <f t="shared" si="2"/>
        <v/>
      </c>
      <c r="Y99" s="3" t="s">
        <v>46</v>
      </c>
      <c r="Z99" s="3"/>
      <c r="AA99" s="3" t="s">
        <v>74</v>
      </c>
      <c r="AB99" s="18" t="s">
        <v>33</v>
      </c>
      <c r="AC99" s="3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7"/>
      <c r="AO99" s="38"/>
      <c r="AP99" s="38"/>
      <c r="AQ99" s="38"/>
      <c r="AR99" s="43"/>
      <c r="AS99" s="42"/>
      <c r="AT99" s="42"/>
      <c r="AU99" s="42"/>
      <c r="AV99" s="42"/>
      <c r="AW99" s="42"/>
      <c r="AX99" s="42"/>
      <c r="AY99" s="42"/>
      <c r="AZ99" s="42"/>
      <c r="BA99" s="42"/>
      <c r="BB99" s="42"/>
    </row>
    <row r="100" spans="1:54" s="5" customFormat="1" x14ac:dyDescent="0.25">
      <c r="A100" s="7"/>
      <c r="B100" s="77"/>
      <c r="C100" s="78"/>
      <c r="D100" s="78"/>
      <c r="E100" s="83"/>
      <c r="F100" s="78"/>
      <c r="G100" s="77"/>
      <c r="H100" s="78"/>
      <c r="I100" s="78"/>
      <c r="J100" s="78"/>
      <c r="K100" s="83"/>
      <c r="L100" s="78"/>
      <c r="M100" s="78"/>
      <c r="N100" s="77"/>
      <c r="O100" s="78"/>
      <c r="P100" s="77"/>
      <c r="Q100" s="78"/>
      <c r="R100" s="77"/>
      <c r="S100" s="78"/>
      <c r="T100" s="77"/>
      <c r="U100" s="78"/>
      <c r="V100" s="77"/>
      <c r="W100" s="7"/>
      <c r="X100" s="27" t="str">
        <f t="shared" si="2"/>
        <v/>
      </c>
      <c r="Y100" s="3" t="s">
        <v>53</v>
      </c>
      <c r="Z100" s="3"/>
      <c r="AA100" s="3" t="s">
        <v>74</v>
      </c>
      <c r="AB100" s="18" t="s">
        <v>33</v>
      </c>
      <c r="AC100" s="3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7"/>
      <c r="AO100" s="38"/>
      <c r="AP100" s="38"/>
      <c r="AQ100" s="38"/>
      <c r="AR100" s="43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</row>
    <row r="101" spans="1:54" s="5" customFormat="1" x14ac:dyDescent="0.25">
      <c r="A101" s="7"/>
      <c r="B101" s="77"/>
      <c r="C101" s="78"/>
      <c r="D101" s="78"/>
      <c r="E101" s="83"/>
      <c r="F101" s="78"/>
      <c r="G101" s="77"/>
      <c r="H101" s="78"/>
      <c r="I101" s="78"/>
      <c r="J101" s="78"/>
      <c r="K101" s="83"/>
      <c r="L101" s="78"/>
      <c r="M101" s="78"/>
      <c r="N101" s="77"/>
      <c r="O101" s="78"/>
      <c r="P101" s="77"/>
      <c r="Q101" s="78"/>
      <c r="R101" s="77"/>
      <c r="S101" s="78"/>
      <c r="T101" s="77"/>
      <c r="U101" s="78"/>
      <c r="V101" s="77"/>
      <c r="W101" s="7"/>
      <c r="X101" s="27" t="str">
        <f t="shared" si="2"/>
        <v/>
      </c>
      <c r="Y101" s="3" t="s">
        <v>49</v>
      </c>
      <c r="Z101" s="3"/>
      <c r="AA101" s="3" t="s">
        <v>139</v>
      </c>
      <c r="AB101" s="18" t="s">
        <v>33</v>
      </c>
      <c r="AC101" s="3">
        <v>1</v>
      </c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7"/>
      <c r="AO101" s="38"/>
      <c r="AP101" s="38"/>
      <c r="AQ101" s="38"/>
      <c r="AR101" s="43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</row>
    <row r="102" spans="1:54" s="5" customFormat="1" x14ac:dyDescent="0.25">
      <c r="A102" s="7"/>
      <c r="B102" s="77"/>
      <c r="C102" s="78"/>
      <c r="D102" s="78"/>
      <c r="E102" s="83"/>
      <c r="F102" s="78"/>
      <c r="G102" s="77"/>
      <c r="H102" s="78"/>
      <c r="I102" s="78"/>
      <c r="J102" s="78"/>
      <c r="K102" s="83"/>
      <c r="L102" s="78"/>
      <c r="M102" s="78"/>
      <c r="N102" s="77"/>
      <c r="O102" s="78"/>
      <c r="P102" s="77"/>
      <c r="Q102" s="78"/>
      <c r="R102" s="77"/>
      <c r="S102" s="78"/>
      <c r="T102" s="77"/>
      <c r="U102" s="78"/>
      <c r="V102" s="77"/>
      <c r="W102" s="7"/>
      <c r="X102" s="27" t="str">
        <f t="shared" si="2"/>
        <v/>
      </c>
      <c r="Y102" s="3" t="s">
        <v>50</v>
      </c>
      <c r="Z102" s="3"/>
      <c r="AA102" s="3" t="s">
        <v>139</v>
      </c>
      <c r="AB102" s="18" t="s">
        <v>33</v>
      </c>
      <c r="AC102" s="3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7"/>
      <c r="AO102" s="38"/>
      <c r="AP102" s="38"/>
      <c r="AQ102" s="38"/>
      <c r="AR102" s="43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</row>
    <row r="103" spans="1:54" s="5" customFormat="1" x14ac:dyDescent="0.25">
      <c r="A103" s="7"/>
      <c r="B103" s="77"/>
      <c r="C103" s="78"/>
      <c r="D103" s="78"/>
      <c r="E103" s="83"/>
      <c r="F103" s="78"/>
      <c r="G103" s="77"/>
      <c r="H103" s="78"/>
      <c r="I103" s="78"/>
      <c r="J103" s="78"/>
      <c r="K103" s="83"/>
      <c r="L103" s="78"/>
      <c r="M103" s="78"/>
      <c r="N103" s="77"/>
      <c r="O103" s="78"/>
      <c r="P103" s="77"/>
      <c r="Q103" s="78"/>
      <c r="R103" s="77"/>
      <c r="S103" s="78"/>
      <c r="T103" s="77"/>
      <c r="U103" s="78"/>
      <c r="V103" s="77"/>
      <c r="W103" s="7"/>
      <c r="X103" s="27" t="str">
        <f t="shared" si="2"/>
        <v/>
      </c>
      <c r="Y103" s="3" t="s">
        <v>115</v>
      </c>
      <c r="Z103" s="3" t="s">
        <v>103</v>
      </c>
      <c r="AA103" s="3" t="s">
        <v>57</v>
      </c>
      <c r="AB103" s="18" t="s">
        <v>33</v>
      </c>
      <c r="AC103" s="22">
        <v>0.51500000000000001</v>
      </c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7"/>
      <c r="AO103" s="38"/>
      <c r="AP103" s="38"/>
      <c r="AQ103" s="38"/>
      <c r="AR103" s="43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</row>
    <row r="104" spans="1:54" s="5" customFormat="1" x14ac:dyDescent="0.25">
      <c r="A104" s="7"/>
      <c r="B104" s="77"/>
      <c r="C104" s="78"/>
      <c r="D104" s="78"/>
      <c r="E104" s="83"/>
      <c r="F104" s="78"/>
      <c r="G104" s="77"/>
      <c r="H104" s="78"/>
      <c r="I104" s="78"/>
      <c r="J104" s="78"/>
      <c r="K104" s="83"/>
      <c r="L104" s="78"/>
      <c r="M104" s="78"/>
      <c r="N104" s="77"/>
      <c r="O104" s="78"/>
      <c r="P104" s="77"/>
      <c r="Q104" s="78"/>
      <c r="R104" s="77"/>
      <c r="S104" s="78"/>
      <c r="T104" s="77"/>
      <c r="U104" s="78"/>
      <c r="V104" s="77"/>
      <c r="W104" s="7"/>
      <c r="X104" s="27" t="str">
        <f t="shared" si="2"/>
        <v/>
      </c>
      <c r="Y104" s="3" t="s">
        <v>115</v>
      </c>
      <c r="Z104" s="3" t="s">
        <v>104</v>
      </c>
      <c r="AA104" s="3" t="s">
        <v>57</v>
      </c>
      <c r="AB104" s="18" t="s">
        <v>33</v>
      </c>
      <c r="AC104" s="22">
        <v>5.6000000000000001E-2</v>
      </c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7"/>
      <c r="AO104" s="38"/>
      <c r="AP104" s="38"/>
      <c r="AQ104" s="38"/>
      <c r="AR104" s="43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</row>
    <row r="105" spans="1:54" s="5" customFormat="1" x14ac:dyDescent="0.25">
      <c r="A105" s="7"/>
      <c r="B105" s="77"/>
      <c r="C105" s="78"/>
      <c r="D105" s="78"/>
      <c r="E105" s="83"/>
      <c r="F105" s="78"/>
      <c r="G105" s="77"/>
      <c r="H105" s="78"/>
      <c r="I105" s="78"/>
      <c r="J105" s="78"/>
      <c r="K105" s="83"/>
      <c r="L105" s="78"/>
      <c r="M105" s="78"/>
      <c r="N105" s="77"/>
      <c r="O105" s="78"/>
      <c r="P105" s="77"/>
      <c r="Q105" s="78"/>
      <c r="R105" s="77"/>
      <c r="S105" s="78"/>
      <c r="T105" s="77"/>
      <c r="U105" s="78"/>
      <c r="V105" s="77"/>
      <c r="W105" s="7"/>
      <c r="X105" s="27" t="str">
        <f t="shared" si="2"/>
        <v/>
      </c>
      <c r="Y105" s="3" t="s">
        <v>105</v>
      </c>
      <c r="Z105" s="3"/>
      <c r="AA105" s="3" t="s">
        <v>139</v>
      </c>
      <c r="AB105" s="18" t="s">
        <v>33</v>
      </c>
      <c r="AC105" s="22">
        <v>0</v>
      </c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7"/>
      <c r="AO105" s="38"/>
      <c r="AP105" s="38"/>
      <c r="AQ105" s="38"/>
      <c r="AR105" s="43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</row>
    <row r="106" spans="1:54" s="5" customFormat="1" x14ac:dyDescent="0.25">
      <c r="A106" s="7"/>
      <c r="B106" s="77"/>
      <c r="C106" s="78"/>
      <c r="D106" s="78"/>
      <c r="E106" s="83"/>
      <c r="F106" s="78"/>
      <c r="G106" s="77"/>
      <c r="H106" s="78"/>
      <c r="I106" s="77"/>
      <c r="J106" s="80"/>
      <c r="K106" s="84"/>
      <c r="L106" s="78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"/>
      <c r="X106" s="27" t="str">
        <f t="shared" si="2"/>
        <v/>
      </c>
      <c r="Y106" s="6"/>
      <c r="Z106" s="6"/>
      <c r="AA106" s="6"/>
      <c r="AB106" s="11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7"/>
      <c r="AO106" s="15"/>
      <c r="AP106" s="15"/>
      <c r="AQ106" s="15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</row>
    <row r="107" spans="1:54" s="5" customFormat="1" x14ac:dyDescent="0.25">
      <c r="A107" s="7"/>
      <c r="B107" s="77"/>
      <c r="C107" s="78"/>
      <c r="D107" s="78"/>
      <c r="E107" s="83"/>
      <c r="F107" s="78"/>
      <c r="G107" s="77"/>
      <c r="H107" s="78"/>
      <c r="I107" s="77"/>
      <c r="J107" s="78"/>
      <c r="K107" s="82"/>
      <c r="L107" s="33" t="s">
        <v>97</v>
      </c>
      <c r="M107" s="83"/>
      <c r="N107" s="77"/>
      <c r="O107" s="78"/>
      <c r="P107" s="77"/>
      <c r="Q107" s="78"/>
      <c r="R107" s="77"/>
      <c r="S107" s="78"/>
      <c r="T107" s="77"/>
      <c r="U107" s="78"/>
      <c r="V107" s="77"/>
      <c r="W107" s="7"/>
      <c r="X107" s="28" t="str">
        <f t="shared" si="2"/>
        <v>Space heating</v>
      </c>
      <c r="Y107" s="6"/>
      <c r="Z107" s="6"/>
      <c r="AA107" s="6"/>
      <c r="AB107" s="11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7"/>
      <c r="AO107" s="15"/>
      <c r="AP107" s="15"/>
      <c r="AQ107" s="15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</row>
    <row r="108" spans="1:54" s="5" customFormat="1" x14ac:dyDescent="0.25">
      <c r="A108" s="7"/>
      <c r="B108" s="77"/>
      <c r="C108" s="78"/>
      <c r="D108" s="78"/>
      <c r="E108" s="83"/>
      <c r="F108" s="78"/>
      <c r="G108" s="77"/>
      <c r="H108" s="78"/>
      <c r="I108" s="77"/>
      <c r="J108" s="78"/>
      <c r="K108" s="83"/>
      <c r="L108" s="78"/>
      <c r="M108" s="83"/>
      <c r="N108" s="77"/>
      <c r="O108" s="78"/>
      <c r="P108" s="77"/>
      <c r="Q108" s="78"/>
      <c r="R108" s="77"/>
      <c r="S108" s="78"/>
      <c r="T108" s="77"/>
      <c r="U108" s="78"/>
      <c r="V108" s="77"/>
      <c r="W108" s="7"/>
      <c r="X108" s="27" t="str">
        <f t="shared" si="2"/>
        <v/>
      </c>
      <c r="Y108" s="3" t="s">
        <v>114</v>
      </c>
      <c r="Z108" s="3" t="s">
        <v>89</v>
      </c>
      <c r="AA108" s="3"/>
      <c r="AB108" s="18" t="s">
        <v>38</v>
      </c>
      <c r="AC108" s="3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7"/>
      <c r="AO108" s="38"/>
      <c r="AP108" s="38"/>
      <c r="AQ108" s="38"/>
      <c r="AR108" s="43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</row>
    <row r="109" spans="1:54" s="5" customFormat="1" x14ac:dyDescent="0.25">
      <c r="A109" s="7"/>
      <c r="B109" s="77"/>
      <c r="C109" s="78"/>
      <c r="D109" s="78"/>
      <c r="E109" s="83"/>
      <c r="F109" s="78"/>
      <c r="G109" s="77"/>
      <c r="H109" s="78"/>
      <c r="I109" s="77"/>
      <c r="J109" s="78"/>
      <c r="K109" s="83"/>
      <c r="L109" s="78"/>
      <c r="M109" s="83"/>
      <c r="N109" s="77"/>
      <c r="O109" s="78"/>
      <c r="P109" s="77"/>
      <c r="Q109" s="78"/>
      <c r="R109" s="77"/>
      <c r="S109" s="78"/>
      <c r="T109" s="77"/>
      <c r="U109" s="78"/>
      <c r="V109" s="77"/>
      <c r="W109" s="7"/>
      <c r="X109" s="27" t="str">
        <f t="shared" si="2"/>
        <v/>
      </c>
      <c r="Y109" s="3" t="s">
        <v>63</v>
      </c>
      <c r="Z109" s="3"/>
      <c r="AA109" s="3"/>
      <c r="AB109" s="18" t="s">
        <v>25</v>
      </c>
      <c r="AC109" s="3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7"/>
      <c r="AO109" s="38"/>
      <c r="AP109" s="38"/>
      <c r="AQ109" s="38"/>
      <c r="AR109" s="43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</row>
    <row r="110" spans="1:54" s="5" customFormat="1" x14ac:dyDescent="0.25">
      <c r="A110" s="7"/>
      <c r="B110" s="77"/>
      <c r="C110" s="78"/>
      <c r="D110" s="78"/>
      <c r="E110" s="83"/>
      <c r="F110" s="78"/>
      <c r="G110" s="77"/>
      <c r="H110" s="78"/>
      <c r="I110" s="77"/>
      <c r="J110" s="78"/>
      <c r="K110" s="83"/>
      <c r="L110" s="78"/>
      <c r="M110" s="83"/>
      <c r="N110" s="77"/>
      <c r="O110" s="78"/>
      <c r="P110" s="77"/>
      <c r="Q110" s="78"/>
      <c r="R110" s="77"/>
      <c r="S110" s="78"/>
      <c r="T110" s="77"/>
      <c r="U110" s="78"/>
      <c r="V110" s="77"/>
      <c r="W110" s="7"/>
      <c r="X110" s="27" t="str">
        <f t="shared" si="2"/>
        <v/>
      </c>
      <c r="Y110" s="3" t="s">
        <v>86</v>
      </c>
      <c r="Z110" s="3"/>
      <c r="AA110" s="3"/>
      <c r="AB110" s="18" t="s">
        <v>39</v>
      </c>
      <c r="AC110" s="3">
        <v>10</v>
      </c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7"/>
      <c r="AO110" s="38"/>
      <c r="AP110" s="38"/>
      <c r="AQ110" s="38"/>
      <c r="AR110" s="43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</row>
    <row r="111" spans="1:54" s="5" customFormat="1" x14ac:dyDescent="0.25">
      <c r="A111" s="7"/>
      <c r="B111" s="77"/>
      <c r="C111" s="78"/>
      <c r="D111" s="78"/>
      <c r="E111" s="83"/>
      <c r="F111" s="78"/>
      <c r="G111" s="77"/>
      <c r="H111" s="78"/>
      <c r="I111" s="77"/>
      <c r="J111" s="78"/>
      <c r="K111" s="83"/>
      <c r="L111" s="78"/>
      <c r="M111" s="83"/>
      <c r="N111" s="77"/>
      <c r="O111" s="78"/>
      <c r="P111" s="77"/>
      <c r="Q111" s="78"/>
      <c r="R111" s="77"/>
      <c r="S111" s="78"/>
      <c r="T111" s="77"/>
      <c r="U111" s="78"/>
      <c r="V111" s="77"/>
      <c r="W111" s="7"/>
      <c r="X111" s="27" t="str">
        <f t="shared" si="2"/>
        <v/>
      </c>
      <c r="Y111" s="3" t="s">
        <v>68</v>
      </c>
      <c r="Z111" s="3"/>
      <c r="AA111" s="3"/>
      <c r="AB111" s="18" t="s">
        <v>36</v>
      </c>
      <c r="AC111" s="3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7"/>
      <c r="AO111" s="38"/>
      <c r="AP111" s="38"/>
      <c r="AQ111" s="38"/>
      <c r="AR111" s="43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</row>
    <row r="112" spans="1:54" s="5" customFormat="1" x14ac:dyDescent="0.25">
      <c r="A112" s="7"/>
      <c r="B112" s="77"/>
      <c r="C112" s="78"/>
      <c r="D112" s="78"/>
      <c r="E112" s="83"/>
      <c r="F112" s="78"/>
      <c r="G112" s="77"/>
      <c r="H112" s="78"/>
      <c r="I112" s="77"/>
      <c r="J112" s="78"/>
      <c r="K112" s="83"/>
      <c r="L112" s="78"/>
      <c r="M112" s="83"/>
      <c r="N112" s="77"/>
      <c r="O112" s="78"/>
      <c r="P112" s="77"/>
      <c r="Q112" s="78"/>
      <c r="R112" s="77"/>
      <c r="S112" s="78"/>
      <c r="T112" s="77"/>
      <c r="U112" s="78"/>
      <c r="V112" s="77"/>
      <c r="W112" s="7"/>
      <c r="X112" s="27" t="str">
        <f t="shared" si="2"/>
        <v/>
      </c>
      <c r="Y112" s="3" t="s">
        <v>43</v>
      </c>
      <c r="Z112" s="3"/>
      <c r="AA112" s="3" t="s">
        <v>45</v>
      </c>
      <c r="AB112" s="18" t="s">
        <v>36</v>
      </c>
      <c r="AC112" s="3">
        <v>1990</v>
      </c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7"/>
      <c r="AO112" s="38"/>
      <c r="AP112" s="38"/>
      <c r="AQ112" s="38"/>
      <c r="AR112" s="43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</row>
    <row r="113" spans="1:54" s="5" customFormat="1" x14ac:dyDescent="0.25">
      <c r="A113" s="7"/>
      <c r="B113" s="77"/>
      <c r="C113" s="78"/>
      <c r="D113" s="78"/>
      <c r="E113" s="83"/>
      <c r="F113" s="78"/>
      <c r="G113" s="77"/>
      <c r="H113" s="78"/>
      <c r="I113" s="77"/>
      <c r="J113" s="78"/>
      <c r="K113" s="83"/>
      <c r="L113" s="78"/>
      <c r="M113" s="83"/>
      <c r="N113" s="77"/>
      <c r="O113" s="78"/>
      <c r="P113" s="77"/>
      <c r="Q113" s="78"/>
      <c r="R113" s="77"/>
      <c r="S113" s="78"/>
      <c r="T113" s="77"/>
      <c r="U113" s="78"/>
      <c r="V113" s="77"/>
      <c r="W113" s="7"/>
      <c r="X113" s="27" t="str">
        <f t="shared" si="2"/>
        <v/>
      </c>
      <c r="Y113" s="3" t="s">
        <v>42</v>
      </c>
      <c r="Z113" s="3"/>
      <c r="AA113" s="3" t="s">
        <v>45</v>
      </c>
      <c r="AB113" s="18" t="s">
        <v>36</v>
      </c>
      <c r="AC113" s="3">
        <v>2100</v>
      </c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7"/>
      <c r="AO113" s="38"/>
      <c r="AP113" s="38"/>
      <c r="AQ113" s="38"/>
      <c r="AR113" s="43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</row>
    <row r="114" spans="1:54" s="5" customFormat="1" x14ac:dyDescent="0.25">
      <c r="A114" s="7"/>
      <c r="B114" s="77"/>
      <c r="C114" s="78"/>
      <c r="D114" s="78"/>
      <c r="E114" s="83"/>
      <c r="F114" s="78"/>
      <c r="G114" s="77"/>
      <c r="H114" s="78"/>
      <c r="I114" s="77"/>
      <c r="J114" s="78"/>
      <c r="K114" s="83"/>
      <c r="L114" s="78"/>
      <c r="M114" s="83"/>
      <c r="N114" s="77"/>
      <c r="O114" s="78"/>
      <c r="P114" s="77"/>
      <c r="Q114" s="78"/>
      <c r="R114" s="77"/>
      <c r="S114" s="78"/>
      <c r="T114" s="77"/>
      <c r="U114" s="78"/>
      <c r="V114" s="77"/>
      <c r="W114" s="7"/>
      <c r="X114" s="27" t="str">
        <f t="shared" si="2"/>
        <v/>
      </c>
      <c r="Y114" s="3" t="s">
        <v>44</v>
      </c>
      <c r="Z114" s="3"/>
      <c r="AA114" s="3" t="s">
        <v>10</v>
      </c>
      <c r="AB114" s="18" t="s">
        <v>36</v>
      </c>
      <c r="AC114" s="3">
        <v>25</v>
      </c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7"/>
      <c r="AO114" s="38"/>
      <c r="AP114" s="38"/>
      <c r="AQ114" s="38"/>
      <c r="AR114" s="43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</row>
    <row r="115" spans="1:54" s="5" customFormat="1" x14ac:dyDescent="0.25">
      <c r="A115" s="7"/>
      <c r="B115" s="77"/>
      <c r="C115" s="78"/>
      <c r="D115" s="78"/>
      <c r="E115" s="83"/>
      <c r="F115" s="78"/>
      <c r="G115" s="77"/>
      <c r="H115" s="78"/>
      <c r="I115" s="77"/>
      <c r="J115" s="78"/>
      <c r="K115" s="83"/>
      <c r="L115" s="78"/>
      <c r="M115" s="83"/>
      <c r="N115" s="77"/>
      <c r="O115" s="78"/>
      <c r="P115" s="77"/>
      <c r="Q115" s="78"/>
      <c r="R115" s="77"/>
      <c r="S115" s="78"/>
      <c r="T115" s="77"/>
      <c r="U115" s="78"/>
      <c r="V115" s="77"/>
      <c r="W115" s="7"/>
      <c r="X115" s="27" t="str">
        <f t="shared" si="2"/>
        <v/>
      </c>
      <c r="Y115" s="3" t="s">
        <v>73</v>
      </c>
      <c r="Z115" s="3"/>
      <c r="AA115" s="3" t="s">
        <v>139</v>
      </c>
      <c r="AB115" s="18" t="s">
        <v>36</v>
      </c>
      <c r="AC115" s="3">
        <v>0.25</v>
      </c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7"/>
      <c r="AO115" s="38"/>
      <c r="AP115" s="38"/>
      <c r="AQ115" s="38"/>
      <c r="AR115" s="43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</row>
    <row r="116" spans="1:54" s="5" customFormat="1" x14ac:dyDescent="0.25">
      <c r="A116" s="7"/>
      <c r="B116" s="77"/>
      <c r="C116" s="78"/>
      <c r="D116" s="78"/>
      <c r="E116" s="83"/>
      <c r="F116" s="78"/>
      <c r="G116" s="77"/>
      <c r="H116" s="78"/>
      <c r="I116" s="77"/>
      <c r="J116" s="78"/>
      <c r="K116" s="83"/>
      <c r="L116" s="78"/>
      <c r="M116" s="83"/>
      <c r="N116" s="77"/>
      <c r="O116" s="78"/>
      <c r="P116" s="77"/>
      <c r="Q116" s="78"/>
      <c r="R116" s="77"/>
      <c r="S116" s="78"/>
      <c r="T116" s="77"/>
      <c r="U116" s="78"/>
      <c r="V116" s="77"/>
      <c r="W116" s="7"/>
      <c r="X116" s="27" t="str">
        <f t="shared" si="2"/>
        <v/>
      </c>
      <c r="Y116" s="3" t="s">
        <v>40</v>
      </c>
      <c r="Z116" s="3"/>
      <c r="AA116" s="3" t="s">
        <v>17</v>
      </c>
      <c r="AB116" s="18" t="s">
        <v>36</v>
      </c>
      <c r="AC116" s="3">
        <v>15</v>
      </c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7"/>
      <c r="AO116" s="38"/>
      <c r="AP116" s="38"/>
      <c r="AQ116" s="38"/>
      <c r="AR116" s="43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</row>
    <row r="117" spans="1:54" s="5" customFormat="1" x14ac:dyDescent="0.25">
      <c r="A117" s="7"/>
      <c r="B117" s="77"/>
      <c r="C117" s="78"/>
      <c r="D117" s="78"/>
      <c r="E117" s="83"/>
      <c r="F117" s="78"/>
      <c r="G117" s="77"/>
      <c r="H117" s="78"/>
      <c r="I117" s="77"/>
      <c r="J117" s="78"/>
      <c r="K117" s="83"/>
      <c r="L117" s="78"/>
      <c r="M117" s="83"/>
      <c r="N117" s="77"/>
      <c r="O117" s="78"/>
      <c r="P117" s="77"/>
      <c r="Q117" s="78"/>
      <c r="R117" s="77"/>
      <c r="S117" s="78"/>
      <c r="T117" s="77"/>
      <c r="U117" s="78"/>
      <c r="V117" s="77"/>
      <c r="W117" s="7"/>
      <c r="X117" s="27" t="str">
        <f t="shared" si="2"/>
        <v/>
      </c>
      <c r="Y117" s="3" t="s">
        <v>46</v>
      </c>
      <c r="Z117" s="3"/>
      <c r="AA117" s="3" t="s">
        <v>17</v>
      </c>
      <c r="AB117" s="18" t="s">
        <v>36</v>
      </c>
      <c r="AC117" s="3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7"/>
      <c r="AO117" s="38"/>
      <c r="AP117" s="38"/>
      <c r="AQ117" s="38"/>
      <c r="AR117" s="43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</row>
    <row r="118" spans="1:54" s="5" customFormat="1" x14ac:dyDescent="0.25">
      <c r="A118" s="7"/>
      <c r="B118" s="77"/>
      <c r="C118" s="78"/>
      <c r="D118" s="78"/>
      <c r="E118" s="83"/>
      <c r="F118" s="78"/>
      <c r="G118" s="77"/>
      <c r="H118" s="78"/>
      <c r="I118" s="77"/>
      <c r="J118" s="78"/>
      <c r="K118" s="83"/>
      <c r="L118" s="78"/>
      <c r="M118" s="83"/>
      <c r="N118" s="77"/>
      <c r="O118" s="78"/>
      <c r="P118" s="77"/>
      <c r="Q118" s="78"/>
      <c r="R118" s="77"/>
      <c r="S118" s="78"/>
      <c r="T118" s="77"/>
      <c r="U118" s="78"/>
      <c r="V118" s="77"/>
      <c r="W118" s="7"/>
      <c r="X118" s="27" t="str">
        <f t="shared" si="2"/>
        <v/>
      </c>
      <c r="Y118" s="3" t="s">
        <v>53</v>
      </c>
      <c r="Z118" s="3"/>
      <c r="AA118" s="3" t="s">
        <v>17</v>
      </c>
      <c r="AB118" s="18" t="s">
        <v>36</v>
      </c>
      <c r="AC118" s="3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7"/>
      <c r="AO118" s="38"/>
      <c r="AP118" s="38"/>
      <c r="AQ118" s="38"/>
      <c r="AR118" s="43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</row>
    <row r="119" spans="1:54" s="5" customFormat="1" x14ac:dyDescent="0.25">
      <c r="A119" s="7"/>
      <c r="B119" s="77"/>
      <c r="C119" s="78"/>
      <c r="D119" s="78"/>
      <c r="E119" s="83"/>
      <c r="F119" s="78"/>
      <c r="G119" s="77"/>
      <c r="H119" s="78"/>
      <c r="I119" s="77"/>
      <c r="J119" s="78"/>
      <c r="K119" s="83"/>
      <c r="L119" s="78"/>
      <c r="M119" s="83"/>
      <c r="N119" s="77"/>
      <c r="O119" s="78"/>
      <c r="P119" s="77"/>
      <c r="Q119" s="78"/>
      <c r="R119" s="77"/>
      <c r="S119" s="78"/>
      <c r="T119" s="77"/>
      <c r="U119" s="78"/>
      <c r="V119" s="77"/>
      <c r="W119" s="7"/>
      <c r="X119" s="27" t="str">
        <f t="shared" si="2"/>
        <v/>
      </c>
      <c r="Y119" s="3" t="s">
        <v>116</v>
      </c>
      <c r="Z119" s="3"/>
      <c r="AA119" s="3" t="s">
        <v>17</v>
      </c>
      <c r="AB119" s="18" t="s">
        <v>36</v>
      </c>
      <c r="AC119" s="23">
        <f>AC124*$AC$25</f>
        <v>22</v>
      </c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7"/>
      <c r="AO119" s="38"/>
      <c r="AP119" s="38"/>
      <c r="AQ119" s="38"/>
      <c r="AR119" s="43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</row>
    <row r="120" spans="1:54" s="5" customFormat="1" x14ac:dyDescent="0.25">
      <c r="A120" s="7"/>
      <c r="B120" s="77"/>
      <c r="C120" s="78"/>
      <c r="D120" s="78"/>
      <c r="E120" s="83"/>
      <c r="F120" s="78"/>
      <c r="G120" s="77"/>
      <c r="H120" s="78"/>
      <c r="I120" s="77"/>
      <c r="J120" s="78"/>
      <c r="K120" s="83"/>
      <c r="L120" s="78"/>
      <c r="M120" s="83"/>
      <c r="N120" s="77"/>
      <c r="O120" s="78"/>
      <c r="P120" s="77"/>
      <c r="Q120" s="78"/>
      <c r="R120" s="77"/>
      <c r="S120" s="78"/>
      <c r="T120" s="77"/>
      <c r="U120" s="78"/>
      <c r="V120" s="77"/>
      <c r="W120" s="7"/>
      <c r="X120" s="27" t="str">
        <f t="shared" ref="X120:X183" si="3">IFERROR(INDEX($B120:$V120,MATCH(TRUE,INDEX(($B120:$V120&lt;&gt;0),0),0)),"")</f>
        <v/>
      </c>
      <c r="Y120" s="3" t="s">
        <v>49</v>
      </c>
      <c r="Z120" s="3"/>
      <c r="AA120" s="3" t="s">
        <v>139</v>
      </c>
      <c r="AB120" s="18" t="s">
        <v>36</v>
      </c>
      <c r="AC120" s="3">
        <v>1</v>
      </c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7"/>
      <c r="AO120" s="38"/>
      <c r="AP120" s="38"/>
      <c r="AQ120" s="38"/>
      <c r="AR120" s="43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</row>
    <row r="121" spans="1:54" s="5" customFormat="1" x14ac:dyDescent="0.25">
      <c r="A121" s="7"/>
      <c r="B121" s="77"/>
      <c r="C121" s="78"/>
      <c r="D121" s="78"/>
      <c r="E121" s="83"/>
      <c r="F121" s="78"/>
      <c r="G121" s="77"/>
      <c r="H121" s="78"/>
      <c r="I121" s="77"/>
      <c r="J121" s="78"/>
      <c r="K121" s="83"/>
      <c r="L121" s="78"/>
      <c r="M121" s="83"/>
      <c r="N121" s="77"/>
      <c r="O121" s="78"/>
      <c r="P121" s="77"/>
      <c r="Q121" s="78"/>
      <c r="R121" s="77"/>
      <c r="S121" s="78"/>
      <c r="T121" s="77"/>
      <c r="U121" s="78"/>
      <c r="V121" s="77"/>
      <c r="W121" s="7"/>
      <c r="X121" s="27" t="str">
        <f t="shared" si="3"/>
        <v/>
      </c>
      <c r="Y121" s="3" t="s">
        <v>50</v>
      </c>
      <c r="Z121" s="3"/>
      <c r="AA121" s="3" t="s">
        <v>139</v>
      </c>
      <c r="AB121" s="18" t="s">
        <v>36</v>
      </c>
      <c r="AC121" s="3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7"/>
      <c r="AO121" s="38"/>
      <c r="AP121" s="38"/>
      <c r="AQ121" s="38"/>
      <c r="AR121" s="43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</row>
    <row r="122" spans="1:54" s="5" customFormat="1" x14ac:dyDescent="0.25">
      <c r="A122" s="7"/>
      <c r="B122" s="77"/>
      <c r="C122" s="78"/>
      <c r="D122" s="78"/>
      <c r="E122" s="83"/>
      <c r="F122" s="78"/>
      <c r="G122" s="77"/>
      <c r="H122" s="78"/>
      <c r="I122" s="77"/>
      <c r="J122" s="78"/>
      <c r="K122" s="83"/>
      <c r="L122" s="78"/>
      <c r="M122" s="83"/>
      <c r="N122" s="77"/>
      <c r="O122" s="78"/>
      <c r="P122" s="77"/>
      <c r="Q122" s="78"/>
      <c r="R122" s="77"/>
      <c r="S122" s="78"/>
      <c r="T122" s="77"/>
      <c r="U122" s="78"/>
      <c r="V122" s="77"/>
      <c r="W122" s="7"/>
      <c r="X122" s="27" t="str">
        <f t="shared" si="3"/>
        <v/>
      </c>
      <c r="Y122" s="3" t="s">
        <v>51</v>
      </c>
      <c r="Z122" s="3"/>
      <c r="AA122" s="3" t="s">
        <v>139</v>
      </c>
      <c r="AB122" s="18" t="s">
        <v>36</v>
      </c>
      <c r="AC122" s="3">
        <v>1</v>
      </c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7"/>
      <c r="AO122" s="38"/>
      <c r="AP122" s="38"/>
      <c r="AQ122" s="38"/>
      <c r="AR122" s="43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</row>
    <row r="123" spans="1:54" s="5" customFormat="1" x14ac:dyDescent="0.25">
      <c r="A123" s="7"/>
      <c r="B123" s="77"/>
      <c r="C123" s="78"/>
      <c r="D123" s="78"/>
      <c r="E123" s="83"/>
      <c r="F123" s="78"/>
      <c r="G123" s="77"/>
      <c r="H123" s="78"/>
      <c r="I123" s="77"/>
      <c r="J123" s="78"/>
      <c r="K123" s="83"/>
      <c r="L123" s="78"/>
      <c r="M123" s="83"/>
      <c r="N123" s="77"/>
      <c r="O123" s="78"/>
      <c r="P123" s="77"/>
      <c r="Q123" s="78"/>
      <c r="R123" s="77"/>
      <c r="S123" s="78"/>
      <c r="T123" s="77"/>
      <c r="U123" s="78"/>
      <c r="V123" s="77"/>
      <c r="W123" s="7"/>
      <c r="X123" s="27" t="str">
        <f t="shared" si="3"/>
        <v/>
      </c>
      <c r="Y123" s="3" t="s">
        <v>52</v>
      </c>
      <c r="Z123" s="3"/>
      <c r="AA123" s="3" t="s">
        <v>139</v>
      </c>
      <c r="AB123" s="18" t="s">
        <v>36</v>
      </c>
      <c r="AC123" s="3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7"/>
      <c r="AO123" s="38"/>
      <c r="AP123" s="38"/>
      <c r="AQ123" s="38"/>
      <c r="AR123" s="43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</row>
    <row r="124" spans="1:54" s="5" customFormat="1" x14ac:dyDescent="0.25">
      <c r="A124" s="7"/>
      <c r="B124" s="77"/>
      <c r="C124" s="78"/>
      <c r="D124" s="78"/>
      <c r="E124" s="83"/>
      <c r="F124" s="78"/>
      <c r="G124" s="77"/>
      <c r="H124" s="78"/>
      <c r="I124" s="77"/>
      <c r="J124" s="78"/>
      <c r="K124" s="83"/>
      <c r="L124" s="78"/>
      <c r="M124" s="83"/>
      <c r="N124" s="77"/>
      <c r="O124" s="78"/>
      <c r="P124" s="77"/>
      <c r="Q124" s="78"/>
      <c r="R124" s="77"/>
      <c r="S124" s="78"/>
      <c r="T124" s="77"/>
      <c r="U124" s="78"/>
      <c r="V124" s="77"/>
      <c r="W124" s="7"/>
      <c r="X124" s="27" t="str">
        <f t="shared" si="3"/>
        <v/>
      </c>
      <c r="Y124" s="3" t="s">
        <v>115</v>
      </c>
      <c r="Z124" s="3" t="s">
        <v>110</v>
      </c>
      <c r="AA124" s="3" t="s">
        <v>62</v>
      </c>
      <c r="AB124" s="18" t="s">
        <v>36</v>
      </c>
      <c r="AC124" s="22">
        <v>1</v>
      </c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7"/>
      <c r="AO124" s="38"/>
      <c r="AP124" s="38"/>
      <c r="AQ124" s="38"/>
      <c r="AR124" s="43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</row>
    <row r="125" spans="1:54" s="5" customFormat="1" x14ac:dyDescent="0.25">
      <c r="A125" s="7"/>
      <c r="B125" s="77"/>
      <c r="C125" s="78"/>
      <c r="D125" s="78"/>
      <c r="E125" s="83"/>
      <c r="F125" s="78"/>
      <c r="G125" s="77"/>
      <c r="H125" s="78"/>
      <c r="I125" s="77"/>
      <c r="J125" s="78"/>
      <c r="K125" s="83"/>
      <c r="L125" s="78"/>
      <c r="M125" s="83"/>
      <c r="N125" s="77"/>
      <c r="O125" s="78"/>
      <c r="P125" s="77"/>
      <c r="Q125" s="78"/>
      <c r="R125" s="77"/>
      <c r="S125" s="78"/>
      <c r="T125" s="77"/>
      <c r="U125" s="78"/>
      <c r="V125" s="77"/>
      <c r="W125" s="7"/>
      <c r="X125" s="27" t="str">
        <f t="shared" si="3"/>
        <v/>
      </c>
      <c r="Y125" s="3" t="s">
        <v>105</v>
      </c>
      <c r="Z125" s="3"/>
      <c r="AA125" s="3" t="s">
        <v>139</v>
      </c>
      <c r="AB125" s="18" t="s">
        <v>36</v>
      </c>
      <c r="AC125" s="22">
        <v>5.5303779999999999E-3</v>
      </c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7"/>
      <c r="AO125" s="38"/>
      <c r="AP125" s="38"/>
      <c r="AQ125" s="38"/>
      <c r="AR125" s="43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</row>
    <row r="126" spans="1:54" s="5" customFormat="1" x14ac:dyDescent="0.25">
      <c r="A126" s="7"/>
      <c r="B126" s="77"/>
      <c r="C126" s="78"/>
      <c r="D126" s="78"/>
      <c r="E126" s="83"/>
      <c r="F126" s="78"/>
      <c r="G126" s="77"/>
      <c r="H126" s="78"/>
      <c r="I126" s="77"/>
      <c r="J126" s="78"/>
      <c r="K126" s="83"/>
      <c r="L126" s="78"/>
      <c r="M126" s="83"/>
      <c r="N126" s="77"/>
      <c r="O126" s="78"/>
      <c r="P126" s="77"/>
      <c r="Q126" s="78"/>
      <c r="R126" s="77"/>
      <c r="S126" s="78"/>
      <c r="T126" s="77"/>
      <c r="U126" s="78"/>
      <c r="V126" s="77"/>
      <c r="W126" s="7"/>
      <c r="X126" s="27" t="str">
        <f t="shared" si="3"/>
        <v/>
      </c>
      <c r="Y126" s="3" t="s">
        <v>68</v>
      </c>
      <c r="Z126" s="3"/>
      <c r="AA126" s="3"/>
      <c r="AB126" s="18" t="s">
        <v>37</v>
      </c>
      <c r="AC126" s="3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7"/>
      <c r="AO126" s="38"/>
      <c r="AP126" s="38"/>
      <c r="AQ126" s="38"/>
      <c r="AR126" s="43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</row>
    <row r="127" spans="1:54" s="5" customFormat="1" x14ac:dyDescent="0.25">
      <c r="A127" s="7"/>
      <c r="B127" s="77"/>
      <c r="C127" s="78"/>
      <c r="D127" s="78"/>
      <c r="E127" s="83"/>
      <c r="F127" s="78"/>
      <c r="G127" s="77"/>
      <c r="H127" s="78"/>
      <c r="I127" s="77"/>
      <c r="J127" s="78"/>
      <c r="K127" s="83"/>
      <c r="L127" s="78"/>
      <c r="M127" s="83"/>
      <c r="N127" s="77"/>
      <c r="O127" s="78"/>
      <c r="P127" s="77"/>
      <c r="Q127" s="78"/>
      <c r="R127" s="77"/>
      <c r="S127" s="78"/>
      <c r="T127" s="77"/>
      <c r="U127" s="78"/>
      <c r="V127" s="77"/>
      <c r="W127" s="7"/>
      <c r="X127" s="27" t="str">
        <f t="shared" si="3"/>
        <v/>
      </c>
      <c r="Y127" s="3" t="s">
        <v>116</v>
      </c>
      <c r="Z127" s="3"/>
      <c r="AA127" s="3" t="s">
        <v>17</v>
      </c>
      <c r="AB127" s="18" t="s">
        <v>37</v>
      </c>
      <c r="AC127" s="23">
        <f>AC132*SUM(AC145:AC148)*AC152+SUM(AC158:AC161)*AC165+SUM(AC171:AC174)*AC178+SUM(AC184:AC187)*AC191</f>
        <v>27.372366400000001</v>
      </c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7"/>
      <c r="AO127" s="38"/>
      <c r="AP127" s="38"/>
      <c r="AQ127" s="38"/>
      <c r="AR127" s="43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</row>
    <row r="128" spans="1:54" s="5" customFormat="1" x14ac:dyDescent="0.25">
      <c r="A128" s="7"/>
      <c r="B128" s="77"/>
      <c r="C128" s="78"/>
      <c r="D128" s="78"/>
      <c r="E128" s="83"/>
      <c r="F128" s="78"/>
      <c r="G128" s="77"/>
      <c r="H128" s="78"/>
      <c r="I128" s="77"/>
      <c r="J128" s="78"/>
      <c r="K128" s="83"/>
      <c r="L128" s="78"/>
      <c r="M128" s="83"/>
      <c r="N128" s="77"/>
      <c r="O128" s="78"/>
      <c r="P128" s="77"/>
      <c r="Q128" s="78"/>
      <c r="R128" s="77"/>
      <c r="S128" s="78"/>
      <c r="T128" s="77"/>
      <c r="U128" s="78"/>
      <c r="V128" s="77"/>
      <c r="W128" s="7"/>
      <c r="X128" s="27" t="str">
        <f t="shared" si="3"/>
        <v/>
      </c>
      <c r="Y128" s="3" t="s">
        <v>49</v>
      </c>
      <c r="Z128" s="3"/>
      <c r="AA128" s="3" t="s">
        <v>139</v>
      </c>
      <c r="AB128" s="18" t="s">
        <v>37</v>
      </c>
      <c r="AC128" s="3">
        <v>1</v>
      </c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7"/>
      <c r="AO128" s="38"/>
      <c r="AP128" s="38"/>
      <c r="AQ128" s="38"/>
      <c r="AR128" s="43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</row>
    <row r="129" spans="1:54" s="5" customFormat="1" x14ac:dyDescent="0.25">
      <c r="A129" s="7"/>
      <c r="B129" s="77"/>
      <c r="C129" s="78"/>
      <c r="D129" s="78"/>
      <c r="E129" s="83"/>
      <c r="F129" s="78"/>
      <c r="G129" s="77"/>
      <c r="H129" s="78"/>
      <c r="I129" s="77"/>
      <c r="J129" s="78"/>
      <c r="K129" s="83"/>
      <c r="L129" s="78"/>
      <c r="M129" s="83"/>
      <c r="N129" s="77"/>
      <c r="O129" s="78"/>
      <c r="P129" s="77"/>
      <c r="Q129" s="78"/>
      <c r="R129" s="77"/>
      <c r="S129" s="78"/>
      <c r="T129" s="77"/>
      <c r="U129" s="78"/>
      <c r="V129" s="77"/>
      <c r="W129" s="7"/>
      <c r="X129" s="27" t="str">
        <f t="shared" si="3"/>
        <v/>
      </c>
      <c r="Y129" s="3" t="s">
        <v>50</v>
      </c>
      <c r="Z129" s="3"/>
      <c r="AA129" s="3" t="s">
        <v>139</v>
      </c>
      <c r="AB129" s="18" t="s">
        <v>37</v>
      </c>
      <c r="AC129" s="3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7"/>
      <c r="AO129" s="38"/>
      <c r="AP129" s="38"/>
      <c r="AQ129" s="38"/>
      <c r="AR129" s="43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</row>
    <row r="130" spans="1:54" s="5" customFormat="1" x14ac:dyDescent="0.25">
      <c r="A130" s="7"/>
      <c r="B130" s="77"/>
      <c r="C130" s="78"/>
      <c r="D130" s="78"/>
      <c r="E130" s="83"/>
      <c r="F130" s="78"/>
      <c r="G130" s="77"/>
      <c r="H130" s="78"/>
      <c r="I130" s="77"/>
      <c r="J130" s="78"/>
      <c r="K130" s="83"/>
      <c r="L130" s="78"/>
      <c r="M130" s="83"/>
      <c r="N130" s="77"/>
      <c r="O130" s="78"/>
      <c r="P130" s="77"/>
      <c r="Q130" s="78"/>
      <c r="R130" s="77"/>
      <c r="S130" s="78"/>
      <c r="T130" s="77"/>
      <c r="U130" s="78"/>
      <c r="V130" s="77"/>
      <c r="W130" s="7"/>
      <c r="X130" s="27" t="str">
        <f t="shared" si="3"/>
        <v/>
      </c>
      <c r="Y130" s="3" t="s">
        <v>51</v>
      </c>
      <c r="Z130" s="3"/>
      <c r="AA130" s="3" t="s">
        <v>139</v>
      </c>
      <c r="AB130" s="18" t="s">
        <v>37</v>
      </c>
      <c r="AC130" s="3">
        <v>1</v>
      </c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7"/>
      <c r="AO130" s="38"/>
      <c r="AP130" s="38"/>
      <c r="AQ130" s="38"/>
      <c r="AR130" s="43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</row>
    <row r="131" spans="1:54" s="5" customFormat="1" x14ac:dyDescent="0.25">
      <c r="A131" s="7"/>
      <c r="B131" s="77"/>
      <c r="C131" s="78"/>
      <c r="D131" s="78"/>
      <c r="E131" s="83"/>
      <c r="F131" s="78"/>
      <c r="G131" s="77"/>
      <c r="H131" s="78"/>
      <c r="I131" s="77"/>
      <c r="J131" s="78"/>
      <c r="K131" s="83"/>
      <c r="L131" s="78"/>
      <c r="M131" s="83"/>
      <c r="N131" s="77"/>
      <c r="O131" s="78"/>
      <c r="P131" s="77"/>
      <c r="Q131" s="78"/>
      <c r="R131" s="77"/>
      <c r="S131" s="78"/>
      <c r="T131" s="77"/>
      <c r="U131" s="78"/>
      <c r="V131" s="77"/>
      <c r="W131" s="7"/>
      <c r="X131" s="27" t="str">
        <f t="shared" si="3"/>
        <v/>
      </c>
      <c r="Y131" s="3" t="s">
        <v>52</v>
      </c>
      <c r="Z131" s="3"/>
      <c r="AA131" s="3" t="s">
        <v>139</v>
      </c>
      <c r="AB131" s="18" t="s">
        <v>37</v>
      </c>
      <c r="AC131" s="3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7"/>
      <c r="AO131" s="38"/>
      <c r="AP131" s="38"/>
      <c r="AQ131" s="38"/>
      <c r="AR131" s="43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</row>
    <row r="132" spans="1:54" s="5" customFormat="1" x14ac:dyDescent="0.25">
      <c r="A132" s="7"/>
      <c r="B132" s="77"/>
      <c r="C132" s="78"/>
      <c r="D132" s="78"/>
      <c r="E132" s="83"/>
      <c r="F132" s="78"/>
      <c r="G132" s="77"/>
      <c r="H132" s="78"/>
      <c r="I132" s="77"/>
      <c r="J132" s="78"/>
      <c r="K132" s="83"/>
      <c r="L132" s="78"/>
      <c r="M132" s="83"/>
      <c r="N132" s="77"/>
      <c r="O132" s="78"/>
      <c r="P132" s="77"/>
      <c r="Q132" s="78"/>
      <c r="R132" s="77"/>
      <c r="S132" s="78"/>
      <c r="T132" s="77"/>
      <c r="U132" s="78"/>
      <c r="V132" s="77"/>
      <c r="W132" s="7"/>
      <c r="X132" s="27" t="str">
        <f t="shared" si="3"/>
        <v/>
      </c>
      <c r="Y132" s="3" t="s">
        <v>115</v>
      </c>
      <c r="Z132" s="3" t="s">
        <v>111</v>
      </c>
      <c r="AA132" s="3" t="s">
        <v>62</v>
      </c>
      <c r="AB132" s="18" t="s">
        <v>37</v>
      </c>
      <c r="AC132" s="22">
        <v>1</v>
      </c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7"/>
      <c r="AO132" s="38"/>
      <c r="AP132" s="38"/>
      <c r="AQ132" s="38"/>
      <c r="AR132" s="43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</row>
    <row r="133" spans="1:54" s="5" customFormat="1" x14ac:dyDescent="0.25">
      <c r="A133" s="7"/>
      <c r="B133" s="77"/>
      <c r="C133" s="78"/>
      <c r="D133" s="78"/>
      <c r="E133" s="83"/>
      <c r="F133" s="78"/>
      <c r="G133" s="77"/>
      <c r="H133" s="78"/>
      <c r="I133" s="77"/>
      <c r="J133" s="78"/>
      <c r="K133" s="83"/>
      <c r="L133" s="78"/>
      <c r="M133" s="83"/>
      <c r="N133" s="77"/>
      <c r="O133" s="78"/>
      <c r="P133" s="77"/>
      <c r="Q133" s="78"/>
      <c r="R133" s="77"/>
      <c r="S133" s="78"/>
      <c r="T133" s="77"/>
      <c r="U133" s="78"/>
      <c r="V133" s="77"/>
      <c r="W133" s="7"/>
      <c r="X133" s="27" t="str">
        <f t="shared" si="3"/>
        <v/>
      </c>
      <c r="Y133" s="3" t="s">
        <v>105</v>
      </c>
      <c r="Z133" s="3"/>
      <c r="AA133" s="3" t="s">
        <v>139</v>
      </c>
      <c r="AB133" s="18" t="s">
        <v>37</v>
      </c>
      <c r="AC133" s="22">
        <f>1-AC125</f>
        <v>0.994469622</v>
      </c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7"/>
      <c r="AO133" s="38"/>
      <c r="AP133" s="38"/>
      <c r="AQ133" s="38"/>
      <c r="AR133" s="43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</row>
    <row r="134" spans="1:54" s="5" customFormat="1" x14ac:dyDescent="0.25">
      <c r="A134" s="7"/>
      <c r="B134" s="77"/>
      <c r="C134" s="78"/>
      <c r="D134" s="78"/>
      <c r="E134" s="83"/>
      <c r="F134" s="78"/>
      <c r="G134" s="77"/>
      <c r="H134" s="80"/>
      <c r="I134" s="77"/>
      <c r="J134" s="78"/>
      <c r="K134" s="83"/>
      <c r="L134" s="77"/>
      <c r="M134" s="84"/>
      <c r="N134" s="78"/>
      <c r="O134" s="78"/>
      <c r="P134" s="77"/>
      <c r="Q134" s="78"/>
      <c r="R134" s="77"/>
      <c r="S134" s="78"/>
      <c r="T134" s="77"/>
      <c r="U134" s="78"/>
      <c r="V134" s="77"/>
      <c r="W134" s="7"/>
      <c r="X134" s="27" t="str">
        <f t="shared" si="3"/>
        <v/>
      </c>
      <c r="Y134" s="6"/>
      <c r="Z134" s="6"/>
      <c r="AA134" s="6"/>
      <c r="AB134" s="11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7"/>
      <c r="AO134" s="15"/>
      <c r="AP134" s="15"/>
      <c r="AQ134" s="15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</row>
    <row r="135" spans="1:54" s="5" customFormat="1" x14ac:dyDescent="0.25">
      <c r="A135" s="7"/>
      <c r="B135" s="77"/>
      <c r="C135" s="78"/>
      <c r="D135" s="78"/>
      <c r="E135" s="83"/>
      <c r="F135" s="78"/>
      <c r="G135" s="77"/>
      <c r="H135" s="80"/>
      <c r="I135" s="77"/>
      <c r="J135" s="78"/>
      <c r="K135" s="83"/>
      <c r="L135" s="77"/>
      <c r="M135" s="81"/>
      <c r="N135" s="32" t="s">
        <v>37</v>
      </c>
      <c r="O135" s="78"/>
      <c r="P135" s="77"/>
      <c r="Q135" s="78"/>
      <c r="R135" s="77"/>
      <c r="S135" s="78"/>
      <c r="T135" s="77"/>
      <c r="U135" s="78"/>
      <c r="V135" s="77"/>
      <c r="W135" s="7"/>
      <c r="X135" s="28" t="str">
        <f t="shared" si="3"/>
        <v>Furnace</v>
      </c>
      <c r="Y135" s="6"/>
      <c r="Z135" s="6"/>
      <c r="AA135" s="6"/>
      <c r="AB135" s="11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7"/>
      <c r="AO135" s="15"/>
      <c r="AP135" s="15"/>
      <c r="AQ135" s="15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</row>
    <row r="136" spans="1:54" s="5" customFormat="1" x14ac:dyDescent="0.25">
      <c r="A136" s="7"/>
      <c r="B136" s="77"/>
      <c r="C136" s="78"/>
      <c r="D136" s="78"/>
      <c r="E136" s="83"/>
      <c r="F136" s="78"/>
      <c r="G136" s="77"/>
      <c r="H136" s="80"/>
      <c r="I136" s="77"/>
      <c r="J136" s="78"/>
      <c r="K136" s="83"/>
      <c r="L136" s="77"/>
      <c r="M136" s="78"/>
      <c r="N136" s="78"/>
      <c r="O136" s="78"/>
      <c r="P136" s="77"/>
      <c r="Q136" s="78"/>
      <c r="R136" s="77"/>
      <c r="S136" s="78"/>
      <c r="T136" s="77"/>
      <c r="U136" s="78"/>
      <c r="V136" s="77"/>
      <c r="W136" s="7"/>
      <c r="X136" s="27" t="str">
        <f t="shared" si="3"/>
        <v/>
      </c>
      <c r="Y136" s="3" t="s">
        <v>114</v>
      </c>
      <c r="Z136" s="3" t="s">
        <v>90</v>
      </c>
      <c r="AA136" s="3"/>
      <c r="AB136" s="18" t="s">
        <v>38</v>
      </c>
      <c r="AC136" s="3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7"/>
      <c r="AO136" s="38"/>
      <c r="AP136" s="38"/>
      <c r="AQ136" s="38"/>
      <c r="AR136" s="43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</row>
    <row r="137" spans="1:54" s="5" customFormat="1" x14ac:dyDescent="0.25">
      <c r="A137" s="7"/>
      <c r="B137" s="77"/>
      <c r="C137" s="78"/>
      <c r="D137" s="78"/>
      <c r="E137" s="83"/>
      <c r="F137" s="78"/>
      <c r="G137" s="77"/>
      <c r="H137" s="80"/>
      <c r="I137" s="77"/>
      <c r="J137" s="78"/>
      <c r="K137" s="83"/>
      <c r="L137" s="77"/>
      <c r="M137" s="78"/>
      <c r="N137" s="78"/>
      <c r="O137" s="78"/>
      <c r="P137" s="77"/>
      <c r="Q137" s="78"/>
      <c r="R137" s="77"/>
      <c r="S137" s="78"/>
      <c r="T137" s="77"/>
      <c r="U137" s="78"/>
      <c r="V137" s="77"/>
      <c r="W137" s="7"/>
      <c r="X137" s="27" t="str">
        <f t="shared" si="3"/>
        <v/>
      </c>
      <c r="Y137" s="3" t="s">
        <v>63</v>
      </c>
      <c r="Z137" s="3"/>
      <c r="AA137" s="3"/>
      <c r="AB137" s="18" t="s">
        <v>25</v>
      </c>
      <c r="AC137" s="3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7"/>
      <c r="AO137" s="38"/>
      <c r="AP137" s="38"/>
      <c r="AQ137" s="38"/>
      <c r="AR137" s="43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</row>
    <row r="138" spans="1:54" s="5" customFormat="1" x14ac:dyDescent="0.25">
      <c r="A138" s="7"/>
      <c r="B138" s="77"/>
      <c r="C138" s="78"/>
      <c r="D138" s="78"/>
      <c r="E138" s="83"/>
      <c r="F138" s="78"/>
      <c r="G138" s="77"/>
      <c r="H138" s="80"/>
      <c r="I138" s="77"/>
      <c r="J138" s="78"/>
      <c r="K138" s="83"/>
      <c r="L138" s="77"/>
      <c r="M138" s="78"/>
      <c r="N138" s="78"/>
      <c r="O138" s="78"/>
      <c r="P138" s="77"/>
      <c r="Q138" s="78"/>
      <c r="R138" s="77"/>
      <c r="S138" s="78"/>
      <c r="T138" s="77"/>
      <c r="U138" s="78"/>
      <c r="V138" s="77"/>
      <c r="W138" s="7"/>
      <c r="X138" s="27" t="str">
        <f t="shared" si="3"/>
        <v/>
      </c>
      <c r="Y138" s="3" t="s">
        <v>86</v>
      </c>
      <c r="Z138" s="3"/>
      <c r="AA138" s="3"/>
      <c r="AB138" s="18" t="s">
        <v>39</v>
      </c>
      <c r="AC138" s="3">
        <v>10</v>
      </c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7"/>
      <c r="AO138" s="38"/>
      <c r="AP138" s="38"/>
      <c r="AQ138" s="38"/>
      <c r="AR138" s="43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</row>
    <row r="139" spans="1:54" s="5" customFormat="1" x14ac:dyDescent="0.25">
      <c r="A139" s="7"/>
      <c r="B139" s="77"/>
      <c r="C139" s="78"/>
      <c r="D139" s="78"/>
      <c r="E139" s="83"/>
      <c r="F139" s="78"/>
      <c r="G139" s="77"/>
      <c r="H139" s="80"/>
      <c r="I139" s="77"/>
      <c r="J139" s="78"/>
      <c r="K139" s="83"/>
      <c r="L139" s="77"/>
      <c r="M139" s="78"/>
      <c r="N139" s="78"/>
      <c r="O139" s="78"/>
      <c r="P139" s="77"/>
      <c r="Q139" s="78"/>
      <c r="R139" s="77"/>
      <c r="S139" s="78"/>
      <c r="T139" s="77"/>
      <c r="U139" s="78"/>
      <c r="V139" s="77"/>
      <c r="W139" s="7"/>
      <c r="X139" s="27" t="str">
        <f t="shared" si="3"/>
        <v/>
      </c>
      <c r="Y139" s="3" t="s">
        <v>66</v>
      </c>
      <c r="Z139" s="3"/>
      <c r="AA139" s="3" t="s">
        <v>139</v>
      </c>
      <c r="AB139" s="18" t="s">
        <v>47</v>
      </c>
      <c r="AC139" s="3">
        <v>0.25</v>
      </c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7"/>
      <c r="AO139" s="38"/>
      <c r="AP139" s="38"/>
      <c r="AQ139" s="38"/>
      <c r="AR139" s="43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</row>
    <row r="140" spans="1:54" s="5" customFormat="1" x14ac:dyDescent="0.25">
      <c r="A140" s="7"/>
      <c r="B140" s="77"/>
      <c r="C140" s="78"/>
      <c r="D140" s="78"/>
      <c r="E140" s="83"/>
      <c r="F140" s="78"/>
      <c r="G140" s="77"/>
      <c r="H140" s="80"/>
      <c r="I140" s="77"/>
      <c r="J140" s="78"/>
      <c r="K140" s="83"/>
      <c r="L140" s="77"/>
      <c r="M140" s="78"/>
      <c r="N140" s="78"/>
      <c r="O140" s="78"/>
      <c r="P140" s="77"/>
      <c r="Q140" s="78"/>
      <c r="R140" s="77"/>
      <c r="S140" s="78"/>
      <c r="T140" s="77"/>
      <c r="U140" s="78"/>
      <c r="V140" s="77"/>
      <c r="W140" s="7"/>
      <c r="X140" s="27" t="str">
        <f t="shared" si="3"/>
        <v/>
      </c>
      <c r="Y140" s="3" t="s">
        <v>68</v>
      </c>
      <c r="Z140" s="3"/>
      <c r="AA140" s="3"/>
      <c r="AB140" s="18" t="s">
        <v>72</v>
      </c>
      <c r="AC140" s="3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7"/>
      <c r="AO140" s="38"/>
      <c r="AP140" s="38"/>
      <c r="AQ140" s="38"/>
      <c r="AR140" s="43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</row>
    <row r="141" spans="1:54" s="5" customFormat="1" x14ac:dyDescent="0.25">
      <c r="A141" s="7"/>
      <c r="B141" s="77"/>
      <c r="C141" s="78"/>
      <c r="D141" s="78"/>
      <c r="E141" s="83"/>
      <c r="F141" s="78"/>
      <c r="G141" s="77"/>
      <c r="H141" s="80"/>
      <c r="I141" s="77"/>
      <c r="J141" s="78"/>
      <c r="K141" s="83"/>
      <c r="L141" s="77"/>
      <c r="M141" s="78"/>
      <c r="N141" s="78"/>
      <c r="O141" s="78"/>
      <c r="P141" s="77"/>
      <c r="Q141" s="78"/>
      <c r="R141" s="77"/>
      <c r="S141" s="78"/>
      <c r="T141" s="77"/>
      <c r="U141" s="78"/>
      <c r="V141" s="77"/>
      <c r="W141" s="7"/>
      <c r="X141" s="27" t="str">
        <f t="shared" si="3"/>
        <v/>
      </c>
      <c r="Y141" s="3" t="s">
        <v>43</v>
      </c>
      <c r="Z141" s="3"/>
      <c r="AA141" s="3" t="s">
        <v>45</v>
      </c>
      <c r="AB141" s="18" t="s">
        <v>72</v>
      </c>
      <c r="AC141" s="3">
        <v>2000</v>
      </c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7"/>
      <c r="AO141" s="38"/>
      <c r="AP141" s="38"/>
      <c r="AQ141" s="38"/>
      <c r="AR141" s="43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</row>
    <row r="142" spans="1:54" s="5" customFormat="1" x14ac:dyDescent="0.25">
      <c r="A142" s="7"/>
      <c r="B142" s="77"/>
      <c r="C142" s="78"/>
      <c r="D142" s="78"/>
      <c r="E142" s="83"/>
      <c r="F142" s="78"/>
      <c r="G142" s="77"/>
      <c r="H142" s="80"/>
      <c r="I142" s="77"/>
      <c r="J142" s="78"/>
      <c r="K142" s="83"/>
      <c r="L142" s="77"/>
      <c r="M142" s="78"/>
      <c r="N142" s="78"/>
      <c r="O142" s="78"/>
      <c r="P142" s="77"/>
      <c r="Q142" s="78"/>
      <c r="R142" s="77"/>
      <c r="S142" s="78"/>
      <c r="T142" s="77"/>
      <c r="U142" s="78"/>
      <c r="V142" s="77"/>
      <c r="W142" s="7"/>
      <c r="X142" s="27" t="str">
        <f t="shared" si="3"/>
        <v/>
      </c>
      <c r="Y142" s="3" t="s">
        <v>42</v>
      </c>
      <c r="Z142" s="3"/>
      <c r="AA142" s="3" t="s">
        <v>45</v>
      </c>
      <c r="AB142" s="18" t="s">
        <v>72</v>
      </c>
      <c r="AC142" s="3">
        <v>2100</v>
      </c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7"/>
      <c r="AO142" s="38"/>
      <c r="AP142" s="38"/>
      <c r="AQ142" s="38"/>
      <c r="AR142" s="43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</row>
    <row r="143" spans="1:54" s="5" customFormat="1" x14ac:dyDescent="0.25">
      <c r="A143" s="7"/>
      <c r="B143" s="77"/>
      <c r="C143" s="78"/>
      <c r="D143" s="78"/>
      <c r="E143" s="83"/>
      <c r="F143" s="78"/>
      <c r="G143" s="77"/>
      <c r="H143" s="80"/>
      <c r="I143" s="77"/>
      <c r="J143" s="78"/>
      <c r="K143" s="83"/>
      <c r="L143" s="77"/>
      <c r="M143" s="78"/>
      <c r="N143" s="78"/>
      <c r="O143" s="78"/>
      <c r="P143" s="77"/>
      <c r="Q143" s="78"/>
      <c r="R143" s="77"/>
      <c r="S143" s="78"/>
      <c r="T143" s="77"/>
      <c r="U143" s="78"/>
      <c r="V143" s="77"/>
      <c r="W143" s="7"/>
      <c r="X143" s="27" t="str">
        <f t="shared" si="3"/>
        <v/>
      </c>
      <c r="Y143" s="3" t="s">
        <v>44</v>
      </c>
      <c r="Z143" s="3"/>
      <c r="AA143" s="3" t="s">
        <v>10</v>
      </c>
      <c r="AB143" s="18" t="s">
        <v>72</v>
      </c>
      <c r="AC143" s="3">
        <v>12</v>
      </c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7"/>
      <c r="AO143" s="38"/>
      <c r="AP143" s="38"/>
      <c r="AQ143" s="38"/>
      <c r="AR143" s="43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</row>
    <row r="144" spans="1:54" s="5" customFormat="1" x14ac:dyDescent="0.25">
      <c r="A144" s="7"/>
      <c r="B144" s="77"/>
      <c r="C144" s="78"/>
      <c r="D144" s="78"/>
      <c r="E144" s="83"/>
      <c r="F144" s="78"/>
      <c r="G144" s="77"/>
      <c r="H144" s="80"/>
      <c r="I144" s="77"/>
      <c r="J144" s="78"/>
      <c r="K144" s="83"/>
      <c r="L144" s="77"/>
      <c r="M144" s="78"/>
      <c r="N144" s="78"/>
      <c r="O144" s="78"/>
      <c r="P144" s="77"/>
      <c r="Q144" s="78"/>
      <c r="R144" s="77"/>
      <c r="S144" s="78"/>
      <c r="T144" s="77"/>
      <c r="U144" s="78"/>
      <c r="V144" s="77"/>
      <c r="W144" s="7"/>
      <c r="X144" s="27" t="str">
        <f t="shared" si="3"/>
        <v/>
      </c>
      <c r="Y144" s="3" t="s">
        <v>73</v>
      </c>
      <c r="Z144" s="3"/>
      <c r="AA144" s="3" t="s">
        <v>139</v>
      </c>
      <c r="AB144" s="18" t="s">
        <v>72</v>
      </c>
      <c r="AC144" s="3">
        <v>0.25</v>
      </c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7"/>
      <c r="AO144" s="38"/>
      <c r="AP144" s="38"/>
      <c r="AQ144" s="38"/>
      <c r="AR144" s="43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</row>
    <row r="145" spans="1:54" s="5" customFormat="1" x14ac:dyDescent="0.25">
      <c r="A145" s="7"/>
      <c r="B145" s="77"/>
      <c r="C145" s="78"/>
      <c r="D145" s="78"/>
      <c r="E145" s="83"/>
      <c r="F145" s="78"/>
      <c r="G145" s="77"/>
      <c r="H145" s="80"/>
      <c r="I145" s="77"/>
      <c r="J145" s="78"/>
      <c r="K145" s="83"/>
      <c r="L145" s="77"/>
      <c r="M145" s="78"/>
      <c r="N145" s="78"/>
      <c r="O145" s="78"/>
      <c r="P145" s="77"/>
      <c r="Q145" s="78"/>
      <c r="R145" s="77"/>
      <c r="S145" s="78"/>
      <c r="T145" s="77"/>
      <c r="U145" s="78"/>
      <c r="V145" s="77"/>
      <c r="W145" s="7"/>
      <c r="X145" s="27" t="str">
        <f t="shared" si="3"/>
        <v/>
      </c>
      <c r="Y145" s="3" t="s">
        <v>40</v>
      </c>
      <c r="Z145" s="3"/>
      <c r="AA145" s="3" t="s">
        <v>17</v>
      </c>
      <c r="AB145" s="18" t="s">
        <v>72</v>
      </c>
      <c r="AC145" s="3">
        <v>56</v>
      </c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7"/>
      <c r="AO145" s="38"/>
      <c r="AP145" s="38"/>
      <c r="AQ145" s="38"/>
      <c r="AR145" s="43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</row>
    <row r="146" spans="1:54" s="5" customFormat="1" x14ac:dyDescent="0.25">
      <c r="A146" s="7"/>
      <c r="B146" s="77"/>
      <c r="C146" s="78"/>
      <c r="D146" s="78"/>
      <c r="E146" s="83"/>
      <c r="F146" s="78"/>
      <c r="G146" s="77"/>
      <c r="H146" s="80"/>
      <c r="I146" s="77"/>
      <c r="J146" s="78"/>
      <c r="K146" s="83"/>
      <c r="L146" s="77"/>
      <c r="M146" s="78"/>
      <c r="N146" s="78"/>
      <c r="O146" s="78"/>
      <c r="P146" s="77"/>
      <c r="Q146" s="78"/>
      <c r="R146" s="77"/>
      <c r="S146" s="78"/>
      <c r="T146" s="77"/>
      <c r="U146" s="78"/>
      <c r="V146" s="77"/>
      <c r="W146" s="7"/>
      <c r="X146" s="27" t="str">
        <f t="shared" si="3"/>
        <v/>
      </c>
      <c r="Y146" s="3" t="s">
        <v>46</v>
      </c>
      <c r="Z146" s="3"/>
      <c r="AA146" s="3" t="s">
        <v>17</v>
      </c>
      <c r="AB146" s="18" t="s">
        <v>72</v>
      </c>
      <c r="AC146" s="3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7"/>
      <c r="AO146" s="38"/>
      <c r="AP146" s="38"/>
      <c r="AQ146" s="38"/>
      <c r="AR146" s="43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</row>
    <row r="147" spans="1:54" s="5" customFormat="1" x14ac:dyDescent="0.25">
      <c r="A147" s="7"/>
      <c r="B147" s="77"/>
      <c r="C147" s="78"/>
      <c r="D147" s="78"/>
      <c r="E147" s="83"/>
      <c r="F147" s="78"/>
      <c r="G147" s="77"/>
      <c r="H147" s="80"/>
      <c r="I147" s="77"/>
      <c r="J147" s="78"/>
      <c r="K147" s="83"/>
      <c r="L147" s="77"/>
      <c r="M147" s="78"/>
      <c r="N147" s="78"/>
      <c r="O147" s="78"/>
      <c r="P147" s="77"/>
      <c r="Q147" s="78"/>
      <c r="R147" s="77"/>
      <c r="S147" s="78"/>
      <c r="T147" s="77"/>
      <c r="U147" s="78"/>
      <c r="V147" s="77"/>
      <c r="W147" s="7"/>
      <c r="X147" s="27" t="str">
        <f t="shared" si="3"/>
        <v/>
      </c>
      <c r="Y147" s="3" t="s">
        <v>53</v>
      </c>
      <c r="Z147" s="3"/>
      <c r="AA147" s="3" t="s">
        <v>17</v>
      </c>
      <c r="AB147" s="18" t="s">
        <v>72</v>
      </c>
      <c r="AC147" s="3">
        <v>5</v>
      </c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7"/>
      <c r="AO147" s="38"/>
      <c r="AP147" s="38"/>
      <c r="AQ147" s="38"/>
      <c r="AR147" s="43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</row>
    <row r="148" spans="1:54" s="5" customFormat="1" x14ac:dyDescent="0.25">
      <c r="A148" s="7"/>
      <c r="B148" s="77"/>
      <c r="C148" s="78"/>
      <c r="D148" s="78"/>
      <c r="E148" s="83"/>
      <c r="F148" s="78"/>
      <c r="G148" s="77"/>
      <c r="H148" s="80"/>
      <c r="I148" s="77"/>
      <c r="J148" s="78"/>
      <c r="K148" s="83"/>
      <c r="L148" s="77"/>
      <c r="M148" s="78"/>
      <c r="N148" s="78"/>
      <c r="O148" s="78"/>
      <c r="P148" s="77"/>
      <c r="Q148" s="78"/>
      <c r="R148" s="77"/>
      <c r="S148" s="78"/>
      <c r="T148" s="77"/>
      <c r="U148" s="78"/>
      <c r="V148" s="77"/>
      <c r="W148" s="7"/>
      <c r="X148" s="27" t="str">
        <f t="shared" si="3"/>
        <v/>
      </c>
      <c r="Y148" s="3" t="s">
        <v>116</v>
      </c>
      <c r="Z148" s="3"/>
      <c r="AA148" s="3" t="s">
        <v>17</v>
      </c>
      <c r="AB148" s="18" t="s">
        <v>36</v>
      </c>
      <c r="AC148" s="23">
        <f>AC151*$AC$25</f>
        <v>11.572000000000001</v>
      </c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7"/>
      <c r="AO148" s="38"/>
      <c r="AP148" s="38"/>
      <c r="AQ148" s="38"/>
      <c r="AR148" s="43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</row>
    <row r="149" spans="1:54" s="5" customFormat="1" x14ac:dyDescent="0.25">
      <c r="A149" s="7"/>
      <c r="B149" s="77"/>
      <c r="C149" s="78"/>
      <c r="D149" s="78"/>
      <c r="E149" s="83"/>
      <c r="F149" s="78"/>
      <c r="G149" s="77"/>
      <c r="H149" s="80"/>
      <c r="I149" s="77"/>
      <c r="J149" s="78"/>
      <c r="K149" s="83"/>
      <c r="L149" s="77"/>
      <c r="M149" s="78"/>
      <c r="N149" s="78"/>
      <c r="O149" s="78"/>
      <c r="P149" s="77"/>
      <c r="Q149" s="78"/>
      <c r="R149" s="77"/>
      <c r="S149" s="78"/>
      <c r="T149" s="77"/>
      <c r="U149" s="78"/>
      <c r="V149" s="77"/>
      <c r="W149" s="7"/>
      <c r="X149" s="27" t="str">
        <f t="shared" si="3"/>
        <v/>
      </c>
      <c r="Y149" s="3" t="s">
        <v>49</v>
      </c>
      <c r="Z149" s="3"/>
      <c r="AA149" s="3" t="s">
        <v>139</v>
      </c>
      <c r="AB149" s="18" t="s">
        <v>72</v>
      </c>
      <c r="AC149" s="3">
        <v>1</v>
      </c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7"/>
      <c r="AO149" s="38"/>
      <c r="AP149" s="38"/>
      <c r="AQ149" s="38"/>
      <c r="AR149" s="43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</row>
    <row r="150" spans="1:54" s="5" customFormat="1" x14ac:dyDescent="0.25">
      <c r="A150" s="7"/>
      <c r="B150" s="77"/>
      <c r="C150" s="78"/>
      <c r="D150" s="78"/>
      <c r="E150" s="83"/>
      <c r="F150" s="78"/>
      <c r="G150" s="77"/>
      <c r="H150" s="80"/>
      <c r="I150" s="77"/>
      <c r="J150" s="78"/>
      <c r="K150" s="83"/>
      <c r="L150" s="77"/>
      <c r="M150" s="78"/>
      <c r="N150" s="78"/>
      <c r="O150" s="78"/>
      <c r="P150" s="77"/>
      <c r="Q150" s="78"/>
      <c r="R150" s="77"/>
      <c r="S150" s="78"/>
      <c r="T150" s="77"/>
      <c r="U150" s="78"/>
      <c r="V150" s="77"/>
      <c r="W150" s="7"/>
      <c r="X150" s="27" t="str">
        <f t="shared" si="3"/>
        <v/>
      </c>
      <c r="Y150" s="3" t="s">
        <v>50</v>
      </c>
      <c r="Z150" s="3"/>
      <c r="AA150" s="3" t="s">
        <v>139</v>
      </c>
      <c r="AB150" s="18" t="s">
        <v>72</v>
      </c>
      <c r="AC150" s="3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7"/>
      <c r="AO150" s="38"/>
      <c r="AP150" s="38"/>
      <c r="AQ150" s="38"/>
      <c r="AR150" s="43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</row>
    <row r="151" spans="1:54" s="5" customFormat="1" x14ac:dyDescent="0.25">
      <c r="A151" s="7"/>
      <c r="B151" s="77"/>
      <c r="C151" s="78"/>
      <c r="D151" s="78"/>
      <c r="E151" s="83"/>
      <c r="F151" s="78"/>
      <c r="G151" s="77"/>
      <c r="H151" s="80"/>
      <c r="I151" s="77"/>
      <c r="J151" s="78"/>
      <c r="K151" s="83"/>
      <c r="L151" s="77"/>
      <c r="M151" s="78"/>
      <c r="N151" s="78"/>
      <c r="O151" s="78"/>
      <c r="P151" s="77"/>
      <c r="Q151" s="78"/>
      <c r="R151" s="77"/>
      <c r="S151" s="78"/>
      <c r="T151" s="77"/>
      <c r="U151" s="78"/>
      <c r="V151" s="77"/>
      <c r="W151" s="7"/>
      <c r="X151" s="27" t="str">
        <f t="shared" si="3"/>
        <v/>
      </c>
      <c r="Y151" s="3" t="s">
        <v>115</v>
      </c>
      <c r="Z151" s="3" t="s">
        <v>110</v>
      </c>
      <c r="AA151" s="3" t="s">
        <v>62</v>
      </c>
      <c r="AB151" s="18" t="s">
        <v>72</v>
      </c>
      <c r="AC151" s="3">
        <v>0.52600000000000002</v>
      </c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7"/>
      <c r="AO151" s="38"/>
      <c r="AP151" s="38"/>
      <c r="AQ151" s="38"/>
      <c r="AR151" s="43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</row>
    <row r="152" spans="1:54" s="5" customFormat="1" x14ac:dyDescent="0.25">
      <c r="A152" s="7"/>
      <c r="B152" s="77"/>
      <c r="C152" s="78"/>
      <c r="D152" s="78"/>
      <c r="E152" s="83"/>
      <c r="F152" s="78"/>
      <c r="G152" s="77"/>
      <c r="H152" s="80"/>
      <c r="I152" s="77"/>
      <c r="J152" s="78"/>
      <c r="K152" s="83"/>
      <c r="L152" s="77"/>
      <c r="M152" s="78"/>
      <c r="N152" s="78"/>
      <c r="O152" s="78"/>
      <c r="P152" s="77"/>
      <c r="Q152" s="78"/>
      <c r="R152" s="77"/>
      <c r="S152" s="78"/>
      <c r="T152" s="77"/>
      <c r="U152" s="78"/>
      <c r="V152" s="77"/>
      <c r="W152" s="7"/>
      <c r="X152" s="27" t="str">
        <f t="shared" si="3"/>
        <v/>
      </c>
      <c r="Y152" s="3" t="s">
        <v>105</v>
      </c>
      <c r="Z152" s="3"/>
      <c r="AA152" s="3" t="s">
        <v>139</v>
      </c>
      <c r="AB152" s="18" t="s">
        <v>72</v>
      </c>
      <c r="AC152" s="22">
        <v>0.01</v>
      </c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7"/>
      <c r="AO152" s="38"/>
      <c r="AP152" s="38"/>
      <c r="AQ152" s="38"/>
      <c r="AR152" s="43"/>
      <c r="AS152" s="42"/>
      <c r="AT152" s="42"/>
      <c r="AU152" s="42"/>
      <c r="AV152" s="42"/>
      <c r="AW152" s="42"/>
      <c r="AX152" s="42"/>
      <c r="AY152" s="42"/>
      <c r="AZ152" s="42"/>
      <c r="BA152" s="42"/>
      <c r="BB152" s="42"/>
    </row>
    <row r="153" spans="1:54" s="5" customFormat="1" x14ac:dyDescent="0.25">
      <c r="A153" s="7"/>
      <c r="B153" s="77"/>
      <c r="C153" s="78"/>
      <c r="D153" s="78"/>
      <c r="E153" s="83"/>
      <c r="F153" s="78"/>
      <c r="G153" s="77"/>
      <c r="H153" s="80"/>
      <c r="I153" s="77"/>
      <c r="J153" s="78"/>
      <c r="K153" s="83"/>
      <c r="L153" s="77"/>
      <c r="M153" s="78"/>
      <c r="N153" s="78"/>
      <c r="O153" s="78"/>
      <c r="P153" s="77"/>
      <c r="Q153" s="78"/>
      <c r="R153" s="77"/>
      <c r="S153" s="78"/>
      <c r="T153" s="77"/>
      <c r="U153" s="78"/>
      <c r="V153" s="77"/>
      <c r="W153" s="7"/>
      <c r="X153" s="27" t="str">
        <f t="shared" si="3"/>
        <v/>
      </c>
      <c r="Y153" s="3" t="s">
        <v>68</v>
      </c>
      <c r="Z153" s="3"/>
      <c r="AA153" s="3"/>
      <c r="AB153" s="18" t="s">
        <v>69</v>
      </c>
      <c r="AC153" s="3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7"/>
      <c r="AO153" s="38"/>
      <c r="AP153" s="38"/>
      <c r="AQ153" s="38"/>
      <c r="AR153" s="43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</row>
    <row r="154" spans="1:54" s="5" customFormat="1" x14ac:dyDescent="0.25">
      <c r="A154" s="7"/>
      <c r="B154" s="77"/>
      <c r="C154" s="78"/>
      <c r="D154" s="78"/>
      <c r="E154" s="83"/>
      <c r="F154" s="78"/>
      <c r="G154" s="77"/>
      <c r="H154" s="80"/>
      <c r="I154" s="77"/>
      <c r="J154" s="78"/>
      <c r="K154" s="83"/>
      <c r="L154" s="77"/>
      <c r="M154" s="78"/>
      <c r="N154" s="78"/>
      <c r="O154" s="78"/>
      <c r="P154" s="77"/>
      <c r="Q154" s="78"/>
      <c r="R154" s="77"/>
      <c r="S154" s="78"/>
      <c r="T154" s="77"/>
      <c r="U154" s="78"/>
      <c r="V154" s="77"/>
      <c r="W154" s="7"/>
      <c r="X154" s="27" t="str">
        <f t="shared" si="3"/>
        <v/>
      </c>
      <c r="Y154" s="3" t="s">
        <v>43</v>
      </c>
      <c r="Z154" s="3"/>
      <c r="AA154" s="3" t="s">
        <v>45</v>
      </c>
      <c r="AB154" s="18" t="s">
        <v>69</v>
      </c>
      <c r="AC154" s="3">
        <v>1990</v>
      </c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7"/>
      <c r="AO154" s="38"/>
      <c r="AP154" s="38"/>
      <c r="AQ154" s="38"/>
      <c r="AR154" s="43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</row>
    <row r="155" spans="1:54" s="5" customFormat="1" x14ac:dyDescent="0.25">
      <c r="A155" s="7"/>
      <c r="B155" s="77"/>
      <c r="C155" s="78"/>
      <c r="D155" s="78"/>
      <c r="E155" s="83"/>
      <c r="F155" s="78"/>
      <c r="G155" s="77"/>
      <c r="H155" s="80"/>
      <c r="I155" s="77"/>
      <c r="J155" s="78"/>
      <c r="K155" s="83"/>
      <c r="L155" s="77"/>
      <c r="M155" s="78"/>
      <c r="N155" s="78"/>
      <c r="O155" s="78"/>
      <c r="P155" s="77"/>
      <c r="Q155" s="78"/>
      <c r="R155" s="77"/>
      <c r="S155" s="78"/>
      <c r="T155" s="77"/>
      <c r="U155" s="78"/>
      <c r="V155" s="77"/>
      <c r="W155" s="7"/>
      <c r="X155" s="27" t="str">
        <f t="shared" si="3"/>
        <v/>
      </c>
      <c r="Y155" s="3" t="s">
        <v>42</v>
      </c>
      <c r="Z155" s="3"/>
      <c r="AA155" s="3" t="s">
        <v>45</v>
      </c>
      <c r="AB155" s="18" t="s">
        <v>69</v>
      </c>
      <c r="AC155" s="3">
        <v>2000</v>
      </c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7"/>
      <c r="AO155" s="38"/>
      <c r="AP155" s="38"/>
      <c r="AQ155" s="38"/>
      <c r="AR155" s="43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</row>
    <row r="156" spans="1:54" s="5" customFormat="1" x14ac:dyDescent="0.25">
      <c r="A156" s="7"/>
      <c r="B156" s="77"/>
      <c r="C156" s="78"/>
      <c r="D156" s="78"/>
      <c r="E156" s="83"/>
      <c r="F156" s="78"/>
      <c r="G156" s="77"/>
      <c r="H156" s="80"/>
      <c r="I156" s="77"/>
      <c r="J156" s="78"/>
      <c r="K156" s="83"/>
      <c r="L156" s="77"/>
      <c r="M156" s="78"/>
      <c r="N156" s="78"/>
      <c r="O156" s="78"/>
      <c r="P156" s="77"/>
      <c r="Q156" s="78"/>
      <c r="R156" s="77"/>
      <c r="S156" s="78"/>
      <c r="T156" s="77"/>
      <c r="U156" s="78"/>
      <c r="V156" s="77"/>
      <c r="W156" s="7"/>
      <c r="X156" s="27" t="str">
        <f t="shared" si="3"/>
        <v/>
      </c>
      <c r="Y156" s="3" t="s">
        <v>44</v>
      </c>
      <c r="Z156" s="3"/>
      <c r="AA156" s="3" t="s">
        <v>10</v>
      </c>
      <c r="AB156" s="18" t="s">
        <v>69</v>
      </c>
      <c r="AC156" s="3">
        <v>18</v>
      </c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7"/>
      <c r="AO156" s="38"/>
      <c r="AP156" s="38"/>
      <c r="AQ156" s="38"/>
      <c r="AR156" s="43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</row>
    <row r="157" spans="1:54" s="5" customFormat="1" x14ac:dyDescent="0.25">
      <c r="A157" s="7"/>
      <c r="B157" s="77"/>
      <c r="C157" s="78"/>
      <c r="D157" s="78"/>
      <c r="E157" s="83"/>
      <c r="F157" s="78"/>
      <c r="G157" s="77"/>
      <c r="H157" s="80"/>
      <c r="I157" s="77"/>
      <c r="J157" s="78"/>
      <c r="K157" s="83"/>
      <c r="L157" s="77"/>
      <c r="M157" s="78"/>
      <c r="N157" s="78"/>
      <c r="O157" s="78"/>
      <c r="P157" s="77"/>
      <c r="Q157" s="78"/>
      <c r="R157" s="77"/>
      <c r="S157" s="78"/>
      <c r="T157" s="77"/>
      <c r="U157" s="78"/>
      <c r="V157" s="77"/>
      <c r="W157" s="7"/>
      <c r="X157" s="27" t="str">
        <f t="shared" si="3"/>
        <v/>
      </c>
      <c r="Y157" s="3" t="s">
        <v>73</v>
      </c>
      <c r="Z157" s="3"/>
      <c r="AA157" s="3" t="s">
        <v>139</v>
      </c>
      <c r="AB157" s="18" t="s">
        <v>69</v>
      </c>
      <c r="AC157" s="3">
        <v>0.25</v>
      </c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7"/>
      <c r="AO157" s="38"/>
      <c r="AP157" s="38"/>
      <c r="AQ157" s="38"/>
      <c r="AR157" s="43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</row>
    <row r="158" spans="1:54" s="5" customFormat="1" x14ac:dyDescent="0.25">
      <c r="A158" s="7"/>
      <c r="B158" s="77"/>
      <c r="C158" s="78"/>
      <c r="D158" s="78"/>
      <c r="E158" s="83"/>
      <c r="F158" s="78"/>
      <c r="G158" s="77"/>
      <c r="H158" s="80"/>
      <c r="I158" s="77"/>
      <c r="J158" s="78"/>
      <c r="K158" s="83"/>
      <c r="L158" s="77"/>
      <c r="M158" s="78"/>
      <c r="N158" s="78"/>
      <c r="O158" s="78"/>
      <c r="P158" s="77"/>
      <c r="Q158" s="78"/>
      <c r="R158" s="77"/>
      <c r="S158" s="78"/>
      <c r="T158" s="77"/>
      <c r="U158" s="78"/>
      <c r="V158" s="77"/>
      <c r="W158" s="7"/>
      <c r="X158" s="27" t="str">
        <f t="shared" si="3"/>
        <v/>
      </c>
      <c r="Y158" s="3" t="s">
        <v>40</v>
      </c>
      <c r="Z158" s="3"/>
      <c r="AA158" s="3" t="s">
        <v>17</v>
      </c>
      <c r="AB158" s="18" t="s">
        <v>69</v>
      </c>
      <c r="AC158" s="3">
        <v>0</v>
      </c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7"/>
      <c r="AO158" s="38"/>
      <c r="AP158" s="38"/>
      <c r="AQ158" s="38"/>
      <c r="AR158" s="43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</row>
    <row r="159" spans="1:54" s="5" customFormat="1" x14ac:dyDescent="0.25">
      <c r="A159" s="7"/>
      <c r="B159" s="77"/>
      <c r="C159" s="78"/>
      <c r="D159" s="78"/>
      <c r="E159" s="83"/>
      <c r="F159" s="78"/>
      <c r="G159" s="77"/>
      <c r="H159" s="80"/>
      <c r="I159" s="77"/>
      <c r="J159" s="78"/>
      <c r="K159" s="83"/>
      <c r="L159" s="77"/>
      <c r="M159" s="78"/>
      <c r="N159" s="78"/>
      <c r="O159" s="78"/>
      <c r="P159" s="77"/>
      <c r="Q159" s="78"/>
      <c r="R159" s="77"/>
      <c r="S159" s="78"/>
      <c r="T159" s="77"/>
      <c r="U159" s="78"/>
      <c r="V159" s="77"/>
      <c r="W159" s="7"/>
      <c r="X159" s="27" t="str">
        <f t="shared" si="3"/>
        <v/>
      </c>
      <c r="Y159" s="3" t="s">
        <v>46</v>
      </c>
      <c r="Z159" s="3"/>
      <c r="AA159" s="3" t="s">
        <v>17</v>
      </c>
      <c r="AB159" s="18" t="s">
        <v>69</v>
      </c>
      <c r="AC159" s="3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7"/>
      <c r="AO159" s="38"/>
      <c r="AP159" s="38"/>
      <c r="AQ159" s="38"/>
      <c r="AR159" s="43"/>
      <c r="AS159" s="42"/>
      <c r="AT159" s="42"/>
      <c r="AU159" s="42"/>
      <c r="AV159" s="42"/>
      <c r="AW159" s="42"/>
      <c r="AX159" s="42"/>
      <c r="AY159" s="42"/>
      <c r="AZ159" s="42"/>
      <c r="BA159" s="42"/>
      <c r="BB159" s="42"/>
    </row>
    <row r="160" spans="1:54" s="5" customFormat="1" x14ac:dyDescent="0.25">
      <c r="A160" s="7"/>
      <c r="B160" s="77"/>
      <c r="C160" s="78"/>
      <c r="D160" s="78"/>
      <c r="E160" s="83"/>
      <c r="F160" s="78"/>
      <c r="G160" s="77"/>
      <c r="H160" s="80"/>
      <c r="I160" s="77"/>
      <c r="J160" s="78"/>
      <c r="K160" s="83"/>
      <c r="L160" s="77"/>
      <c r="M160" s="78"/>
      <c r="N160" s="78"/>
      <c r="O160" s="78"/>
      <c r="P160" s="77"/>
      <c r="Q160" s="78"/>
      <c r="R160" s="77"/>
      <c r="S160" s="78"/>
      <c r="T160" s="77"/>
      <c r="U160" s="78"/>
      <c r="V160" s="77"/>
      <c r="W160" s="7"/>
      <c r="X160" s="27" t="str">
        <f t="shared" si="3"/>
        <v/>
      </c>
      <c r="Y160" s="3" t="s">
        <v>53</v>
      </c>
      <c r="Z160" s="3"/>
      <c r="AA160" s="3" t="s">
        <v>17</v>
      </c>
      <c r="AB160" s="18" t="s">
        <v>69</v>
      </c>
      <c r="AC160" s="3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7"/>
      <c r="AO160" s="38"/>
      <c r="AP160" s="38"/>
      <c r="AQ160" s="38"/>
      <c r="AR160" s="43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</row>
    <row r="161" spans="1:54" s="5" customFormat="1" x14ac:dyDescent="0.25">
      <c r="A161" s="7"/>
      <c r="B161" s="77"/>
      <c r="C161" s="78"/>
      <c r="D161" s="78"/>
      <c r="E161" s="83"/>
      <c r="F161" s="78"/>
      <c r="G161" s="77"/>
      <c r="H161" s="80"/>
      <c r="I161" s="77"/>
      <c r="J161" s="78"/>
      <c r="K161" s="83"/>
      <c r="L161" s="77"/>
      <c r="M161" s="78"/>
      <c r="N161" s="78"/>
      <c r="O161" s="78"/>
      <c r="P161" s="77"/>
      <c r="Q161" s="78"/>
      <c r="R161" s="77"/>
      <c r="S161" s="78"/>
      <c r="T161" s="77"/>
      <c r="U161" s="78"/>
      <c r="V161" s="77"/>
      <c r="W161" s="7"/>
      <c r="X161" s="27" t="str">
        <f t="shared" si="3"/>
        <v/>
      </c>
      <c r="Y161" s="3" t="s">
        <v>116</v>
      </c>
      <c r="Z161" s="3"/>
      <c r="AA161" s="3" t="s">
        <v>17</v>
      </c>
      <c r="AB161" s="18" t="s">
        <v>69</v>
      </c>
      <c r="AC161" s="23">
        <f>AC164*$AC$9</f>
        <v>18.581759999999999</v>
      </c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7"/>
      <c r="AO161" s="38"/>
      <c r="AP161" s="38"/>
      <c r="AQ161" s="38"/>
      <c r="AR161" s="43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</row>
    <row r="162" spans="1:54" s="5" customFormat="1" x14ac:dyDescent="0.25">
      <c r="A162" s="7"/>
      <c r="B162" s="77"/>
      <c r="C162" s="78"/>
      <c r="D162" s="78"/>
      <c r="E162" s="83"/>
      <c r="F162" s="78"/>
      <c r="G162" s="77"/>
      <c r="H162" s="80"/>
      <c r="I162" s="77"/>
      <c r="J162" s="78"/>
      <c r="K162" s="83"/>
      <c r="L162" s="77"/>
      <c r="M162" s="78"/>
      <c r="N162" s="78"/>
      <c r="O162" s="78"/>
      <c r="P162" s="77"/>
      <c r="Q162" s="78"/>
      <c r="R162" s="77"/>
      <c r="S162" s="78"/>
      <c r="T162" s="77"/>
      <c r="U162" s="78"/>
      <c r="V162" s="77"/>
      <c r="W162" s="7"/>
      <c r="X162" s="27" t="str">
        <f t="shared" si="3"/>
        <v/>
      </c>
      <c r="Y162" s="3" t="s">
        <v>49</v>
      </c>
      <c r="Z162" s="3"/>
      <c r="AA162" s="3" t="s">
        <v>139</v>
      </c>
      <c r="AB162" s="18" t="s">
        <v>69</v>
      </c>
      <c r="AC162" s="3">
        <v>1</v>
      </c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7"/>
      <c r="AO162" s="38"/>
      <c r="AP162" s="38"/>
      <c r="AQ162" s="38"/>
      <c r="AR162" s="43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</row>
    <row r="163" spans="1:54" s="5" customFormat="1" x14ac:dyDescent="0.25">
      <c r="A163" s="7"/>
      <c r="B163" s="77"/>
      <c r="C163" s="78"/>
      <c r="D163" s="78"/>
      <c r="E163" s="83"/>
      <c r="F163" s="78"/>
      <c r="G163" s="77"/>
      <c r="H163" s="80"/>
      <c r="I163" s="77"/>
      <c r="J163" s="78"/>
      <c r="K163" s="83"/>
      <c r="L163" s="77"/>
      <c r="M163" s="78"/>
      <c r="N163" s="78"/>
      <c r="O163" s="78"/>
      <c r="P163" s="77"/>
      <c r="Q163" s="78"/>
      <c r="R163" s="77"/>
      <c r="S163" s="78"/>
      <c r="T163" s="77"/>
      <c r="U163" s="78"/>
      <c r="V163" s="77"/>
      <c r="W163" s="7"/>
      <c r="X163" s="27" t="str">
        <f t="shared" si="3"/>
        <v/>
      </c>
      <c r="Y163" s="3" t="s">
        <v>50</v>
      </c>
      <c r="Z163" s="3"/>
      <c r="AA163" s="3" t="s">
        <v>139</v>
      </c>
      <c r="AB163" s="18" t="s">
        <v>69</v>
      </c>
      <c r="AC163" s="3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7"/>
      <c r="AO163" s="38"/>
      <c r="AP163" s="38"/>
      <c r="AQ163" s="38"/>
      <c r="AR163" s="43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</row>
    <row r="164" spans="1:54" s="5" customFormat="1" x14ac:dyDescent="0.25">
      <c r="A164" s="7"/>
      <c r="B164" s="77"/>
      <c r="C164" s="78"/>
      <c r="D164" s="78"/>
      <c r="E164" s="83"/>
      <c r="F164" s="78"/>
      <c r="G164" s="77"/>
      <c r="H164" s="80"/>
      <c r="I164" s="77"/>
      <c r="J164" s="78"/>
      <c r="K164" s="83"/>
      <c r="L164" s="77"/>
      <c r="M164" s="78"/>
      <c r="N164" s="78"/>
      <c r="O164" s="78"/>
      <c r="P164" s="77"/>
      <c r="Q164" s="78"/>
      <c r="R164" s="77"/>
      <c r="S164" s="78"/>
      <c r="T164" s="77"/>
      <c r="U164" s="78"/>
      <c r="V164" s="77"/>
      <c r="W164" s="7"/>
      <c r="X164" s="27" t="str">
        <f t="shared" si="3"/>
        <v/>
      </c>
      <c r="Y164" s="3" t="s">
        <v>115</v>
      </c>
      <c r="Z164" s="3" t="s">
        <v>164</v>
      </c>
      <c r="AA164" s="3" t="s">
        <v>62</v>
      </c>
      <c r="AB164" s="18" t="s">
        <v>69</v>
      </c>
      <c r="AC164" s="3">
        <v>1.613</v>
      </c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7"/>
      <c r="AO164" s="38"/>
      <c r="AP164" s="38"/>
      <c r="AQ164" s="38"/>
      <c r="AR164" s="43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</row>
    <row r="165" spans="1:54" s="5" customFormat="1" x14ac:dyDescent="0.25">
      <c r="A165" s="7"/>
      <c r="B165" s="77"/>
      <c r="C165" s="78"/>
      <c r="D165" s="78"/>
      <c r="E165" s="83"/>
      <c r="F165" s="78"/>
      <c r="G165" s="77"/>
      <c r="H165" s="80"/>
      <c r="I165" s="77"/>
      <c r="J165" s="78"/>
      <c r="K165" s="83"/>
      <c r="L165" s="77"/>
      <c r="M165" s="78"/>
      <c r="N165" s="78"/>
      <c r="O165" s="78"/>
      <c r="P165" s="77"/>
      <c r="Q165" s="78"/>
      <c r="R165" s="77"/>
      <c r="S165" s="78"/>
      <c r="T165" s="77"/>
      <c r="U165" s="78"/>
      <c r="V165" s="77"/>
      <c r="W165" s="7"/>
      <c r="X165" s="27" t="str">
        <f t="shared" si="3"/>
        <v/>
      </c>
      <c r="Y165" s="3" t="s">
        <v>105</v>
      </c>
      <c r="Z165" s="3"/>
      <c r="AA165" s="3" t="s">
        <v>139</v>
      </c>
      <c r="AB165" s="18" t="s">
        <v>69</v>
      </c>
      <c r="AC165" s="22">
        <v>0.71499999999999997</v>
      </c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7"/>
      <c r="AO165" s="38"/>
      <c r="AP165" s="38"/>
      <c r="AQ165" s="38"/>
      <c r="AR165" s="43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</row>
    <row r="166" spans="1:54" s="5" customFormat="1" x14ac:dyDescent="0.25">
      <c r="A166" s="7"/>
      <c r="B166" s="77"/>
      <c r="C166" s="78"/>
      <c r="D166" s="78"/>
      <c r="E166" s="83"/>
      <c r="F166" s="78"/>
      <c r="G166" s="77"/>
      <c r="H166" s="80"/>
      <c r="I166" s="77"/>
      <c r="J166" s="78"/>
      <c r="K166" s="83"/>
      <c r="L166" s="77"/>
      <c r="M166" s="78"/>
      <c r="N166" s="78"/>
      <c r="O166" s="78"/>
      <c r="P166" s="77"/>
      <c r="Q166" s="78"/>
      <c r="R166" s="77"/>
      <c r="S166" s="78"/>
      <c r="T166" s="77"/>
      <c r="U166" s="78"/>
      <c r="V166" s="77"/>
      <c r="W166" s="7"/>
      <c r="X166" s="27" t="str">
        <f t="shared" si="3"/>
        <v/>
      </c>
      <c r="Y166" s="3" t="s">
        <v>68</v>
      </c>
      <c r="Z166" s="3"/>
      <c r="AA166" s="3"/>
      <c r="AB166" s="18" t="s">
        <v>70</v>
      </c>
      <c r="AC166" s="3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7"/>
      <c r="AO166" s="38"/>
      <c r="AP166" s="38"/>
      <c r="AQ166" s="38"/>
      <c r="AR166" s="43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</row>
    <row r="167" spans="1:54" s="5" customFormat="1" x14ac:dyDescent="0.25">
      <c r="A167" s="7"/>
      <c r="B167" s="77"/>
      <c r="C167" s="78"/>
      <c r="D167" s="78"/>
      <c r="E167" s="83"/>
      <c r="F167" s="78"/>
      <c r="G167" s="77"/>
      <c r="H167" s="80"/>
      <c r="I167" s="77"/>
      <c r="J167" s="78"/>
      <c r="K167" s="83"/>
      <c r="L167" s="77"/>
      <c r="M167" s="78"/>
      <c r="N167" s="78"/>
      <c r="O167" s="78"/>
      <c r="P167" s="77"/>
      <c r="Q167" s="78"/>
      <c r="R167" s="77"/>
      <c r="S167" s="78"/>
      <c r="T167" s="77"/>
      <c r="U167" s="78"/>
      <c r="V167" s="77"/>
      <c r="W167" s="7"/>
      <c r="X167" s="27" t="str">
        <f t="shared" si="3"/>
        <v/>
      </c>
      <c r="Y167" s="3" t="s">
        <v>43</v>
      </c>
      <c r="Z167" s="3"/>
      <c r="AA167" s="3" t="s">
        <v>45</v>
      </c>
      <c r="AB167" s="18" t="s">
        <v>70</v>
      </c>
      <c r="AC167" s="3">
        <v>2000</v>
      </c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7"/>
      <c r="AO167" s="38"/>
      <c r="AP167" s="38"/>
      <c r="AQ167" s="38"/>
      <c r="AR167" s="43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</row>
    <row r="168" spans="1:54" s="5" customFormat="1" x14ac:dyDescent="0.25">
      <c r="A168" s="7"/>
      <c r="B168" s="77"/>
      <c r="C168" s="78"/>
      <c r="D168" s="78"/>
      <c r="E168" s="83"/>
      <c r="F168" s="78"/>
      <c r="G168" s="77"/>
      <c r="H168" s="80"/>
      <c r="I168" s="77"/>
      <c r="J168" s="78"/>
      <c r="K168" s="83"/>
      <c r="L168" s="77"/>
      <c r="M168" s="78"/>
      <c r="N168" s="78"/>
      <c r="O168" s="78"/>
      <c r="P168" s="77"/>
      <c r="Q168" s="78"/>
      <c r="R168" s="77"/>
      <c r="S168" s="78"/>
      <c r="T168" s="77"/>
      <c r="U168" s="78"/>
      <c r="V168" s="77"/>
      <c r="W168" s="7"/>
      <c r="X168" s="27" t="str">
        <f t="shared" si="3"/>
        <v/>
      </c>
      <c r="Y168" s="3" t="s">
        <v>42</v>
      </c>
      <c r="Z168" s="3"/>
      <c r="AA168" s="3" t="s">
        <v>45</v>
      </c>
      <c r="AB168" s="18" t="s">
        <v>70</v>
      </c>
      <c r="AC168" s="3">
        <v>2100</v>
      </c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7"/>
      <c r="AO168" s="38"/>
      <c r="AP168" s="38"/>
      <c r="AQ168" s="38"/>
      <c r="AR168" s="43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</row>
    <row r="169" spans="1:54" s="5" customFormat="1" x14ac:dyDescent="0.25">
      <c r="A169" s="7"/>
      <c r="B169" s="77"/>
      <c r="C169" s="78"/>
      <c r="D169" s="78"/>
      <c r="E169" s="83"/>
      <c r="F169" s="78"/>
      <c r="G169" s="77"/>
      <c r="H169" s="80"/>
      <c r="I169" s="77"/>
      <c r="J169" s="78"/>
      <c r="K169" s="83"/>
      <c r="L169" s="77"/>
      <c r="M169" s="78"/>
      <c r="N169" s="78"/>
      <c r="O169" s="78"/>
      <c r="P169" s="77"/>
      <c r="Q169" s="78"/>
      <c r="R169" s="77"/>
      <c r="S169" s="78"/>
      <c r="T169" s="77"/>
      <c r="U169" s="78"/>
      <c r="V169" s="77"/>
      <c r="W169" s="7"/>
      <c r="X169" s="27" t="str">
        <f t="shared" si="3"/>
        <v/>
      </c>
      <c r="Y169" s="3" t="s">
        <v>44</v>
      </c>
      <c r="Z169" s="3"/>
      <c r="AA169" s="3" t="s">
        <v>10</v>
      </c>
      <c r="AB169" s="18" t="s">
        <v>70</v>
      </c>
      <c r="AC169" s="3">
        <v>18</v>
      </c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7"/>
      <c r="AO169" s="38"/>
      <c r="AP169" s="38"/>
      <c r="AQ169" s="38"/>
      <c r="AR169" s="43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</row>
    <row r="170" spans="1:54" s="5" customFormat="1" x14ac:dyDescent="0.25">
      <c r="A170" s="7"/>
      <c r="B170" s="77"/>
      <c r="C170" s="78"/>
      <c r="D170" s="78"/>
      <c r="E170" s="83"/>
      <c r="F170" s="78"/>
      <c r="G170" s="77"/>
      <c r="H170" s="80"/>
      <c r="I170" s="77"/>
      <c r="J170" s="78"/>
      <c r="K170" s="83"/>
      <c r="L170" s="77"/>
      <c r="M170" s="78"/>
      <c r="N170" s="78"/>
      <c r="O170" s="78"/>
      <c r="P170" s="77"/>
      <c r="Q170" s="78"/>
      <c r="R170" s="77"/>
      <c r="S170" s="78"/>
      <c r="T170" s="77"/>
      <c r="U170" s="78"/>
      <c r="V170" s="77"/>
      <c r="W170" s="7"/>
      <c r="X170" s="27" t="str">
        <f t="shared" si="3"/>
        <v/>
      </c>
      <c r="Y170" s="3" t="s">
        <v>73</v>
      </c>
      <c r="Z170" s="3"/>
      <c r="AA170" s="3" t="s">
        <v>139</v>
      </c>
      <c r="AB170" s="18" t="s">
        <v>70</v>
      </c>
      <c r="AC170" s="3">
        <v>0.25</v>
      </c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7"/>
      <c r="AO170" s="38"/>
      <c r="AP170" s="38"/>
      <c r="AQ170" s="38"/>
      <c r="AR170" s="43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</row>
    <row r="171" spans="1:54" s="5" customFormat="1" x14ac:dyDescent="0.25">
      <c r="A171" s="7"/>
      <c r="B171" s="77"/>
      <c r="C171" s="78"/>
      <c r="D171" s="78"/>
      <c r="E171" s="83"/>
      <c r="F171" s="78"/>
      <c r="G171" s="77"/>
      <c r="H171" s="80"/>
      <c r="I171" s="77"/>
      <c r="J171" s="78"/>
      <c r="K171" s="83"/>
      <c r="L171" s="77"/>
      <c r="M171" s="78"/>
      <c r="N171" s="78"/>
      <c r="O171" s="78"/>
      <c r="P171" s="77"/>
      <c r="Q171" s="78"/>
      <c r="R171" s="77"/>
      <c r="S171" s="78"/>
      <c r="T171" s="77"/>
      <c r="U171" s="78"/>
      <c r="V171" s="77"/>
      <c r="W171" s="7"/>
      <c r="X171" s="27" t="str">
        <f t="shared" si="3"/>
        <v/>
      </c>
      <c r="Y171" s="3" t="s">
        <v>40</v>
      </c>
      <c r="Z171" s="3"/>
      <c r="AA171" s="3" t="s">
        <v>17</v>
      </c>
      <c r="AB171" s="18" t="s">
        <v>70</v>
      </c>
      <c r="AC171" s="3">
        <v>41</v>
      </c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7"/>
      <c r="AO171" s="38"/>
      <c r="AP171" s="38"/>
      <c r="AQ171" s="38"/>
      <c r="AR171" s="43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</row>
    <row r="172" spans="1:54" s="5" customFormat="1" x14ac:dyDescent="0.25">
      <c r="A172" s="7"/>
      <c r="B172" s="77"/>
      <c r="C172" s="78"/>
      <c r="D172" s="78"/>
      <c r="E172" s="83"/>
      <c r="F172" s="78"/>
      <c r="G172" s="77"/>
      <c r="H172" s="80"/>
      <c r="I172" s="77"/>
      <c r="J172" s="78"/>
      <c r="K172" s="83"/>
      <c r="L172" s="77"/>
      <c r="M172" s="78"/>
      <c r="N172" s="78"/>
      <c r="O172" s="78"/>
      <c r="P172" s="77"/>
      <c r="Q172" s="78"/>
      <c r="R172" s="77"/>
      <c r="S172" s="78"/>
      <c r="T172" s="77"/>
      <c r="U172" s="78"/>
      <c r="V172" s="77"/>
      <c r="W172" s="7"/>
      <c r="X172" s="27" t="str">
        <f t="shared" si="3"/>
        <v/>
      </c>
      <c r="Y172" s="3" t="s">
        <v>46</v>
      </c>
      <c r="Z172" s="3"/>
      <c r="AA172" s="3" t="s">
        <v>17</v>
      </c>
      <c r="AB172" s="18" t="s">
        <v>70</v>
      </c>
      <c r="AC172" s="3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7"/>
      <c r="AO172" s="38"/>
      <c r="AP172" s="38"/>
      <c r="AQ172" s="38"/>
      <c r="AR172" s="43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</row>
    <row r="173" spans="1:54" s="5" customFormat="1" x14ac:dyDescent="0.25">
      <c r="A173" s="7"/>
      <c r="B173" s="77"/>
      <c r="C173" s="78"/>
      <c r="D173" s="78"/>
      <c r="E173" s="83"/>
      <c r="F173" s="78"/>
      <c r="G173" s="77"/>
      <c r="H173" s="80"/>
      <c r="I173" s="77"/>
      <c r="J173" s="78"/>
      <c r="K173" s="83"/>
      <c r="L173" s="77"/>
      <c r="M173" s="78"/>
      <c r="N173" s="78"/>
      <c r="O173" s="78"/>
      <c r="P173" s="77"/>
      <c r="Q173" s="78"/>
      <c r="R173" s="77"/>
      <c r="S173" s="78"/>
      <c r="T173" s="77"/>
      <c r="U173" s="78"/>
      <c r="V173" s="77"/>
      <c r="W173" s="7"/>
      <c r="X173" s="27" t="str">
        <f t="shared" si="3"/>
        <v/>
      </c>
      <c r="Y173" s="3" t="s">
        <v>53</v>
      </c>
      <c r="Z173" s="3"/>
      <c r="AA173" s="3" t="s">
        <v>17</v>
      </c>
      <c r="AB173" s="18" t="s">
        <v>70</v>
      </c>
      <c r="AC173" s="3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7"/>
      <c r="AO173" s="38"/>
      <c r="AP173" s="38"/>
      <c r="AQ173" s="38"/>
      <c r="AR173" s="43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</row>
    <row r="174" spans="1:54" s="5" customFormat="1" x14ac:dyDescent="0.25">
      <c r="A174" s="7"/>
      <c r="B174" s="77"/>
      <c r="C174" s="78"/>
      <c r="D174" s="78"/>
      <c r="E174" s="83"/>
      <c r="F174" s="78"/>
      <c r="G174" s="77"/>
      <c r="H174" s="80"/>
      <c r="I174" s="77"/>
      <c r="J174" s="78"/>
      <c r="K174" s="83"/>
      <c r="L174" s="77"/>
      <c r="M174" s="78"/>
      <c r="N174" s="78"/>
      <c r="O174" s="78"/>
      <c r="P174" s="77"/>
      <c r="Q174" s="78"/>
      <c r="R174" s="77"/>
      <c r="S174" s="78"/>
      <c r="T174" s="77"/>
      <c r="U174" s="78"/>
      <c r="V174" s="77"/>
      <c r="W174" s="7"/>
      <c r="X174" s="27" t="str">
        <f t="shared" si="3"/>
        <v/>
      </c>
      <c r="Y174" s="3" t="s">
        <v>116</v>
      </c>
      <c r="Z174" s="3"/>
      <c r="AA174" s="3" t="s">
        <v>17</v>
      </c>
      <c r="AB174" s="18" t="s">
        <v>70</v>
      </c>
      <c r="AC174" s="23">
        <f>AC177*$AC$9</f>
        <v>12.798719999999999</v>
      </c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7"/>
      <c r="AO174" s="38"/>
      <c r="AP174" s="38"/>
      <c r="AQ174" s="38"/>
      <c r="AR174" s="43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</row>
    <row r="175" spans="1:54" s="5" customFormat="1" x14ac:dyDescent="0.25">
      <c r="A175" s="7"/>
      <c r="B175" s="77"/>
      <c r="C175" s="78"/>
      <c r="D175" s="78"/>
      <c r="E175" s="83"/>
      <c r="F175" s="78"/>
      <c r="G175" s="77"/>
      <c r="H175" s="80"/>
      <c r="I175" s="77"/>
      <c r="J175" s="78"/>
      <c r="K175" s="83"/>
      <c r="L175" s="77"/>
      <c r="M175" s="78"/>
      <c r="N175" s="78"/>
      <c r="O175" s="78"/>
      <c r="P175" s="77"/>
      <c r="Q175" s="78"/>
      <c r="R175" s="77"/>
      <c r="S175" s="78"/>
      <c r="T175" s="77"/>
      <c r="U175" s="78"/>
      <c r="V175" s="77"/>
      <c r="W175" s="7"/>
      <c r="X175" s="27" t="str">
        <f t="shared" si="3"/>
        <v/>
      </c>
      <c r="Y175" s="3" t="s">
        <v>49</v>
      </c>
      <c r="Z175" s="3"/>
      <c r="AA175" s="3" t="s">
        <v>139</v>
      </c>
      <c r="AB175" s="18" t="s">
        <v>70</v>
      </c>
      <c r="AC175" s="3">
        <v>1</v>
      </c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7"/>
      <c r="AO175" s="38"/>
      <c r="AP175" s="38"/>
      <c r="AQ175" s="38"/>
      <c r="AR175" s="43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</row>
    <row r="176" spans="1:54" s="5" customFormat="1" x14ac:dyDescent="0.25">
      <c r="A176" s="7"/>
      <c r="B176" s="77"/>
      <c r="C176" s="78"/>
      <c r="D176" s="78"/>
      <c r="E176" s="83"/>
      <c r="F176" s="78"/>
      <c r="G176" s="77"/>
      <c r="H176" s="80"/>
      <c r="I176" s="77"/>
      <c r="J176" s="78"/>
      <c r="K176" s="83"/>
      <c r="L176" s="77"/>
      <c r="M176" s="78"/>
      <c r="N176" s="78"/>
      <c r="O176" s="78"/>
      <c r="P176" s="77"/>
      <c r="Q176" s="78"/>
      <c r="R176" s="77"/>
      <c r="S176" s="78"/>
      <c r="T176" s="77"/>
      <c r="U176" s="78"/>
      <c r="V176" s="77"/>
      <c r="W176" s="7"/>
      <c r="X176" s="27" t="str">
        <f t="shared" si="3"/>
        <v/>
      </c>
      <c r="Y176" s="3" t="s">
        <v>50</v>
      </c>
      <c r="Z176" s="3"/>
      <c r="AA176" s="3" t="s">
        <v>139</v>
      </c>
      <c r="AB176" s="18" t="s">
        <v>70</v>
      </c>
      <c r="AC176" s="3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7"/>
      <c r="AO176" s="38"/>
      <c r="AP176" s="38"/>
      <c r="AQ176" s="38"/>
      <c r="AR176" s="43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</row>
    <row r="177" spans="1:54" s="5" customFormat="1" x14ac:dyDescent="0.25">
      <c r="A177" s="7"/>
      <c r="B177" s="77"/>
      <c r="C177" s="78"/>
      <c r="D177" s="78"/>
      <c r="E177" s="83"/>
      <c r="F177" s="78"/>
      <c r="G177" s="77"/>
      <c r="H177" s="80"/>
      <c r="I177" s="77"/>
      <c r="J177" s="78"/>
      <c r="K177" s="83"/>
      <c r="L177" s="77"/>
      <c r="M177" s="78"/>
      <c r="N177" s="78"/>
      <c r="O177" s="78"/>
      <c r="P177" s="77"/>
      <c r="Q177" s="78"/>
      <c r="R177" s="77"/>
      <c r="S177" s="78"/>
      <c r="T177" s="77"/>
      <c r="U177" s="78"/>
      <c r="V177" s="77"/>
      <c r="W177" s="7"/>
      <c r="X177" s="27" t="str">
        <f t="shared" si="3"/>
        <v/>
      </c>
      <c r="Y177" s="3" t="s">
        <v>115</v>
      </c>
      <c r="Z177" s="3" t="s">
        <v>164</v>
      </c>
      <c r="AA177" s="3" t="s">
        <v>62</v>
      </c>
      <c r="AB177" s="18" t="s">
        <v>70</v>
      </c>
      <c r="AC177" s="3">
        <v>1.111</v>
      </c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7"/>
      <c r="AO177" s="38"/>
      <c r="AP177" s="38"/>
      <c r="AQ177" s="38"/>
      <c r="AR177" s="43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</row>
    <row r="178" spans="1:54" s="5" customFormat="1" x14ac:dyDescent="0.25">
      <c r="A178" s="7"/>
      <c r="B178" s="77"/>
      <c r="C178" s="78"/>
      <c r="D178" s="78"/>
      <c r="E178" s="83"/>
      <c r="F178" s="78"/>
      <c r="G178" s="77"/>
      <c r="H178" s="80"/>
      <c r="I178" s="77"/>
      <c r="J178" s="78"/>
      <c r="K178" s="83"/>
      <c r="L178" s="77"/>
      <c r="M178" s="78"/>
      <c r="N178" s="78"/>
      <c r="O178" s="78"/>
      <c r="P178" s="77"/>
      <c r="Q178" s="78"/>
      <c r="R178" s="77"/>
      <c r="S178" s="78"/>
      <c r="T178" s="77"/>
      <c r="U178" s="78"/>
      <c r="V178" s="77"/>
      <c r="W178" s="7"/>
      <c r="X178" s="27" t="str">
        <f t="shared" si="3"/>
        <v/>
      </c>
      <c r="Y178" s="3" t="s">
        <v>105</v>
      </c>
      <c r="Z178" s="3"/>
      <c r="AA178" s="3" t="s">
        <v>139</v>
      </c>
      <c r="AB178" s="18" t="s">
        <v>70</v>
      </c>
      <c r="AC178" s="22">
        <v>0</v>
      </c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7"/>
      <c r="AO178" s="38"/>
      <c r="AP178" s="38"/>
      <c r="AQ178" s="38"/>
      <c r="AR178" s="43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</row>
    <row r="179" spans="1:54" s="5" customFormat="1" x14ac:dyDescent="0.25">
      <c r="A179" s="7"/>
      <c r="B179" s="77"/>
      <c r="C179" s="78"/>
      <c r="D179" s="78"/>
      <c r="E179" s="83"/>
      <c r="F179" s="78"/>
      <c r="G179" s="77"/>
      <c r="H179" s="80"/>
      <c r="I179" s="77"/>
      <c r="J179" s="78"/>
      <c r="K179" s="83"/>
      <c r="L179" s="77"/>
      <c r="M179" s="78"/>
      <c r="N179" s="78"/>
      <c r="O179" s="78"/>
      <c r="P179" s="77"/>
      <c r="Q179" s="78"/>
      <c r="R179" s="77"/>
      <c r="S179" s="78"/>
      <c r="T179" s="77"/>
      <c r="U179" s="78"/>
      <c r="V179" s="77"/>
      <c r="W179" s="7"/>
      <c r="X179" s="27" t="str">
        <f t="shared" si="3"/>
        <v/>
      </c>
      <c r="Y179" s="3" t="s">
        <v>68</v>
      </c>
      <c r="Z179" s="3"/>
      <c r="AA179" s="3"/>
      <c r="AB179" s="18" t="s">
        <v>71</v>
      </c>
      <c r="AC179" s="3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7"/>
      <c r="AO179" s="38"/>
      <c r="AP179" s="38"/>
      <c r="AQ179" s="38"/>
      <c r="AR179" s="43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</row>
    <row r="180" spans="1:54" s="5" customFormat="1" x14ac:dyDescent="0.25">
      <c r="A180" s="7"/>
      <c r="B180" s="77"/>
      <c r="C180" s="78"/>
      <c r="D180" s="78"/>
      <c r="E180" s="83"/>
      <c r="F180" s="78"/>
      <c r="G180" s="77"/>
      <c r="H180" s="80"/>
      <c r="I180" s="77"/>
      <c r="J180" s="78"/>
      <c r="K180" s="83"/>
      <c r="L180" s="77"/>
      <c r="M180" s="78"/>
      <c r="N180" s="78"/>
      <c r="O180" s="78"/>
      <c r="P180" s="77"/>
      <c r="Q180" s="78"/>
      <c r="R180" s="77"/>
      <c r="S180" s="78"/>
      <c r="T180" s="77"/>
      <c r="U180" s="78"/>
      <c r="V180" s="77"/>
      <c r="W180" s="7"/>
      <c r="X180" s="27" t="str">
        <f t="shared" si="3"/>
        <v/>
      </c>
      <c r="Y180" s="3" t="s">
        <v>43</v>
      </c>
      <c r="Z180" s="3"/>
      <c r="AA180" s="3" t="s">
        <v>45</v>
      </c>
      <c r="AB180" s="18" t="s">
        <v>71</v>
      </c>
      <c r="AC180" s="3">
        <v>2000</v>
      </c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7"/>
      <c r="AO180" s="38"/>
      <c r="AP180" s="38"/>
      <c r="AQ180" s="38"/>
      <c r="AR180" s="43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</row>
    <row r="181" spans="1:54" s="5" customFormat="1" x14ac:dyDescent="0.25">
      <c r="A181" s="7"/>
      <c r="B181" s="77"/>
      <c r="C181" s="78"/>
      <c r="D181" s="78"/>
      <c r="E181" s="83"/>
      <c r="F181" s="78"/>
      <c r="G181" s="77"/>
      <c r="H181" s="80"/>
      <c r="I181" s="77"/>
      <c r="J181" s="78"/>
      <c r="K181" s="83"/>
      <c r="L181" s="77"/>
      <c r="M181" s="78"/>
      <c r="N181" s="78"/>
      <c r="O181" s="78"/>
      <c r="P181" s="77"/>
      <c r="Q181" s="78"/>
      <c r="R181" s="77"/>
      <c r="S181" s="78"/>
      <c r="T181" s="77"/>
      <c r="U181" s="78"/>
      <c r="V181" s="77"/>
      <c r="W181" s="7"/>
      <c r="X181" s="27" t="str">
        <f t="shared" si="3"/>
        <v/>
      </c>
      <c r="Y181" s="3" t="s">
        <v>42</v>
      </c>
      <c r="Z181" s="3"/>
      <c r="AA181" s="3" t="s">
        <v>45</v>
      </c>
      <c r="AB181" s="18" t="s">
        <v>71</v>
      </c>
      <c r="AC181" s="3">
        <v>2020</v>
      </c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7"/>
      <c r="AO181" s="38"/>
      <c r="AP181" s="38"/>
      <c r="AQ181" s="38"/>
      <c r="AR181" s="43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</row>
    <row r="182" spans="1:54" s="5" customFormat="1" x14ac:dyDescent="0.25">
      <c r="A182" s="7"/>
      <c r="B182" s="77"/>
      <c r="C182" s="78"/>
      <c r="D182" s="78"/>
      <c r="E182" s="83"/>
      <c r="F182" s="78"/>
      <c r="G182" s="77"/>
      <c r="H182" s="80"/>
      <c r="I182" s="77"/>
      <c r="J182" s="78"/>
      <c r="K182" s="83"/>
      <c r="L182" s="77"/>
      <c r="M182" s="78"/>
      <c r="N182" s="78"/>
      <c r="O182" s="78"/>
      <c r="P182" s="77"/>
      <c r="Q182" s="78"/>
      <c r="R182" s="77"/>
      <c r="S182" s="78"/>
      <c r="T182" s="77"/>
      <c r="U182" s="78"/>
      <c r="V182" s="77"/>
      <c r="W182" s="7"/>
      <c r="X182" s="27" t="str">
        <f t="shared" si="3"/>
        <v/>
      </c>
      <c r="Y182" s="3" t="s">
        <v>44</v>
      </c>
      <c r="Z182" s="3"/>
      <c r="AA182" s="3" t="s">
        <v>10</v>
      </c>
      <c r="AB182" s="18" t="s">
        <v>71</v>
      </c>
      <c r="AC182" s="3">
        <v>18</v>
      </c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7"/>
      <c r="AO182" s="38"/>
      <c r="AP182" s="38"/>
      <c r="AQ182" s="38"/>
      <c r="AR182" s="43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</row>
    <row r="183" spans="1:54" s="5" customFormat="1" x14ac:dyDescent="0.25">
      <c r="A183" s="7"/>
      <c r="B183" s="77"/>
      <c r="C183" s="78"/>
      <c r="D183" s="78"/>
      <c r="E183" s="83"/>
      <c r="F183" s="78"/>
      <c r="G183" s="77"/>
      <c r="H183" s="80"/>
      <c r="I183" s="77"/>
      <c r="J183" s="78"/>
      <c r="K183" s="83"/>
      <c r="L183" s="77"/>
      <c r="M183" s="78"/>
      <c r="N183" s="78"/>
      <c r="O183" s="78"/>
      <c r="P183" s="77"/>
      <c r="Q183" s="78"/>
      <c r="R183" s="77"/>
      <c r="S183" s="78"/>
      <c r="T183" s="77"/>
      <c r="U183" s="78"/>
      <c r="V183" s="77"/>
      <c r="W183" s="7"/>
      <c r="X183" s="27" t="str">
        <f t="shared" si="3"/>
        <v/>
      </c>
      <c r="Y183" s="3" t="s">
        <v>73</v>
      </c>
      <c r="Z183" s="3"/>
      <c r="AA183" s="3" t="s">
        <v>139</v>
      </c>
      <c r="AB183" s="18" t="s">
        <v>71</v>
      </c>
      <c r="AC183" s="3">
        <v>0.25</v>
      </c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7"/>
      <c r="AO183" s="38"/>
      <c r="AP183" s="38"/>
      <c r="AQ183" s="38"/>
      <c r="AR183" s="43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</row>
    <row r="184" spans="1:54" s="5" customFormat="1" x14ac:dyDescent="0.25">
      <c r="A184" s="7"/>
      <c r="B184" s="77"/>
      <c r="C184" s="78"/>
      <c r="D184" s="78"/>
      <c r="E184" s="83"/>
      <c r="F184" s="78"/>
      <c r="G184" s="77"/>
      <c r="H184" s="80"/>
      <c r="I184" s="77"/>
      <c r="J184" s="78"/>
      <c r="K184" s="83"/>
      <c r="L184" s="77"/>
      <c r="M184" s="78"/>
      <c r="N184" s="78"/>
      <c r="O184" s="78"/>
      <c r="P184" s="77"/>
      <c r="Q184" s="78"/>
      <c r="R184" s="77"/>
      <c r="S184" s="78"/>
      <c r="T184" s="77"/>
      <c r="U184" s="78"/>
      <c r="V184" s="77"/>
      <c r="W184" s="7"/>
      <c r="X184" s="27" t="str">
        <f t="shared" ref="X184:X262" si="4">IFERROR(INDEX($B184:$V184,MATCH(TRUE,INDEX(($B184:$V184&lt;&gt;0),0),0)),"")</f>
        <v/>
      </c>
      <c r="Y184" s="3" t="s">
        <v>40</v>
      </c>
      <c r="Z184" s="3"/>
      <c r="AA184" s="3" t="s">
        <v>17</v>
      </c>
      <c r="AB184" s="18" t="s">
        <v>71</v>
      </c>
      <c r="AC184" s="3">
        <v>34</v>
      </c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7"/>
      <c r="AO184" s="38"/>
      <c r="AP184" s="38"/>
      <c r="AQ184" s="38"/>
      <c r="AR184" s="43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</row>
    <row r="185" spans="1:54" s="5" customFormat="1" x14ac:dyDescent="0.25">
      <c r="A185" s="7"/>
      <c r="B185" s="77"/>
      <c r="C185" s="78"/>
      <c r="D185" s="78"/>
      <c r="E185" s="83"/>
      <c r="F185" s="78"/>
      <c r="G185" s="77"/>
      <c r="H185" s="80"/>
      <c r="I185" s="77"/>
      <c r="J185" s="78"/>
      <c r="K185" s="83"/>
      <c r="L185" s="77"/>
      <c r="M185" s="78"/>
      <c r="N185" s="78"/>
      <c r="O185" s="78"/>
      <c r="P185" s="77"/>
      <c r="Q185" s="78"/>
      <c r="R185" s="77"/>
      <c r="S185" s="78"/>
      <c r="T185" s="77"/>
      <c r="U185" s="78"/>
      <c r="V185" s="77"/>
      <c r="W185" s="7"/>
      <c r="X185" s="27" t="str">
        <f t="shared" si="4"/>
        <v/>
      </c>
      <c r="Y185" s="3" t="s">
        <v>46</v>
      </c>
      <c r="Z185" s="3"/>
      <c r="AA185" s="3" t="s">
        <v>17</v>
      </c>
      <c r="AB185" s="18" t="s">
        <v>71</v>
      </c>
      <c r="AC185" s="3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7"/>
      <c r="AO185" s="38"/>
      <c r="AP185" s="38"/>
      <c r="AQ185" s="38"/>
      <c r="AR185" s="43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</row>
    <row r="186" spans="1:54" s="5" customFormat="1" x14ac:dyDescent="0.25">
      <c r="A186" s="7"/>
      <c r="B186" s="77"/>
      <c r="C186" s="78"/>
      <c r="D186" s="78"/>
      <c r="E186" s="83"/>
      <c r="F186" s="78"/>
      <c r="G186" s="77"/>
      <c r="H186" s="80"/>
      <c r="I186" s="77"/>
      <c r="J186" s="78"/>
      <c r="K186" s="83"/>
      <c r="L186" s="77"/>
      <c r="M186" s="78"/>
      <c r="N186" s="78"/>
      <c r="O186" s="78"/>
      <c r="P186" s="77"/>
      <c r="Q186" s="78"/>
      <c r="R186" s="77"/>
      <c r="S186" s="78"/>
      <c r="T186" s="77"/>
      <c r="U186" s="78"/>
      <c r="V186" s="77"/>
      <c r="W186" s="7"/>
      <c r="X186" s="27" t="str">
        <f t="shared" si="4"/>
        <v/>
      </c>
      <c r="Y186" s="3" t="s">
        <v>53</v>
      </c>
      <c r="Z186" s="3"/>
      <c r="AA186" s="3" t="s">
        <v>17</v>
      </c>
      <c r="AB186" s="18" t="s">
        <v>71</v>
      </c>
      <c r="AC186" s="3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7"/>
      <c r="AO186" s="38"/>
      <c r="AP186" s="38"/>
      <c r="AQ186" s="38"/>
      <c r="AR186" s="43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</row>
    <row r="187" spans="1:54" s="5" customFormat="1" x14ac:dyDescent="0.25">
      <c r="A187" s="7"/>
      <c r="B187" s="77"/>
      <c r="C187" s="78"/>
      <c r="D187" s="78"/>
      <c r="E187" s="83"/>
      <c r="F187" s="78"/>
      <c r="G187" s="77"/>
      <c r="H187" s="80"/>
      <c r="I187" s="77"/>
      <c r="J187" s="78"/>
      <c r="K187" s="83"/>
      <c r="L187" s="77"/>
      <c r="M187" s="78"/>
      <c r="N187" s="78"/>
      <c r="O187" s="78"/>
      <c r="P187" s="77"/>
      <c r="Q187" s="78"/>
      <c r="R187" s="77"/>
      <c r="S187" s="78"/>
      <c r="T187" s="77"/>
      <c r="U187" s="78"/>
      <c r="V187" s="77"/>
      <c r="W187" s="7"/>
      <c r="X187" s="27" t="str">
        <f t="shared" si="4"/>
        <v/>
      </c>
      <c r="Y187" s="3" t="s">
        <v>116</v>
      </c>
      <c r="Z187" s="3"/>
      <c r="AA187" s="3" t="s">
        <v>17</v>
      </c>
      <c r="AB187" s="18" t="s">
        <v>71</v>
      </c>
      <c r="AC187" s="23">
        <f>AC190*$AC$9</f>
        <v>14.58432</v>
      </c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7"/>
      <c r="AO187" s="38"/>
      <c r="AP187" s="38"/>
      <c r="AQ187" s="38"/>
      <c r="AR187" s="43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</row>
    <row r="188" spans="1:54" s="5" customFormat="1" x14ac:dyDescent="0.25">
      <c r="A188" s="7"/>
      <c r="B188" s="77"/>
      <c r="C188" s="78"/>
      <c r="D188" s="78"/>
      <c r="E188" s="83"/>
      <c r="F188" s="78"/>
      <c r="G188" s="77"/>
      <c r="H188" s="80"/>
      <c r="I188" s="77"/>
      <c r="J188" s="78"/>
      <c r="K188" s="83"/>
      <c r="L188" s="77"/>
      <c r="M188" s="78"/>
      <c r="N188" s="78"/>
      <c r="O188" s="78"/>
      <c r="P188" s="77"/>
      <c r="Q188" s="78"/>
      <c r="R188" s="77"/>
      <c r="S188" s="78"/>
      <c r="T188" s="77"/>
      <c r="U188" s="78"/>
      <c r="V188" s="77"/>
      <c r="W188" s="7"/>
      <c r="X188" s="27" t="str">
        <f t="shared" si="4"/>
        <v/>
      </c>
      <c r="Y188" s="3" t="s">
        <v>49</v>
      </c>
      <c r="Z188" s="3"/>
      <c r="AA188" s="3" t="s">
        <v>139</v>
      </c>
      <c r="AB188" s="18" t="s">
        <v>71</v>
      </c>
      <c r="AC188" s="3">
        <v>1</v>
      </c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7"/>
      <c r="AO188" s="38"/>
      <c r="AP188" s="38"/>
      <c r="AQ188" s="38"/>
      <c r="AR188" s="43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</row>
    <row r="189" spans="1:54" s="5" customFormat="1" x14ac:dyDescent="0.25">
      <c r="A189" s="7"/>
      <c r="B189" s="77"/>
      <c r="C189" s="78"/>
      <c r="D189" s="78"/>
      <c r="E189" s="83"/>
      <c r="F189" s="78"/>
      <c r="G189" s="77"/>
      <c r="H189" s="80"/>
      <c r="I189" s="77"/>
      <c r="J189" s="78"/>
      <c r="K189" s="83"/>
      <c r="L189" s="77"/>
      <c r="M189" s="78"/>
      <c r="N189" s="78"/>
      <c r="O189" s="78"/>
      <c r="P189" s="77"/>
      <c r="Q189" s="78"/>
      <c r="R189" s="77"/>
      <c r="S189" s="78"/>
      <c r="T189" s="77"/>
      <c r="U189" s="78"/>
      <c r="V189" s="77"/>
      <c r="W189" s="7"/>
      <c r="X189" s="27" t="str">
        <f t="shared" si="4"/>
        <v/>
      </c>
      <c r="Y189" s="3" t="s">
        <v>50</v>
      </c>
      <c r="Z189" s="3"/>
      <c r="AA189" s="3" t="s">
        <v>139</v>
      </c>
      <c r="AB189" s="18" t="s">
        <v>71</v>
      </c>
      <c r="AC189" s="3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7"/>
      <c r="AO189" s="38"/>
      <c r="AP189" s="38"/>
      <c r="AQ189" s="38"/>
      <c r="AR189" s="43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</row>
    <row r="190" spans="1:54" s="5" customFormat="1" x14ac:dyDescent="0.25">
      <c r="A190" s="7"/>
      <c r="B190" s="77"/>
      <c r="C190" s="78"/>
      <c r="D190" s="78"/>
      <c r="E190" s="83"/>
      <c r="F190" s="78"/>
      <c r="G190" s="77"/>
      <c r="H190" s="80"/>
      <c r="I190" s="77"/>
      <c r="J190" s="78"/>
      <c r="K190" s="83"/>
      <c r="L190" s="77"/>
      <c r="M190" s="78"/>
      <c r="N190" s="78"/>
      <c r="O190" s="78"/>
      <c r="P190" s="77"/>
      <c r="Q190" s="78"/>
      <c r="R190" s="77"/>
      <c r="S190" s="78"/>
      <c r="T190" s="77"/>
      <c r="U190" s="78"/>
      <c r="V190" s="77"/>
      <c r="W190" s="7"/>
      <c r="X190" s="27" t="str">
        <f t="shared" si="4"/>
        <v/>
      </c>
      <c r="Y190" s="3" t="s">
        <v>115</v>
      </c>
      <c r="Z190" s="3" t="s">
        <v>164</v>
      </c>
      <c r="AA190" s="3" t="s">
        <v>62</v>
      </c>
      <c r="AB190" s="18" t="s">
        <v>71</v>
      </c>
      <c r="AC190" s="3">
        <v>1.266</v>
      </c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7"/>
      <c r="AO190" s="38"/>
      <c r="AP190" s="38"/>
      <c r="AQ190" s="38"/>
      <c r="AR190" s="43"/>
      <c r="AS190" s="42"/>
      <c r="AT190" s="42"/>
      <c r="AU190" s="42"/>
      <c r="AV190" s="42"/>
      <c r="AW190" s="42"/>
      <c r="AX190" s="42"/>
      <c r="AY190" s="42"/>
      <c r="AZ190" s="42"/>
      <c r="BA190" s="42"/>
      <c r="BB190" s="42"/>
    </row>
    <row r="191" spans="1:54" s="5" customFormat="1" x14ac:dyDescent="0.25">
      <c r="A191" s="7"/>
      <c r="B191" s="77"/>
      <c r="C191" s="78"/>
      <c r="D191" s="78"/>
      <c r="E191" s="83"/>
      <c r="F191" s="78"/>
      <c r="G191" s="77"/>
      <c r="H191" s="80"/>
      <c r="I191" s="77"/>
      <c r="J191" s="78"/>
      <c r="K191" s="83"/>
      <c r="L191" s="77"/>
      <c r="M191" s="78"/>
      <c r="N191" s="78"/>
      <c r="O191" s="78"/>
      <c r="P191" s="77"/>
      <c r="Q191" s="78"/>
      <c r="R191" s="77"/>
      <c r="S191" s="78"/>
      <c r="T191" s="77"/>
      <c r="U191" s="78"/>
      <c r="V191" s="77"/>
      <c r="W191" s="7"/>
      <c r="X191" s="27" t="str">
        <f t="shared" si="4"/>
        <v/>
      </c>
      <c r="Y191" s="3" t="s">
        <v>105</v>
      </c>
      <c r="Z191" s="3"/>
      <c r="AA191" s="3" t="s">
        <v>139</v>
      </c>
      <c r="AB191" s="18" t="s">
        <v>71</v>
      </c>
      <c r="AC191" s="22">
        <v>0.27500000000000002</v>
      </c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7"/>
      <c r="AO191" s="38"/>
      <c r="AP191" s="38"/>
      <c r="AQ191" s="38"/>
      <c r="AR191" s="43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</row>
    <row r="192" spans="1:54" s="5" customFormat="1" x14ac:dyDescent="0.25">
      <c r="A192" s="7"/>
      <c r="B192" s="77"/>
      <c r="C192" s="78"/>
      <c r="D192" s="78"/>
      <c r="E192" s="83"/>
      <c r="F192" s="78"/>
      <c r="G192" s="77"/>
      <c r="H192" s="77"/>
      <c r="I192" s="77"/>
      <c r="J192" s="77"/>
      <c r="K192" s="83"/>
      <c r="L192" s="78"/>
      <c r="M192" s="78"/>
      <c r="N192" s="77"/>
      <c r="O192" s="78"/>
      <c r="P192" s="77"/>
      <c r="Q192" s="78"/>
      <c r="R192" s="77"/>
      <c r="S192" s="78"/>
      <c r="T192" s="77"/>
      <c r="U192" s="78"/>
      <c r="V192" s="77"/>
      <c r="W192" s="7"/>
      <c r="X192" s="27" t="str">
        <f t="shared" si="4"/>
        <v/>
      </c>
      <c r="Y192" s="6"/>
      <c r="Z192" s="6"/>
      <c r="AA192" s="6"/>
      <c r="AB192" s="11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7"/>
      <c r="AO192" s="15"/>
      <c r="AP192" s="15"/>
      <c r="AQ192" s="15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</row>
    <row r="193" spans="1:54" s="5" customFormat="1" x14ac:dyDescent="0.25">
      <c r="A193" s="7"/>
      <c r="B193" s="77"/>
      <c r="C193" s="78"/>
      <c r="D193" s="78"/>
      <c r="E193" s="83"/>
      <c r="F193" s="78"/>
      <c r="G193" s="77"/>
      <c r="H193" s="77"/>
      <c r="I193" s="77"/>
      <c r="J193" s="77"/>
      <c r="K193" s="82"/>
      <c r="L193" s="33" t="s">
        <v>96</v>
      </c>
      <c r="M193" s="83"/>
      <c r="N193" s="77"/>
      <c r="O193" s="78"/>
      <c r="P193" s="77"/>
      <c r="Q193" s="78"/>
      <c r="R193" s="77"/>
      <c r="S193" s="78"/>
      <c r="T193" s="77"/>
      <c r="U193" s="78"/>
      <c r="V193" s="77"/>
      <c r="W193" s="7"/>
      <c r="X193" s="28" t="str">
        <f t="shared" si="4"/>
        <v>Water heating</v>
      </c>
      <c r="Y193" s="6"/>
      <c r="Z193" s="6"/>
      <c r="AA193" s="6"/>
      <c r="AB193" s="11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7"/>
      <c r="AO193" s="15"/>
      <c r="AP193" s="15"/>
      <c r="AQ193" s="15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</row>
    <row r="194" spans="1:54" s="5" customFormat="1" x14ac:dyDescent="0.25">
      <c r="A194" s="7"/>
      <c r="B194" s="77"/>
      <c r="C194" s="78"/>
      <c r="D194" s="78"/>
      <c r="E194" s="83"/>
      <c r="F194" s="78"/>
      <c r="G194" s="77"/>
      <c r="H194" s="78"/>
      <c r="I194" s="77"/>
      <c r="J194" s="78"/>
      <c r="K194" s="83"/>
      <c r="L194" s="78"/>
      <c r="M194" s="83"/>
      <c r="N194" s="77"/>
      <c r="O194" s="78"/>
      <c r="P194" s="77"/>
      <c r="Q194" s="78"/>
      <c r="R194" s="77"/>
      <c r="S194" s="78"/>
      <c r="T194" s="77"/>
      <c r="U194" s="78"/>
      <c r="V194" s="77"/>
      <c r="W194" s="7"/>
      <c r="X194" s="27" t="str">
        <f t="shared" si="4"/>
        <v/>
      </c>
      <c r="Y194" s="3" t="s">
        <v>114</v>
      </c>
      <c r="Z194" s="3" t="s">
        <v>162</v>
      </c>
      <c r="AA194" s="3"/>
      <c r="AB194" s="18" t="s">
        <v>38</v>
      </c>
      <c r="AC194" s="3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7"/>
      <c r="AO194" s="38"/>
      <c r="AP194" s="38"/>
      <c r="AQ194" s="38"/>
      <c r="AR194" s="43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</row>
    <row r="195" spans="1:54" s="5" customFormat="1" x14ac:dyDescent="0.25">
      <c r="A195" s="7"/>
      <c r="B195" s="77"/>
      <c r="C195" s="78"/>
      <c r="D195" s="78"/>
      <c r="E195" s="83"/>
      <c r="F195" s="78"/>
      <c r="G195" s="77"/>
      <c r="H195" s="78"/>
      <c r="I195" s="77"/>
      <c r="J195" s="78"/>
      <c r="K195" s="83"/>
      <c r="L195" s="78"/>
      <c r="M195" s="83"/>
      <c r="N195" s="77"/>
      <c r="O195" s="78"/>
      <c r="P195" s="77"/>
      <c r="Q195" s="78"/>
      <c r="R195" s="77"/>
      <c r="S195" s="78"/>
      <c r="T195" s="77"/>
      <c r="U195" s="78"/>
      <c r="V195" s="77"/>
      <c r="W195" s="7"/>
      <c r="X195" s="27" t="str">
        <f t="shared" si="4"/>
        <v/>
      </c>
      <c r="Y195" s="3" t="s">
        <v>63</v>
      </c>
      <c r="Z195" s="3"/>
      <c r="AA195" s="3"/>
      <c r="AB195" s="18" t="s">
        <v>25</v>
      </c>
      <c r="AC195" s="3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7"/>
      <c r="AO195" s="38"/>
      <c r="AP195" s="38"/>
      <c r="AQ195" s="38"/>
      <c r="AR195" s="43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</row>
    <row r="196" spans="1:54" s="5" customFormat="1" x14ac:dyDescent="0.25">
      <c r="A196" s="7"/>
      <c r="B196" s="77"/>
      <c r="C196" s="78"/>
      <c r="D196" s="78"/>
      <c r="E196" s="83"/>
      <c r="F196" s="78"/>
      <c r="G196" s="77"/>
      <c r="H196" s="78"/>
      <c r="I196" s="77"/>
      <c r="J196" s="78"/>
      <c r="K196" s="83"/>
      <c r="L196" s="78"/>
      <c r="M196" s="83"/>
      <c r="N196" s="77"/>
      <c r="O196" s="78"/>
      <c r="P196" s="77"/>
      <c r="Q196" s="78"/>
      <c r="R196" s="77"/>
      <c r="S196" s="78"/>
      <c r="T196" s="77"/>
      <c r="U196" s="78"/>
      <c r="V196" s="77"/>
      <c r="W196" s="7"/>
      <c r="X196" s="27" t="str">
        <f t="shared" si="4"/>
        <v/>
      </c>
      <c r="Y196" s="3" t="s">
        <v>86</v>
      </c>
      <c r="Z196" s="3"/>
      <c r="AA196" s="3"/>
      <c r="AB196" s="18" t="s">
        <v>39</v>
      </c>
      <c r="AC196" s="3">
        <v>10</v>
      </c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7"/>
      <c r="AO196" s="38"/>
      <c r="AP196" s="38"/>
      <c r="AQ196" s="38"/>
      <c r="AR196" s="43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</row>
    <row r="197" spans="1:54" s="5" customFormat="1" x14ac:dyDescent="0.25">
      <c r="A197" s="7"/>
      <c r="B197" s="77"/>
      <c r="C197" s="78"/>
      <c r="D197" s="78"/>
      <c r="E197" s="83"/>
      <c r="F197" s="78"/>
      <c r="G197" s="77"/>
      <c r="H197" s="77"/>
      <c r="I197" s="77"/>
      <c r="J197" s="77"/>
      <c r="K197" s="83"/>
      <c r="L197" s="78"/>
      <c r="M197" s="83"/>
      <c r="N197" s="77"/>
      <c r="O197" s="78"/>
      <c r="P197" s="77"/>
      <c r="Q197" s="78"/>
      <c r="R197" s="77"/>
      <c r="S197" s="78"/>
      <c r="T197" s="77"/>
      <c r="U197" s="78"/>
      <c r="V197" s="77"/>
      <c r="W197" s="7"/>
      <c r="X197" s="27" t="str">
        <f t="shared" si="4"/>
        <v/>
      </c>
      <c r="Y197" s="6"/>
      <c r="Z197" s="6"/>
      <c r="AA197" s="6"/>
      <c r="AB197" s="11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7"/>
      <c r="AO197" s="15"/>
      <c r="AP197" s="15"/>
      <c r="AQ197" s="15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</row>
    <row r="198" spans="1:54" s="5" customFormat="1" x14ac:dyDescent="0.25">
      <c r="A198" s="7"/>
      <c r="B198" s="77"/>
      <c r="C198" s="78"/>
      <c r="D198" s="78"/>
      <c r="E198" s="83"/>
      <c r="F198" s="78"/>
      <c r="G198" s="77"/>
      <c r="H198" s="80"/>
      <c r="I198" s="77"/>
      <c r="J198" s="77"/>
      <c r="K198" s="83"/>
      <c r="L198" s="78"/>
      <c r="M198" s="83"/>
      <c r="N198" s="78"/>
      <c r="O198" s="78"/>
      <c r="P198" s="77"/>
      <c r="Q198" s="78"/>
      <c r="R198" s="77"/>
      <c r="S198" s="78"/>
      <c r="T198" s="77"/>
      <c r="U198" s="78"/>
      <c r="V198" s="77"/>
      <c r="W198" s="7"/>
      <c r="X198" s="27" t="str">
        <f t="shared" si="4"/>
        <v/>
      </c>
      <c r="Y198" s="6"/>
      <c r="Z198" s="6"/>
      <c r="AA198" s="6"/>
      <c r="AB198" s="11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7"/>
      <c r="AO198" s="15"/>
      <c r="AP198" s="15"/>
      <c r="AQ198" s="15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</row>
    <row r="199" spans="1:54" s="5" customFormat="1" x14ac:dyDescent="0.25">
      <c r="A199" s="7"/>
      <c r="B199" s="77"/>
      <c r="C199" s="78"/>
      <c r="D199" s="78"/>
      <c r="E199" s="83"/>
      <c r="F199" s="78"/>
      <c r="G199" s="77"/>
      <c r="H199" s="80"/>
      <c r="I199" s="77"/>
      <c r="J199" s="77"/>
      <c r="K199" s="83"/>
      <c r="L199" s="78"/>
      <c r="M199" s="82"/>
      <c r="N199" s="32" t="s">
        <v>29</v>
      </c>
      <c r="O199" s="78"/>
      <c r="P199" s="77"/>
      <c r="Q199" s="78"/>
      <c r="R199" s="77"/>
      <c r="S199" s="78"/>
      <c r="T199" s="77"/>
      <c r="U199" s="78"/>
      <c r="V199" s="77"/>
      <c r="W199" s="7"/>
      <c r="X199" s="28" t="str">
        <f t="shared" si="4"/>
        <v>Apartment</v>
      </c>
      <c r="Y199" s="6"/>
      <c r="Z199" s="6"/>
      <c r="AA199" s="6"/>
      <c r="AB199" s="11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7"/>
      <c r="AO199" s="15"/>
      <c r="AP199" s="15"/>
      <c r="AQ199" s="15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</row>
    <row r="200" spans="1:54" s="5" customFormat="1" x14ac:dyDescent="0.25">
      <c r="A200" s="7"/>
      <c r="B200" s="77"/>
      <c r="C200" s="78"/>
      <c r="D200" s="78"/>
      <c r="E200" s="83"/>
      <c r="F200" s="78"/>
      <c r="G200" s="77"/>
      <c r="H200" s="80"/>
      <c r="I200" s="77"/>
      <c r="J200" s="77"/>
      <c r="K200" s="83"/>
      <c r="L200" s="78"/>
      <c r="M200" s="83"/>
      <c r="N200" s="78"/>
      <c r="O200" s="78"/>
      <c r="P200" s="77"/>
      <c r="Q200" s="78"/>
      <c r="R200" s="77"/>
      <c r="S200" s="78"/>
      <c r="T200" s="77"/>
      <c r="U200" s="78"/>
      <c r="V200" s="77"/>
      <c r="W200" s="7"/>
      <c r="X200" s="27" t="str">
        <f t="shared" si="4"/>
        <v/>
      </c>
      <c r="Y200" s="6"/>
      <c r="Z200" s="6"/>
      <c r="AA200" s="6"/>
      <c r="AB200" s="11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7"/>
      <c r="AO200" s="15"/>
      <c r="AP200" s="15"/>
      <c r="AQ200" s="15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</row>
    <row r="201" spans="1:54" s="5" customFormat="1" x14ac:dyDescent="0.25">
      <c r="A201" s="7"/>
      <c r="B201" s="77"/>
      <c r="C201" s="78"/>
      <c r="D201" s="78"/>
      <c r="E201" s="83"/>
      <c r="F201" s="78"/>
      <c r="G201" s="77"/>
      <c r="H201" s="80"/>
      <c r="I201" s="77"/>
      <c r="J201" s="77"/>
      <c r="K201" s="83"/>
      <c r="L201" s="78"/>
      <c r="M201" s="84"/>
      <c r="N201" s="78"/>
      <c r="O201" s="78"/>
      <c r="P201" s="77"/>
      <c r="Q201" s="78"/>
      <c r="R201" s="77"/>
      <c r="S201" s="78"/>
      <c r="T201" s="77"/>
      <c r="U201" s="78"/>
      <c r="V201" s="77"/>
      <c r="W201" s="7"/>
      <c r="X201" s="27" t="str">
        <f t="shared" si="4"/>
        <v/>
      </c>
      <c r="Y201" s="6"/>
      <c r="Z201" s="6"/>
      <c r="AA201" s="6"/>
      <c r="AB201" s="11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7"/>
      <c r="AO201" s="15"/>
      <c r="AP201" s="15"/>
      <c r="AQ201" s="15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</row>
    <row r="202" spans="1:54" s="5" customFormat="1" x14ac:dyDescent="0.25">
      <c r="A202" s="7"/>
      <c r="B202" s="77"/>
      <c r="C202" s="78"/>
      <c r="D202" s="78"/>
      <c r="E202" s="83"/>
      <c r="F202" s="78"/>
      <c r="G202" s="77"/>
      <c r="H202" s="80"/>
      <c r="I202" s="77"/>
      <c r="J202" s="77"/>
      <c r="K202" s="83"/>
      <c r="L202" s="78"/>
      <c r="M202" s="81"/>
      <c r="N202" s="32" t="s">
        <v>98</v>
      </c>
      <c r="O202" s="78"/>
      <c r="P202" s="77"/>
      <c r="Q202" s="78"/>
      <c r="R202" s="77"/>
      <c r="S202" s="78"/>
      <c r="T202" s="77"/>
      <c r="U202" s="78"/>
      <c r="V202" s="77"/>
      <c r="W202" s="7"/>
      <c r="X202" s="28" t="str">
        <f t="shared" si="4"/>
        <v>Non-apartment</v>
      </c>
      <c r="Y202" s="6"/>
      <c r="Z202" s="6"/>
      <c r="AA202" s="6"/>
      <c r="AB202" s="11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7"/>
      <c r="AO202" s="15"/>
      <c r="AP202" s="15"/>
      <c r="AQ202" s="15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</row>
    <row r="203" spans="1:54" s="5" customFormat="1" x14ac:dyDescent="0.25">
      <c r="A203" s="7"/>
      <c r="B203" s="77"/>
      <c r="C203" s="78"/>
      <c r="D203" s="78"/>
      <c r="E203" s="83"/>
      <c r="F203" s="78"/>
      <c r="G203" s="77"/>
      <c r="H203" s="80"/>
      <c r="I203" s="77"/>
      <c r="J203" s="78"/>
      <c r="K203" s="83"/>
      <c r="L203" s="77"/>
      <c r="M203" s="78"/>
      <c r="N203" s="78"/>
      <c r="O203" s="78"/>
      <c r="P203" s="77"/>
      <c r="Q203" s="78"/>
      <c r="R203" s="77"/>
      <c r="S203" s="78"/>
      <c r="T203" s="77"/>
      <c r="U203" s="78"/>
      <c r="V203" s="77"/>
      <c r="W203" s="7"/>
      <c r="X203" s="27" t="str">
        <f t="shared" si="4"/>
        <v/>
      </c>
      <c r="Y203" s="3" t="s">
        <v>68</v>
      </c>
      <c r="Z203" s="3"/>
      <c r="AA203" s="3"/>
      <c r="AB203" s="91" t="s">
        <v>158</v>
      </c>
      <c r="AC203" s="92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7"/>
      <c r="AO203" s="38"/>
      <c r="AP203" s="38"/>
      <c r="AQ203" s="38"/>
      <c r="AR203" s="43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</row>
    <row r="204" spans="1:54" s="5" customFormat="1" x14ac:dyDescent="0.25">
      <c r="A204" s="7"/>
      <c r="B204" s="77"/>
      <c r="C204" s="78"/>
      <c r="D204" s="78"/>
      <c r="E204" s="83"/>
      <c r="F204" s="78"/>
      <c r="G204" s="77"/>
      <c r="H204" s="80"/>
      <c r="I204" s="77"/>
      <c r="J204" s="78"/>
      <c r="K204" s="83"/>
      <c r="L204" s="77"/>
      <c r="M204" s="78"/>
      <c r="N204" s="78"/>
      <c r="O204" s="78"/>
      <c r="P204" s="77"/>
      <c r="Q204" s="78"/>
      <c r="R204" s="77"/>
      <c r="S204" s="78"/>
      <c r="T204" s="77"/>
      <c r="U204" s="78"/>
      <c r="V204" s="77"/>
      <c r="W204" s="7"/>
      <c r="X204" s="27" t="str">
        <f t="shared" si="4"/>
        <v/>
      </c>
      <c r="Y204" s="3" t="s">
        <v>43</v>
      </c>
      <c r="Z204" s="3"/>
      <c r="AA204" s="3" t="s">
        <v>45</v>
      </c>
      <c r="AB204" s="91" t="s">
        <v>158</v>
      </c>
      <c r="AC204" s="92">
        <v>1990</v>
      </c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7"/>
      <c r="AO204" s="38"/>
      <c r="AP204" s="38"/>
      <c r="AQ204" s="38"/>
      <c r="AR204" s="43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</row>
    <row r="205" spans="1:54" s="5" customFormat="1" x14ac:dyDescent="0.25">
      <c r="A205" s="7"/>
      <c r="B205" s="77"/>
      <c r="C205" s="78"/>
      <c r="D205" s="78"/>
      <c r="E205" s="83"/>
      <c r="F205" s="78"/>
      <c r="G205" s="77"/>
      <c r="H205" s="80"/>
      <c r="I205" s="77"/>
      <c r="J205" s="78"/>
      <c r="K205" s="83"/>
      <c r="L205" s="77"/>
      <c r="M205" s="78"/>
      <c r="N205" s="78"/>
      <c r="O205" s="78"/>
      <c r="P205" s="77"/>
      <c r="Q205" s="78"/>
      <c r="R205" s="77"/>
      <c r="S205" s="78"/>
      <c r="T205" s="77"/>
      <c r="U205" s="78"/>
      <c r="V205" s="77"/>
      <c r="W205" s="7"/>
      <c r="X205" s="27" t="str">
        <f t="shared" si="4"/>
        <v/>
      </c>
      <c r="Y205" s="3" t="s">
        <v>42</v>
      </c>
      <c r="Z205" s="3"/>
      <c r="AA205" s="3" t="s">
        <v>45</v>
      </c>
      <c r="AB205" s="91" t="s">
        <v>158</v>
      </c>
      <c r="AC205" s="92">
        <v>2000</v>
      </c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7"/>
      <c r="AO205" s="38"/>
      <c r="AP205" s="38"/>
      <c r="AQ205" s="38"/>
      <c r="AR205" s="43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</row>
    <row r="206" spans="1:54" s="5" customFormat="1" x14ac:dyDescent="0.25">
      <c r="A206" s="7"/>
      <c r="B206" s="77"/>
      <c r="C206" s="78"/>
      <c r="D206" s="78"/>
      <c r="E206" s="83"/>
      <c r="F206" s="78"/>
      <c r="G206" s="77"/>
      <c r="H206" s="80"/>
      <c r="I206" s="77"/>
      <c r="J206" s="78"/>
      <c r="K206" s="83"/>
      <c r="L206" s="77"/>
      <c r="M206" s="78"/>
      <c r="N206" s="78"/>
      <c r="O206" s="78"/>
      <c r="P206" s="77"/>
      <c r="Q206" s="78"/>
      <c r="R206" s="77"/>
      <c r="S206" s="78"/>
      <c r="T206" s="77"/>
      <c r="U206" s="78"/>
      <c r="V206" s="77"/>
      <c r="W206" s="7"/>
      <c r="X206" s="27" t="str">
        <f t="shared" si="4"/>
        <v/>
      </c>
      <c r="Y206" s="3" t="s">
        <v>44</v>
      </c>
      <c r="Z206" s="3"/>
      <c r="AA206" s="3" t="s">
        <v>10</v>
      </c>
      <c r="AB206" s="91" t="s">
        <v>158</v>
      </c>
      <c r="AC206" s="92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7"/>
      <c r="AO206" s="38"/>
      <c r="AP206" s="38"/>
      <c r="AQ206" s="38"/>
      <c r="AR206" s="43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</row>
    <row r="207" spans="1:54" s="5" customFormat="1" x14ac:dyDescent="0.25">
      <c r="A207" s="7"/>
      <c r="B207" s="77"/>
      <c r="C207" s="78"/>
      <c r="D207" s="78"/>
      <c r="E207" s="83"/>
      <c r="F207" s="78"/>
      <c r="G207" s="77"/>
      <c r="H207" s="80"/>
      <c r="I207" s="77"/>
      <c r="J207" s="78"/>
      <c r="K207" s="83"/>
      <c r="L207" s="77"/>
      <c r="M207" s="78"/>
      <c r="N207" s="78"/>
      <c r="O207" s="78"/>
      <c r="P207" s="77"/>
      <c r="Q207" s="78"/>
      <c r="R207" s="77"/>
      <c r="S207" s="78"/>
      <c r="T207" s="77"/>
      <c r="U207" s="78"/>
      <c r="V207" s="77"/>
      <c r="W207" s="7"/>
      <c r="X207" s="27" t="str">
        <f t="shared" si="4"/>
        <v/>
      </c>
      <c r="Y207" s="3" t="s">
        <v>73</v>
      </c>
      <c r="Z207" s="3"/>
      <c r="AA207" s="3" t="s">
        <v>139</v>
      </c>
      <c r="AB207" s="91" t="s">
        <v>158</v>
      </c>
      <c r="AC207" s="92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7"/>
      <c r="AO207" s="38"/>
      <c r="AP207" s="38"/>
      <c r="AQ207" s="38"/>
      <c r="AR207" s="43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</row>
    <row r="208" spans="1:54" s="5" customFormat="1" x14ac:dyDescent="0.25">
      <c r="A208" s="7"/>
      <c r="B208" s="77"/>
      <c r="C208" s="78"/>
      <c r="D208" s="78"/>
      <c r="E208" s="83"/>
      <c r="F208" s="78"/>
      <c r="G208" s="77"/>
      <c r="H208" s="80"/>
      <c r="I208" s="77"/>
      <c r="J208" s="78"/>
      <c r="K208" s="83"/>
      <c r="L208" s="77"/>
      <c r="M208" s="78"/>
      <c r="N208" s="78"/>
      <c r="O208" s="78"/>
      <c r="P208" s="77"/>
      <c r="Q208" s="78"/>
      <c r="R208" s="77"/>
      <c r="S208" s="78"/>
      <c r="T208" s="77"/>
      <c r="U208" s="78"/>
      <c r="V208" s="77"/>
      <c r="W208" s="7"/>
      <c r="X208" s="27" t="str">
        <f t="shared" si="4"/>
        <v/>
      </c>
      <c r="Y208" s="3" t="s">
        <v>40</v>
      </c>
      <c r="Z208" s="3"/>
      <c r="AA208" s="3" t="s">
        <v>17</v>
      </c>
      <c r="AB208" s="91" t="s">
        <v>158</v>
      </c>
      <c r="AC208" s="92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7"/>
      <c r="AO208" s="38"/>
      <c r="AP208" s="38"/>
      <c r="AQ208" s="38"/>
      <c r="AR208" s="43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</row>
    <row r="209" spans="1:54" s="5" customFormat="1" x14ac:dyDescent="0.25">
      <c r="A209" s="7"/>
      <c r="B209" s="77"/>
      <c r="C209" s="78"/>
      <c r="D209" s="78"/>
      <c r="E209" s="83"/>
      <c r="F209" s="78"/>
      <c r="G209" s="77"/>
      <c r="H209" s="80"/>
      <c r="I209" s="77"/>
      <c r="J209" s="78"/>
      <c r="K209" s="83"/>
      <c r="L209" s="77"/>
      <c r="M209" s="78"/>
      <c r="N209" s="78"/>
      <c r="O209" s="78"/>
      <c r="P209" s="77"/>
      <c r="Q209" s="78"/>
      <c r="R209" s="77"/>
      <c r="S209" s="78"/>
      <c r="T209" s="77"/>
      <c r="U209" s="78"/>
      <c r="V209" s="77"/>
      <c r="W209" s="7"/>
      <c r="X209" s="27" t="str">
        <f t="shared" si="4"/>
        <v/>
      </c>
      <c r="Y209" s="3" t="s">
        <v>46</v>
      </c>
      <c r="Z209" s="3"/>
      <c r="AA209" s="3" t="s">
        <v>17</v>
      </c>
      <c r="AB209" s="91" t="s">
        <v>158</v>
      </c>
      <c r="AC209" s="92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7"/>
      <c r="AO209" s="38"/>
      <c r="AP209" s="38"/>
      <c r="AQ209" s="38"/>
      <c r="AR209" s="43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</row>
    <row r="210" spans="1:54" s="5" customFormat="1" x14ac:dyDescent="0.25">
      <c r="A210" s="7"/>
      <c r="B210" s="77"/>
      <c r="C210" s="78"/>
      <c r="D210" s="78"/>
      <c r="E210" s="83"/>
      <c r="F210" s="78"/>
      <c r="G210" s="77"/>
      <c r="H210" s="80"/>
      <c r="I210" s="77"/>
      <c r="J210" s="78"/>
      <c r="K210" s="83"/>
      <c r="L210" s="77"/>
      <c r="M210" s="78"/>
      <c r="N210" s="78"/>
      <c r="O210" s="78"/>
      <c r="P210" s="77"/>
      <c r="Q210" s="78"/>
      <c r="R210" s="77"/>
      <c r="S210" s="78"/>
      <c r="T210" s="77"/>
      <c r="U210" s="78"/>
      <c r="V210" s="77"/>
      <c r="W210" s="7"/>
      <c r="X210" s="27" t="str">
        <f t="shared" si="4"/>
        <v/>
      </c>
      <c r="Y210" s="3" t="s">
        <v>53</v>
      </c>
      <c r="Z210" s="3"/>
      <c r="AA210" s="3" t="s">
        <v>17</v>
      </c>
      <c r="AB210" s="91" t="s">
        <v>158</v>
      </c>
      <c r="AC210" s="92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7"/>
      <c r="AO210" s="38"/>
      <c r="AP210" s="38"/>
      <c r="AQ210" s="38"/>
      <c r="AR210" s="43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</row>
    <row r="211" spans="1:54" s="5" customFormat="1" x14ac:dyDescent="0.25">
      <c r="A211" s="7"/>
      <c r="B211" s="77"/>
      <c r="C211" s="78"/>
      <c r="D211" s="78"/>
      <c r="E211" s="83"/>
      <c r="F211" s="78"/>
      <c r="G211" s="77"/>
      <c r="H211" s="80"/>
      <c r="I211" s="77"/>
      <c r="J211" s="78"/>
      <c r="K211" s="83"/>
      <c r="L211" s="77"/>
      <c r="M211" s="78"/>
      <c r="N211" s="78"/>
      <c r="O211" s="78"/>
      <c r="P211" s="77"/>
      <c r="Q211" s="78"/>
      <c r="R211" s="77"/>
      <c r="S211" s="78"/>
      <c r="T211" s="77"/>
      <c r="U211" s="78"/>
      <c r="V211" s="77"/>
      <c r="W211" s="7"/>
      <c r="X211" s="27" t="str">
        <f t="shared" si="4"/>
        <v/>
      </c>
      <c r="Y211" s="3" t="s">
        <v>116</v>
      </c>
      <c r="Z211" s="3"/>
      <c r="AA211" s="3" t="s">
        <v>17</v>
      </c>
      <c r="AB211" s="91" t="s">
        <v>158</v>
      </c>
      <c r="AC211" s="93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7"/>
      <c r="AO211" s="38"/>
      <c r="AP211" s="38"/>
      <c r="AQ211" s="38"/>
      <c r="AR211" s="43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</row>
    <row r="212" spans="1:54" s="5" customFormat="1" x14ac:dyDescent="0.25">
      <c r="A212" s="7"/>
      <c r="B212" s="77"/>
      <c r="C212" s="78"/>
      <c r="D212" s="78"/>
      <c r="E212" s="83"/>
      <c r="F212" s="78"/>
      <c r="G212" s="77"/>
      <c r="H212" s="80"/>
      <c r="I212" s="77"/>
      <c r="J212" s="78"/>
      <c r="K212" s="83"/>
      <c r="L212" s="77"/>
      <c r="M212" s="78"/>
      <c r="N212" s="78"/>
      <c r="O212" s="78"/>
      <c r="P212" s="77"/>
      <c r="Q212" s="78"/>
      <c r="R212" s="77"/>
      <c r="S212" s="78"/>
      <c r="T212" s="77"/>
      <c r="U212" s="78"/>
      <c r="V212" s="77"/>
      <c r="W212" s="7"/>
      <c r="X212" s="27" t="str">
        <f t="shared" si="4"/>
        <v/>
      </c>
      <c r="Y212" s="3" t="s">
        <v>49</v>
      </c>
      <c r="Z212" s="3"/>
      <c r="AA212" s="3" t="s">
        <v>139</v>
      </c>
      <c r="AB212" s="91" t="s">
        <v>158</v>
      </c>
      <c r="AC212" s="92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7"/>
      <c r="AO212" s="38"/>
      <c r="AP212" s="38"/>
      <c r="AQ212" s="38"/>
      <c r="AR212" s="43"/>
      <c r="AS212" s="42"/>
      <c r="AT212" s="42"/>
      <c r="AU212" s="42"/>
      <c r="AV212" s="42"/>
      <c r="AW212" s="42"/>
      <c r="AX212" s="42"/>
      <c r="AY212" s="42"/>
      <c r="AZ212" s="42"/>
      <c r="BA212" s="42"/>
      <c r="BB212" s="42"/>
    </row>
    <row r="213" spans="1:54" s="5" customFormat="1" x14ac:dyDescent="0.25">
      <c r="A213" s="7"/>
      <c r="B213" s="77"/>
      <c r="C213" s="78"/>
      <c r="D213" s="78"/>
      <c r="E213" s="83"/>
      <c r="F213" s="78"/>
      <c r="G213" s="77"/>
      <c r="H213" s="80"/>
      <c r="I213" s="77"/>
      <c r="J213" s="78"/>
      <c r="K213" s="83"/>
      <c r="L213" s="77"/>
      <c r="M213" s="78"/>
      <c r="N213" s="78"/>
      <c r="O213" s="78"/>
      <c r="P213" s="77"/>
      <c r="Q213" s="78"/>
      <c r="R213" s="77"/>
      <c r="S213" s="78"/>
      <c r="T213" s="77"/>
      <c r="U213" s="78"/>
      <c r="V213" s="77"/>
      <c r="W213" s="7"/>
      <c r="X213" s="27" t="str">
        <f t="shared" si="4"/>
        <v/>
      </c>
      <c r="Y213" s="3" t="s">
        <v>50</v>
      </c>
      <c r="Z213" s="3"/>
      <c r="AA213" s="3" t="s">
        <v>139</v>
      </c>
      <c r="AB213" s="91" t="s">
        <v>158</v>
      </c>
      <c r="AC213" s="92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7"/>
      <c r="AO213" s="38"/>
      <c r="AP213" s="38"/>
      <c r="AQ213" s="38"/>
      <c r="AR213" s="43"/>
      <c r="AS213" s="42"/>
      <c r="AT213" s="42"/>
      <c r="AU213" s="42"/>
      <c r="AV213" s="42"/>
      <c r="AW213" s="42"/>
      <c r="AX213" s="42"/>
      <c r="AY213" s="42"/>
      <c r="AZ213" s="42"/>
      <c r="BA213" s="42"/>
      <c r="BB213" s="42"/>
    </row>
    <row r="214" spans="1:54" s="5" customFormat="1" x14ac:dyDescent="0.25">
      <c r="A214" s="7"/>
      <c r="B214" s="77"/>
      <c r="C214" s="78"/>
      <c r="D214" s="78"/>
      <c r="E214" s="83"/>
      <c r="F214" s="78"/>
      <c r="G214" s="77"/>
      <c r="H214" s="80"/>
      <c r="I214" s="77"/>
      <c r="J214" s="78"/>
      <c r="K214" s="83"/>
      <c r="L214" s="77"/>
      <c r="M214" s="78"/>
      <c r="N214" s="78"/>
      <c r="O214" s="78"/>
      <c r="P214" s="77"/>
      <c r="Q214" s="78"/>
      <c r="R214" s="77"/>
      <c r="S214" s="78"/>
      <c r="T214" s="77"/>
      <c r="U214" s="78"/>
      <c r="V214" s="77"/>
      <c r="W214" s="7"/>
      <c r="X214" s="27" t="str">
        <f t="shared" si="4"/>
        <v/>
      </c>
      <c r="Y214" s="3" t="s">
        <v>115</v>
      </c>
      <c r="Z214" s="3"/>
      <c r="AA214" s="3" t="s">
        <v>62</v>
      </c>
      <c r="AB214" s="91" t="s">
        <v>158</v>
      </c>
      <c r="AC214" s="92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7"/>
      <c r="AO214" s="38"/>
      <c r="AP214" s="38"/>
      <c r="AQ214" s="38"/>
      <c r="AR214" s="43"/>
      <c r="AS214" s="42"/>
      <c r="AT214" s="42"/>
      <c r="AU214" s="42"/>
      <c r="AV214" s="42"/>
      <c r="AW214" s="42"/>
      <c r="AX214" s="42"/>
      <c r="AY214" s="42"/>
      <c r="AZ214" s="42"/>
      <c r="BA214" s="42"/>
      <c r="BB214" s="42"/>
    </row>
    <row r="215" spans="1:54" s="5" customFormat="1" x14ac:dyDescent="0.25">
      <c r="A215" s="7"/>
      <c r="B215" s="77"/>
      <c r="C215" s="78"/>
      <c r="D215" s="78"/>
      <c r="E215" s="83"/>
      <c r="F215" s="78"/>
      <c r="G215" s="77"/>
      <c r="H215" s="80"/>
      <c r="I215" s="77"/>
      <c r="J215" s="78"/>
      <c r="K215" s="83"/>
      <c r="L215" s="77"/>
      <c r="M215" s="78"/>
      <c r="N215" s="78"/>
      <c r="O215" s="78"/>
      <c r="P215" s="77"/>
      <c r="Q215" s="78"/>
      <c r="R215" s="77"/>
      <c r="S215" s="78"/>
      <c r="T215" s="77"/>
      <c r="U215" s="78"/>
      <c r="V215" s="77"/>
      <c r="W215" s="7"/>
      <c r="X215" s="27" t="str">
        <f t="shared" si="4"/>
        <v/>
      </c>
      <c r="Y215" s="3" t="s">
        <v>105</v>
      </c>
      <c r="Z215" s="3"/>
      <c r="AA215" s="3" t="s">
        <v>139</v>
      </c>
      <c r="AB215" s="91" t="s">
        <v>158</v>
      </c>
      <c r="AC215" s="94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7"/>
      <c r="AO215" s="38"/>
      <c r="AP215" s="38"/>
      <c r="AQ215" s="38"/>
      <c r="AR215" s="43"/>
      <c r="AS215" s="42"/>
      <c r="AT215" s="42"/>
      <c r="AU215" s="42"/>
      <c r="AV215" s="42"/>
      <c r="AW215" s="42"/>
      <c r="AX215" s="42"/>
      <c r="AY215" s="42"/>
      <c r="AZ215" s="42"/>
      <c r="BA215" s="42"/>
      <c r="BB215" s="42"/>
    </row>
    <row r="216" spans="1:54" s="5" customFormat="1" x14ac:dyDescent="0.25">
      <c r="A216" s="7"/>
      <c r="B216" s="77"/>
      <c r="C216" s="78"/>
      <c r="D216" s="78"/>
      <c r="E216" s="83"/>
      <c r="F216" s="78"/>
      <c r="G216" s="77"/>
      <c r="H216" s="80"/>
      <c r="I216" s="77"/>
      <c r="J216" s="78"/>
      <c r="K216" s="83"/>
      <c r="L216" s="77"/>
      <c r="M216" s="78"/>
      <c r="N216" s="78"/>
      <c r="O216" s="78"/>
      <c r="P216" s="77"/>
      <c r="Q216" s="78"/>
      <c r="R216" s="77"/>
      <c r="S216" s="78"/>
      <c r="T216" s="77"/>
      <c r="U216" s="78"/>
      <c r="V216" s="77"/>
      <c r="W216" s="7"/>
      <c r="X216" s="27" t="str">
        <f t="shared" si="4"/>
        <v/>
      </c>
      <c r="Y216" s="3" t="s">
        <v>68</v>
      </c>
      <c r="Z216" s="3"/>
      <c r="AA216" s="3"/>
      <c r="AB216" s="91" t="s">
        <v>159</v>
      </c>
      <c r="AC216" s="92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7"/>
      <c r="AO216" s="38"/>
      <c r="AP216" s="38"/>
      <c r="AQ216" s="38"/>
      <c r="AR216" s="43"/>
      <c r="AS216" s="42"/>
      <c r="AT216" s="42"/>
      <c r="AU216" s="42"/>
      <c r="AV216" s="42"/>
      <c r="AW216" s="42"/>
      <c r="AX216" s="42"/>
      <c r="AY216" s="42"/>
      <c r="AZ216" s="42"/>
      <c r="BA216" s="42"/>
      <c r="BB216" s="42"/>
    </row>
    <row r="217" spans="1:54" s="5" customFormat="1" x14ac:dyDescent="0.25">
      <c r="A217" s="7"/>
      <c r="B217" s="77"/>
      <c r="C217" s="78"/>
      <c r="D217" s="78"/>
      <c r="E217" s="83"/>
      <c r="F217" s="78"/>
      <c r="G217" s="77"/>
      <c r="H217" s="80"/>
      <c r="I217" s="77"/>
      <c r="J217" s="78"/>
      <c r="K217" s="83"/>
      <c r="L217" s="77"/>
      <c r="M217" s="78"/>
      <c r="N217" s="78"/>
      <c r="O217" s="78"/>
      <c r="P217" s="77"/>
      <c r="Q217" s="78"/>
      <c r="R217" s="77"/>
      <c r="S217" s="78"/>
      <c r="T217" s="77"/>
      <c r="U217" s="78"/>
      <c r="V217" s="77"/>
      <c r="W217" s="7"/>
      <c r="X217" s="27" t="str">
        <f t="shared" si="4"/>
        <v/>
      </c>
      <c r="Y217" s="3" t="s">
        <v>43</v>
      </c>
      <c r="Z217" s="3"/>
      <c r="AA217" s="3" t="s">
        <v>45</v>
      </c>
      <c r="AB217" s="91" t="s">
        <v>159</v>
      </c>
      <c r="AC217" s="92">
        <v>1990</v>
      </c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7"/>
      <c r="AO217" s="38"/>
      <c r="AP217" s="38"/>
      <c r="AQ217" s="38"/>
      <c r="AR217" s="43"/>
      <c r="AS217" s="42"/>
      <c r="AT217" s="42"/>
      <c r="AU217" s="42"/>
      <c r="AV217" s="42"/>
      <c r="AW217" s="42"/>
      <c r="AX217" s="42"/>
      <c r="AY217" s="42"/>
      <c r="AZ217" s="42"/>
      <c r="BA217" s="42"/>
      <c r="BB217" s="42"/>
    </row>
    <row r="218" spans="1:54" s="5" customFormat="1" x14ac:dyDescent="0.25">
      <c r="A218" s="7"/>
      <c r="B218" s="77"/>
      <c r="C218" s="78"/>
      <c r="D218" s="78"/>
      <c r="E218" s="83"/>
      <c r="F218" s="78"/>
      <c r="G218" s="77"/>
      <c r="H218" s="80"/>
      <c r="I218" s="77"/>
      <c r="J218" s="78"/>
      <c r="K218" s="83"/>
      <c r="L218" s="77"/>
      <c r="M218" s="78"/>
      <c r="N218" s="78"/>
      <c r="O218" s="78"/>
      <c r="P218" s="77"/>
      <c r="Q218" s="78"/>
      <c r="R218" s="77"/>
      <c r="S218" s="78"/>
      <c r="T218" s="77"/>
      <c r="U218" s="78"/>
      <c r="V218" s="77"/>
      <c r="W218" s="7"/>
      <c r="X218" s="27" t="str">
        <f t="shared" si="4"/>
        <v/>
      </c>
      <c r="Y218" s="3" t="s">
        <v>42</v>
      </c>
      <c r="Z218" s="3"/>
      <c r="AA218" s="3" t="s">
        <v>45</v>
      </c>
      <c r="AB218" s="91" t="s">
        <v>159</v>
      </c>
      <c r="AC218" s="92">
        <v>2000</v>
      </c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7"/>
      <c r="AO218" s="38"/>
      <c r="AP218" s="38"/>
      <c r="AQ218" s="38"/>
      <c r="AR218" s="43"/>
      <c r="AS218" s="42"/>
      <c r="AT218" s="42"/>
      <c r="AU218" s="42"/>
      <c r="AV218" s="42"/>
      <c r="AW218" s="42"/>
      <c r="AX218" s="42"/>
      <c r="AY218" s="42"/>
      <c r="AZ218" s="42"/>
      <c r="BA218" s="42"/>
      <c r="BB218" s="42"/>
    </row>
    <row r="219" spans="1:54" s="5" customFormat="1" x14ac:dyDescent="0.25">
      <c r="A219" s="7"/>
      <c r="B219" s="77"/>
      <c r="C219" s="78"/>
      <c r="D219" s="78"/>
      <c r="E219" s="83"/>
      <c r="F219" s="78"/>
      <c r="G219" s="77"/>
      <c r="H219" s="80"/>
      <c r="I219" s="77"/>
      <c r="J219" s="78"/>
      <c r="K219" s="83"/>
      <c r="L219" s="77"/>
      <c r="M219" s="78"/>
      <c r="N219" s="78"/>
      <c r="O219" s="78"/>
      <c r="P219" s="77"/>
      <c r="Q219" s="78"/>
      <c r="R219" s="77"/>
      <c r="S219" s="78"/>
      <c r="T219" s="77"/>
      <c r="U219" s="78"/>
      <c r="V219" s="77"/>
      <c r="W219" s="7"/>
      <c r="X219" s="27" t="str">
        <f t="shared" si="4"/>
        <v/>
      </c>
      <c r="Y219" s="3" t="s">
        <v>44</v>
      </c>
      <c r="Z219" s="3"/>
      <c r="AA219" s="3" t="s">
        <v>10</v>
      </c>
      <c r="AB219" s="91" t="s">
        <v>159</v>
      </c>
      <c r="AC219" s="92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7"/>
      <c r="AO219" s="38"/>
      <c r="AP219" s="38"/>
      <c r="AQ219" s="38"/>
      <c r="AR219" s="43"/>
      <c r="AS219" s="42"/>
      <c r="AT219" s="42"/>
      <c r="AU219" s="42"/>
      <c r="AV219" s="42"/>
      <c r="AW219" s="42"/>
      <c r="AX219" s="42"/>
      <c r="AY219" s="42"/>
      <c r="AZ219" s="42"/>
      <c r="BA219" s="42"/>
      <c r="BB219" s="42"/>
    </row>
    <row r="220" spans="1:54" s="5" customFormat="1" x14ac:dyDescent="0.25">
      <c r="A220" s="7"/>
      <c r="B220" s="77"/>
      <c r="C220" s="78"/>
      <c r="D220" s="78"/>
      <c r="E220" s="83"/>
      <c r="F220" s="78"/>
      <c r="G220" s="77"/>
      <c r="H220" s="80"/>
      <c r="I220" s="77"/>
      <c r="J220" s="78"/>
      <c r="K220" s="83"/>
      <c r="L220" s="77"/>
      <c r="M220" s="78"/>
      <c r="N220" s="78"/>
      <c r="O220" s="78"/>
      <c r="P220" s="77"/>
      <c r="Q220" s="78"/>
      <c r="R220" s="77"/>
      <c r="S220" s="78"/>
      <c r="T220" s="77"/>
      <c r="U220" s="78"/>
      <c r="V220" s="77"/>
      <c r="W220" s="7"/>
      <c r="X220" s="27" t="str">
        <f t="shared" si="4"/>
        <v/>
      </c>
      <c r="Y220" s="3" t="s">
        <v>73</v>
      </c>
      <c r="Z220" s="3"/>
      <c r="AA220" s="3" t="s">
        <v>139</v>
      </c>
      <c r="AB220" s="91" t="s">
        <v>159</v>
      </c>
      <c r="AC220" s="92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7"/>
      <c r="AO220" s="38"/>
      <c r="AP220" s="38"/>
      <c r="AQ220" s="38"/>
      <c r="AR220" s="43"/>
      <c r="AS220" s="42"/>
      <c r="AT220" s="42"/>
      <c r="AU220" s="42"/>
      <c r="AV220" s="42"/>
      <c r="AW220" s="42"/>
      <c r="AX220" s="42"/>
      <c r="AY220" s="42"/>
      <c r="AZ220" s="42"/>
      <c r="BA220" s="42"/>
      <c r="BB220" s="42"/>
    </row>
    <row r="221" spans="1:54" s="5" customFormat="1" x14ac:dyDescent="0.25">
      <c r="A221" s="7"/>
      <c r="B221" s="77"/>
      <c r="C221" s="78"/>
      <c r="D221" s="78"/>
      <c r="E221" s="83"/>
      <c r="F221" s="78"/>
      <c r="G221" s="77"/>
      <c r="H221" s="80"/>
      <c r="I221" s="77"/>
      <c r="J221" s="78"/>
      <c r="K221" s="83"/>
      <c r="L221" s="77"/>
      <c r="M221" s="78"/>
      <c r="N221" s="78"/>
      <c r="O221" s="78"/>
      <c r="P221" s="77"/>
      <c r="Q221" s="78"/>
      <c r="R221" s="77"/>
      <c r="S221" s="78"/>
      <c r="T221" s="77"/>
      <c r="U221" s="78"/>
      <c r="V221" s="77"/>
      <c r="W221" s="7"/>
      <c r="X221" s="27" t="str">
        <f t="shared" si="4"/>
        <v/>
      </c>
      <c r="Y221" s="3" t="s">
        <v>40</v>
      </c>
      <c r="Z221" s="3"/>
      <c r="AA221" s="3" t="s">
        <v>17</v>
      </c>
      <c r="AB221" s="91" t="s">
        <v>159</v>
      </c>
      <c r="AC221" s="92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7"/>
      <c r="AO221" s="38"/>
      <c r="AP221" s="38"/>
      <c r="AQ221" s="38"/>
      <c r="AR221" s="43"/>
      <c r="AS221" s="42"/>
      <c r="AT221" s="42"/>
      <c r="AU221" s="42"/>
      <c r="AV221" s="42"/>
      <c r="AW221" s="42"/>
      <c r="AX221" s="42"/>
      <c r="AY221" s="42"/>
      <c r="AZ221" s="42"/>
      <c r="BA221" s="42"/>
      <c r="BB221" s="42"/>
    </row>
    <row r="222" spans="1:54" s="5" customFormat="1" x14ac:dyDescent="0.25">
      <c r="A222" s="7"/>
      <c r="B222" s="77"/>
      <c r="C222" s="78"/>
      <c r="D222" s="78"/>
      <c r="E222" s="83"/>
      <c r="F222" s="78"/>
      <c r="G222" s="77"/>
      <c r="H222" s="80"/>
      <c r="I222" s="77"/>
      <c r="J222" s="78"/>
      <c r="K222" s="83"/>
      <c r="L222" s="77"/>
      <c r="M222" s="78"/>
      <c r="N222" s="78"/>
      <c r="O222" s="78"/>
      <c r="P222" s="77"/>
      <c r="Q222" s="78"/>
      <c r="R222" s="77"/>
      <c r="S222" s="78"/>
      <c r="T222" s="77"/>
      <c r="U222" s="78"/>
      <c r="V222" s="77"/>
      <c r="W222" s="7"/>
      <c r="X222" s="27" t="str">
        <f t="shared" si="4"/>
        <v/>
      </c>
      <c r="Y222" s="3" t="s">
        <v>46</v>
      </c>
      <c r="Z222" s="3"/>
      <c r="AA222" s="3" t="s">
        <v>17</v>
      </c>
      <c r="AB222" s="91" t="s">
        <v>159</v>
      </c>
      <c r="AC222" s="92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7"/>
      <c r="AO222" s="38"/>
      <c r="AP222" s="38"/>
      <c r="AQ222" s="38"/>
      <c r="AR222" s="43"/>
      <c r="AS222" s="42"/>
      <c r="AT222" s="42"/>
      <c r="AU222" s="42"/>
      <c r="AV222" s="42"/>
      <c r="AW222" s="42"/>
      <c r="AX222" s="42"/>
      <c r="AY222" s="42"/>
      <c r="AZ222" s="42"/>
      <c r="BA222" s="42"/>
      <c r="BB222" s="42"/>
    </row>
    <row r="223" spans="1:54" s="5" customFormat="1" x14ac:dyDescent="0.25">
      <c r="A223" s="7"/>
      <c r="B223" s="77"/>
      <c r="C223" s="78"/>
      <c r="D223" s="78"/>
      <c r="E223" s="83"/>
      <c r="F223" s="78"/>
      <c r="G223" s="77"/>
      <c r="H223" s="80"/>
      <c r="I223" s="77"/>
      <c r="J223" s="78"/>
      <c r="K223" s="83"/>
      <c r="L223" s="77"/>
      <c r="M223" s="78"/>
      <c r="N223" s="78"/>
      <c r="O223" s="78"/>
      <c r="P223" s="77"/>
      <c r="Q223" s="78"/>
      <c r="R223" s="77"/>
      <c r="S223" s="78"/>
      <c r="T223" s="77"/>
      <c r="U223" s="78"/>
      <c r="V223" s="77"/>
      <c r="W223" s="7"/>
      <c r="X223" s="27" t="str">
        <f t="shared" si="4"/>
        <v/>
      </c>
      <c r="Y223" s="3" t="s">
        <v>53</v>
      </c>
      <c r="Z223" s="3"/>
      <c r="AA223" s="3" t="s">
        <v>17</v>
      </c>
      <c r="AB223" s="91" t="s">
        <v>159</v>
      </c>
      <c r="AC223" s="92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7"/>
      <c r="AO223" s="38"/>
      <c r="AP223" s="38"/>
      <c r="AQ223" s="38"/>
      <c r="AR223" s="43"/>
      <c r="AS223" s="42"/>
      <c r="AT223" s="42"/>
      <c r="AU223" s="42"/>
      <c r="AV223" s="42"/>
      <c r="AW223" s="42"/>
      <c r="AX223" s="42"/>
      <c r="AY223" s="42"/>
      <c r="AZ223" s="42"/>
      <c r="BA223" s="42"/>
      <c r="BB223" s="42"/>
    </row>
    <row r="224" spans="1:54" s="5" customFormat="1" x14ac:dyDescent="0.25">
      <c r="A224" s="7"/>
      <c r="B224" s="77"/>
      <c r="C224" s="78"/>
      <c r="D224" s="78"/>
      <c r="E224" s="83"/>
      <c r="F224" s="78"/>
      <c r="G224" s="77"/>
      <c r="H224" s="80"/>
      <c r="I224" s="77"/>
      <c r="J224" s="78"/>
      <c r="K224" s="83"/>
      <c r="L224" s="77"/>
      <c r="M224" s="78"/>
      <c r="N224" s="78"/>
      <c r="O224" s="78"/>
      <c r="P224" s="77"/>
      <c r="Q224" s="78"/>
      <c r="R224" s="77"/>
      <c r="S224" s="78"/>
      <c r="T224" s="77"/>
      <c r="U224" s="78"/>
      <c r="V224" s="77"/>
      <c r="W224" s="7"/>
      <c r="X224" s="27" t="str">
        <f t="shared" si="4"/>
        <v/>
      </c>
      <c r="Y224" s="3" t="s">
        <v>116</v>
      </c>
      <c r="Z224" s="3"/>
      <c r="AA224" s="3" t="s">
        <v>17</v>
      </c>
      <c r="AB224" s="91" t="s">
        <v>159</v>
      </c>
      <c r="AC224" s="93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7"/>
      <c r="AO224" s="38"/>
      <c r="AP224" s="38"/>
      <c r="AQ224" s="38"/>
      <c r="AR224" s="43"/>
      <c r="AS224" s="42"/>
      <c r="AT224" s="42"/>
      <c r="AU224" s="42"/>
      <c r="AV224" s="42"/>
      <c r="AW224" s="42"/>
      <c r="AX224" s="42"/>
      <c r="AY224" s="42"/>
      <c r="AZ224" s="42"/>
      <c r="BA224" s="42"/>
      <c r="BB224" s="42"/>
    </row>
    <row r="225" spans="1:54" s="5" customFormat="1" x14ac:dyDescent="0.25">
      <c r="A225" s="7"/>
      <c r="B225" s="77"/>
      <c r="C225" s="78"/>
      <c r="D225" s="78"/>
      <c r="E225" s="83"/>
      <c r="F225" s="78"/>
      <c r="G225" s="77"/>
      <c r="H225" s="80"/>
      <c r="I225" s="77"/>
      <c r="J225" s="78"/>
      <c r="K225" s="83"/>
      <c r="L225" s="77"/>
      <c r="M225" s="78"/>
      <c r="N225" s="78"/>
      <c r="O225" s="78"/>
      <c r="P225" s="77"/>
      <c r="Q225" s="78"/>
      <c r="R225" s="77"/>
      <c r="S225" s="78"/>
      <c r="T225" s="77"/>
      <c r="U225" s="78"/>
      <c r="V225" s="77"/>
      <c r="W225" s="7"/>
      <c r="X225" s="27" t="str">
        <f t="shared" si="4"/>
        <v/>
      </c>
      <c r="Y225" s="3" t="s">
        <v>49</v>
      </c>
      <c r="Z225" s="3"/>
      <c r="AA225" s="3" t="s">
        <v>139</v>
      </c>
      <c r="AB225" s="91" t="s">
        <v>159</v>
      </c>
      <c r="AC225" s="92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7"/>
      <c r="AO225" s="38"/>
      <c r="AP225" s="38"/>
      <c r="AQ225" s="38"/>
      <c r="AR225" s="43"/>
      <c r="AS225" s="42"/>
      <c r="AT225" s="42"/>
      <c r="AU225" s="42"/>
      <c r="AV225" s="42"/>
      <c r="AW225" s="42"/>
      <c r="AX225" s="42"/>
      <c r="AY225" s="42"/>
      <c r="AZ225" s="42"/>
      <c r="BA225" s="42"/>
      <c r="BB225" s="42"/>
    </row>
    <row r="226" spans="1:54" s="5" customFormat="1" x14ac:dyDescent="0.25">
      <c r="A226" s="7"/>
      <c r="B226" s="77"/>
      <c r="C226" s="78"/>
      <c r="D226" s="78"/>
      <c r="E226" s="83"/>
      <c r="F226" s="78"/>
      <c r="G226" s="77"/>
      <c r="H226" s="80"/>
      <c r="I226" s="77"/>
      <c r="J226" s="78"/>
      <c r="K226" s="83"/>
      <c r="L226" s="77"/>
      <c r="M226" s="78"/>
      <c r="N226" s="78"/>
      <c r="O226" s="78"/>
      <c r="P226" s="77"/>
      <c r="Q226" s="78"/>
      <c r="R226" s="77"/>
      <c r="S226" s="78"/>
      <c r="T226" s="77"/>
      <c r="U226" s="78"/>
      <c r="V226" s="77"/>
      <c r="W226" s="7"/>
      <c r="X226" s="27" t="str">
        <f t="shared" si="4"/>
        <v/>
      </c>
      <c r="Y226" s="3" t="s">
        <v>50</v>
      </c>
      <c r="Z226" s="3"/>
      <c r="AA226" s="3" t="s">
        <v>139</v>
      </c>
      <c r="AB226" s="91" t="s">
        <v>159</v>
      </c>
      <c r="AC226" s="92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7"/>
      <c r="AO226" s="38"/>
      <c r="AP226" s="38"/>
      <c r="AQ226" s="38"/>
      <c r="AR226" s="43"/>
      <c r="AS226" s="42"/>
      <c r="AT226" s="42"/>
      <c r="AU226" s="42"/>
      <c r="AV226" s="42"/>
      <c r="AW226" s="42"/>
      <c r="AX226" s="42"/>
      <c r="AY226" s="42"/>
      <c r="AZ226" s="42"/>
      <c r="BA226" s="42"/>
      <c r="BB226" s="42"/>
    </row>
    <row r="227" spans="1:54" s="5" customFormat="1" x14ac:dyDescent="0.25">
      <c r="A227" s="7"/>
      <c r="B227" s="77"/>
      <c r="C227" s="78"/>
      <c r="D227" s="78"/>
      <c r="E227" s="83"/>
      <c r="F227" s="78"/>
      <c r="G227" s="77"/>
      <c r="H227" s="80"/>
      <c r="I227" s="77"/>
      <c r="J227" s="78"/>
      <c r="K227" s="83"/>
      <c r="L227" s="77"/>
      <c r="M227" s="78"/>
      <c r="N227" s="78"/>
      <c r="O227" s="78"/>
      <c r="P227" s="77"/>
      <c r="Q227" s="78"/>
      <c r="R227" s="77"/>
      <c r="S227" s="78"/>
      <c r="T227" s="77"/>
      <c r="U227" s="78"/>
      <c r="V227" s="77"/>
      <c r="W227" s="7"/>
      <c r="X227" s="27" t="str">
        <f t="shared" si="4"/>
        <v/>
      </c>
      <c r="Y227" s="3" t="s">
        <v>115</v>
      </c>
      <c r="Z227" s="3"/>
      <c r="AA227" s="3" t="s">
        <v>62</v>
      </c>
      <c r="AB227" s="91" t="s">
        <v>159</v>
      </c>
      <c r="AC227" s="92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7"/>
      <c r="AO227" s="38"/>
      <c r="AP227" s="38"/>
      <c r="AQ227" s="38"/>
      <c r="AR227" s="43"/>
      <c r="AS227" s="42"/>
      <c r="AT227" s="42"/>
      <c r="AU227" s="42"/>
      <c r="AV227" s="42"/>
      <c r="AW227" s="42"/>
      <c r="AX227" s="42"/>
      <c r="AY227" s="42"/>
      <c r="AZ227" s="42"/>
      <c r="BA227" s="42"/>
      <c r="BB227" s="42"/>
    </row>
    <row r="228" spans="1:54" s="5" customFormat="1" x14ac:dyDescent="0.25">
      <c r="A228" s="7"/>
      <c r="B228" s="77"/>
      <c r="C228" s="78"/>
      <c r="D228" s="78"/>
      <c r="E228" s="83"/>
      <c r="F228" s="78"/>
      <c r="G228" s="77"/>
      <c r="H228" s="80"/>
      <c r="I228" s="77"/>
      <c r="J228" s="78"/>
      <c r="K228" s="83"/>
      <c r="L228" s="77"/>
      <c r="M228" s="78"/>
      <c r="N228" s="78"/>
      <c r="O228" s="78"/>
      <c r="P228" s="77"/>
      <c r="Q228" s="78"/>
      <c r="R228" s="77"/>
      <c r="S228" s="78"/>
      <c r="T228" s="77"/>
      <c r="U228" s="78"/>
      <c r="V228" s="77"/>
      <c r="W228" s="7"/>
      <c r="X228" s="27" t="str">
        <f t="shared" si="4"/>
        <v/>
      </c>
      <c r="Y228" s="3" t="s">
        <v>105</v>
      </c>
      <c r="Z228" s="3"/>
      <c r="AA228" s="3" t="s">
        <v>139</v>
      </c>
      <c r="AB228" s="91" t="s">
        <v>159</v>
      </c>
      <c r="AC228" s="94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7"/>
      <c r="AO228" s="38"/>
      <c r="AP228" s="38"/>
      <c r="AQ228" s="38"/>
      <c r="AR228" s="43"/>
      <c r="AS228" s="42"/>
      <c r="AT228" s="42"/>
      <c r="AU228" s="42"/>
      <c r="AV228" s="42"/>
      <c r="AW228" s="42"/>
      <c r="AX228" s="42"/>
      <c r="AY228" s="42"/>
      <c r="AZ228" s="42"/>
      <c r="BA228" s="42"/>
      <c r="BB228" s="42"/>
    </row>
    <row r="229" spans="1:54" s="5" customFormat="1" x14ac:dyDescent="0.25">
      <c r="A229" s="7"/>
      <c r="B229" s="77"/>
      <c r="C229" s="78"/>
      <c r="D229" s="78"/>
      <c r="E229" s="83"/>
      <c r="F229" s="78"/>
      <c r="G229" s="77"/>
      <c r="H229" s="80"/>
      <c r="I229" s="77"/>
      <c r="J229" s="78"/>
      <c r="K229" s="83"/>
      <c r="L229" s="77"/>
      <c r="M229" s="78"/>
      <c r="N229" s="78"/>
      <c r="O229" s="78"/>
      <c r="P229" s="77"/>
      <c r="Q229" s="78"/>
      <c r="R229" s="77"/>
      <c r="S229" s="78"/>
      <c r="T229" s="77"/>
      <c r="U229" s="78"/>
      <c r="V229" s="77"/>
      <c r="W229" s="7"/>
      <c r="X229" s="27" t="str">
        <f t="shared" si="4"/>
        <v/>
      </c>
      <c r="Y229" s="3" t="s">
        <v>68</v>
      </c>
      <c r="Z229" s="3"/>
      <c r="AA229" s="3"/>
      <c r="AB229" s="91" t="s">
        <v>160</v>
      </c>
      <c r="AC229" s="92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7"/>
      <c r="AO229" s="38"/>
      <c r="AP229" s="38"/>
      <c r="AQ229" s="38"/>
      <c r="AR229" s="43"/>
      <c r="AS229" s="42"/>
      <c r="AT229" s="42"/>
      <c r="AU229" s="42"/>
      <c r="AV229" s="42"/>
      <c r="AW229" s="42"/>
      <c r="AX229" s="42"/>
      <c r="AY229" s="42"/>
      <c r="AZ229" s="42"/>
      <c r="BA229" s="42"/>
      <c r="BB229" s="42"/>
    </row>
    <row r="230" spans="1:54" s="5" customFormat="1" x14ac:dyDescent="0.25">
      <c r="A230" s="7"/>
      <c r="B230" s="77"/>
      <c r="C230" s="78"/>
      <c r="D230" s="78"/>
      <c r="E230" s="83"/>
      <c r="F230" s="78"/>
      <c r="G230" s="77"/>
      <c r="H230" s="80"/>
      <c r="I230" s="77"/>
      <c r="J230" s="78"/>
      <c r="K230" s="83"/>
      <c r="L230" s="77"/>
      <c r="M230" s="78"/>
      <c r="N230" s="78"/>
      <c r="O230" s="78"/>
      <c r="P230" s="77"/>
      <c r="Q230" s="78"/>
      <c r="R230" s="77"/>
      <c r="S230" s="78"/>
      <c r="T230" s="77"/>
      <c r="U230" s="78"/>
      <c r="V230" s="77"/>
      <c r="W230" s="7"/>
      <c r="X230" s="27" t="str">
        <f t="shared" si="4"/>
        <v/>
      </c>
      <c r="Y230" s="3" t="s">
        <v>43</v>
      </c>
      <c r="Z230" s="3"/>
      <c r="AA230" s="3" t="s">
        <v>45</v>
      </c>
      <c r="AB230" s="91" t="s">
        <v>160</v>
      </c>
      <c r="AC230" s="92">
        <v>2000</v>
      </c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7"/>
      <c r="AO230" s="38"/>
      <c r="AP230" s="38"/>
      <c r="AQ230" s="38"/>
      <c r="AR230" s="43"/>
      <c r="AS230" s="42"/>
      <c r="AT230" s="42"/>
      <c r="AU230" s="42"/>
      <c r="AV230" s="42"/>
      <c r="AW230" s="42"/>
      <c r="AX230" s="42"/>
      <c r="AY230" s="42"/>
      <c r="AZ230" s="42"/>
      <c r="BA230" s="42"/>
      <c r="BB230" s="42"/>
    </row>
    <row r="231" spans="1:54" s="5" customFormat="1" x14ac:dyDescent="0.25">
      <c r="A231" s="7"/>
      <c r="B231" s="77"/>
      <c r="C231" s="78"/>
      <c r="D231" s="78"/>
      <c r="E231" s="83"/>
      <c r="F231" s="78"/>
      <c r="G231" s="77"/>
      <c r="H231" s="80"/>
      <c r="I231" s="77"/>
      <c r="J231" s="78"/>
      <c r="K231" s="83"/>
      <c r="L231" s="77"/>
      <c r="M231" s="78"/>
      <c r="N231" s="78"/>
      <c r="O231" s="78"/>
      <c r="P231" s="77"/>
      <c r="Q231" s="78"/>
      <c r="R231" s="77"/>
      <c r="S231" s="78"/>
      <c r="T231" s="77"/>
      <c r="U231" s="78"/>
      <c r="V231" s="77"/>
      <c r="W231" s="7"/>
      <c r="X231" s="27" t="str">
        <f t="shared" si="4"/>
        <v/>
      </c>
      <c r="Y231" s="3" t="s">
        <v>42</v>
      </c>
      <c r="Z231" s="3"/>
      <c r="AA231" s="3" t="s">
        <v>45</v>
      </c>
      <c r="AB231" s="91" t="s">
        <v>160</v>
      </c>
      <c r="AC231" s="92">
        <v>2020</v>
      </c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7"/>
      <c r="AO231" s="38"/>
      <c r="AP231" s="38"/>
      <c r="AQ231" s="38"/>
      <c r="AR231" s="43"/>
      <c r="AS231" s="42"/>
      <c r="AT231" s="42"/>
      <c r="AU231" s="42"/>
      <c r="AV231" s="42"/>
      <c r="AW231" s="42"/>
      <c r="AX231" s="42"/>
      <c r="AY231" s="42"/>
      <c r="AZ231" s="42"/>
      <c r="BA231" s="42"/>
      <c r="BB231" s="42"/>
    </row>
    <row r="232" spans="1:54" s="5" customFormat="1" x14ac:dyDescent="0.25">
      <c r="A232" s="7"/>
      <c r="B232" s="77"/>
      <c r="C232" s="78"/>
      <c r="D232" s="78"/>
      <c r="E232" s="83"/>
      <c r="F232" s="78"/>
      <c r="G232" s="77"/>
      <c r="H232" s="80"/>
      <c r="I232" s="77"/>
      <c r="J232" s="78"/>
      <c r="K232" s="83"/>
      <c r="L232" s="77"/>
      <c r="M232" s="78"/>
      <c r="N232" s="78"/>
      <c r="O232" s="78"/>
      <c r="P232" s="77"/>
      <c r="Q232" s="78"/>
      <c r="R232" s="77"/>
      <c r="S232" s="78"/>
      <c r="T232" s="77"/>
      <c r="U232" s="78"/>
      <c r="V232" s="77"/>
      <c r="W232" s="7"/>
      <c r="X232" s="27" t="str">
        <f t="shared" si="4"/>
        <v/>
      </c>
      <c r="Y232" s="3" t="s">
        <v>44</v>
      </c>
      <c r="Z232" s="3"/>
      <c r="AA232" s="3" t="s">
        <v>10</v>
      </c>
      <c r="AB232" s="91" t="s">
        <v>160</v>
      </c>
      <c r="AC232" s="92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7"/>
      <c r="AO232" s="38"/>
      <c r="AP232" s="38"/>
      <c r="AQ232" s="38"/>
      <c r="AR232" s="43"/>
      <c r="AS232" s="42"/>
      <c r="AT232" s="42"/>
      <c r="AU232" s="42"/>
      <c r="AV232" s="42"/>
      <c r="AW232" s="42"/>
      <c r="AX232" s="42"/>
      <c r="AY232" s="42"/>
      <c r="AZ232" s="42"/>
      <c r="BA232" s="42"/>
      <c r="BB232" s="42"/>
    </row>
    <row r="233" spans="1:54" s="5" customFormat="1" x14ac:dyDescent="0.25">
      <c r="A233" s="7"/>
      <c r="B233" s="77"/>
      <c r="C233" s="78"/>
      <c r="D233" s="78"/>
      <c r="E233" s="83"/>
      <c r="F233" s="78"/>
      <c r="G233" s="77"/>
      <c r="H233" s="80"/>
      <c r="I233" s="77"/>
      <c r="J233" s="78"/>
      <c r="K233" s="83"/>
      <c r="L233" s="77"/>
      <c r="M233" s="78"/>
      <c r="N233" s="78"/>
      <c r="O233" s="78"/>
      <c r="P233" s="77"/>
      <c r="Q233" s="78"/>
      <c r="R233" s="77"/>
      <c r="S233" s="78"/>
      <c r="T233" s="77"/>
      <c r="U233" s="78"/>
      <c r="V233" s="77"/>
      <c r="W233" s="7"/>
      <c r="X233" s="27" t="str">
        <f t="shared" si="4"/>
        <v/>
      </c>
      <c r="Y233" s="3" t="s">
        <v>73</v>
      </c>
      <c r="Z233" s="3"/>
      <c r="AA233" s="3" t="s">
        <v>139</v>
      </c>
      <c r="AB233" s="91" t="s">
        <v>160</v>
      </c>
      <c r="AC233" s="92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7"/>
      <c r="AO233" s="38"/>
      <c r="AP233" s="38"/>
      <c r="AQ233" s="38"/>
      <c r="AR233" s="43"/>
      <c r="AS233" s="42"/>
      <c r="AT233" s="42"/>
      <c r="AU233" s="42"/>
      <c r="AV233" s="42"/>
      <c r="AW233" s="42"/>
      <c r="AX233" s="42"/>
      <c r="AY233" s="42"/>
      <c r="AZ233" s="42"/>
      <c r="BA233" s="42"/>
      <c r="BB233" s="42"/>
    </row>
    <row r="234" spans="1:54" s="5" customFormat="1" x14ac:dyDescent="0.25">
      <c r="A234" s="7"/>
      <c r="B234" s="77"/>
      <c r="C234" s="78"/>
      <c r="D234" s="78"/>
      <c r="E234" s="83"/>
      <c r="F234" s="78"/>
      <c r="G234" s="77"/>
      <c r="H234" s="80"/>
      <c r="I234" s="77"/>
      <c r="J234" s="78"/>
      <c r="K234" s="83"/>
      <c r="L234" s="77"/>
      <c r="M234" s="78"/>
      <c r="N234" s="78"/>
      <c r="O234" s="78"/>
      <c r="P234" s="77"/>
      <c r="Q234" s="78"/>
      <c r="R234" s="77"/>
      <c r="S234" s="78"/>
      <c r="T234" s="77"/>
      <c r="U234" s="78"/>
      <c r="V234" s="77"/>
      <c r="W234" s="7"/>
      <c r="X234" s="27" t="str">
        <f t="shared" si="4"/>
        <v/>
      </c>
      <c r="Y234" s="3" t="s">
        <v>40</v>
      </c>
      <c r="Z234" s="3"/>
      <c r="AA234" s="3" t="s">
        <v>17</v>
      </c>
      <c r="AB234" s="91" t="s">
        <v>160</v>
      </c>
      <c r="AC234" s="92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7"/>
      <c r="AO234" s="38"/>
      <c r="AP234" s="38"/>
      <c r="AQ234" s="38"/>
      <c r="AR234" s="43"/>
      <c r="AS234" s="42"/>
      <c r="AT234" s="42"/>
      <c r="AU234" s="42"/>
      <c r="AV234" s="42"/>
      <c r="AW234" s="42"/>
      <c r="AX234" s="42"/>
      <c r="AY234" s="42"/>
      <c r="AZ234" s="42"/>
      <c r="BA234" s="42"/>
      <c r="BB234" s="42"/>
    </row>
    <row r="235" spans="1:54" s="5" customFormat="1" x14ac:dyDescent="0.25">
      <c r="A235" s="7"/>
      <c r="B235" s="77"/>
      <c r="C235" s="78"/>
      <c r="D235" s="78"/>
      <c r="E235" s="83"/>
      <c r="F235" s="78"/>
      <c r="G235" s="77"/>
      <c r="H235" s="80"/>
      <c r="I235" s="77"/>
      <c r="J235" s="78"/>
      <c r="K235" s="83"/>
      <c r="L235" s="77"/>
      <c r="M235" s="78"/>
      <c r="N235" s="78"/>
      <c r="O235" s="78"/>
      <c r="P235" s="77"/>
      <c r="Q235" s="78"/>
      <c r="R235" s="77"/>
      <c r="S235" s="78"/>
      <c r="T235" s="77"/>
      <c r="U235" s="78"/>
      <c r="V235" s="77"/>
      <c r="W235" s="7"/>
      <c r="X235" s="27" t="str">
        <f t="shared" si="4"/>
        <v/>
      </c>
      <c r="Y235" s="3" t="s">
        <v>46</v>
      </c>
      <c r="Z235" s="3"/>
      <c r="AA235" s="3" t="s">
        <v>17</v>
      </c>
      <c r="AB235" s="91" t="s">
        <v>160</v>
      </c>
      <c r="AC235" s="92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7"/>
      <c r="AO235" s="38"/>
      <c r="AP235" s="38"/>
      <c r="AQ235" s="38"/>
      <c r="AR235" s="43"/>
      <c r="AS235" s="42"/>
      <c r="AT235" s="42"/>
      <c r="AU235" s="42"/>
      <c r="AV235" s="42"/>
      <c r="AW235" s="42"/>
      <c r="AX235" s="42"/>
      <c r="AY235" s="42"/>
      <c r="AZ235" s="42"/>
      <c r="BA235" s="42"/>
      <c r="BB235" s="42"/>
    </row>
    <row r="236" spans="1:54" s="5" customFormat="1" x14ac:dyDescent="0.25">
      <c r="A236" s="7"/>
      <c r="B236" s="77"/>
      <c r="C236" s="78"/>
      <c r="D236" s="78"/>
      <c r="E236" s="83"/>
      <c r="F236" s="78"/>
      <c r="G236" s="77"/>
      <c r="H236" s="80"/>
      <c r="I236" s="77"/>
      <c r="J236" s="78"/>
      <c r="K236" s="83"/>
      <c r="L236" s="77"/>
      <c r="M236" s="78"/>
      <c r="N236" s="78"/>
      <c r="O236" s="78"/>
      <c r="P236" s="77"/>
      <c r="Q236" s="78"/>
      <c r="R236" s="77"/>
      <c r="S236" s="78"/>
      <c r="T236" s="77"/>
      <c r="U236" s="78"/>
      <c r="V236" s="77"/>
      <c r="W236" s="7"/>
      <c r="X236" s="27" t="str">
        <f t="shared" si="4"/>
        <v/>
      </c>
      <c r="Y236" s="3" t="s">
        <v>53</v>
      </c>
      <c r="Z236" s="3"/>
      <c r="AA236" s="3" t="s">
        <v>17</v>
      </c>
      <c r="AB236" s="91" t="s">
        <v>160</v>
      </c>
      <c r="AC236" s="92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7"/>
      <c r="AO236" s="38"/>
      <c r="AP236" s="38"/>
      <c r="AQ236" s="38"/>
      <c r="AR236" s="43"/>
      <c r="AS236" s="42"/>
      <c r="AT236" s="42"/>
      <c r="AU236" s="42"/>
      <c r="AV236" s="42"/>
      <c r="AW236" s="42"/>
      <c r="AX236" s="42"/>
      <c r="AY236" s="42"/>
      <c r="AZ236" s="42"/>
      <c r="BA236" s="42"/>
      <c r="BB236" s="42"/>
    </row>
    <row r="237" spans="1:54" s="5" customFormat="1" x14ac:dyDescent="0.25">
      <c r="A237" s="7"/>
      <c r="B237" s="77"/>
      <c r="C237" s="78"/>
      <c r="D237" s="78"/>
      <c r="E237" s="83"/>
      <c r="F237" s="78"/>
      <c r="G237" s="77"/>
      <c r="H237" s="80"/>
      <c r="I237" s="77"/>
      <c r="J237" s="78"/>
      <c r="K237" s="83"/>
      <c r="L237" s="77"/>
      <c r="M237" s="78"/>
      <c r="N237" s="78"/>
      <c r="O237" s="78"/>
      <c r="P237" s="77"/>
      <c r="Q237" s="78"/>
      <c r="R237" s="77"/>
      <c r="S237" s="78"/>
      <c r="T237" s="77"/>
      <c r="U237" s="78"/>
      <c r="V237" s="77"/>
      <c r="W237" s="7"/>
      <c r="X237" s="27" t="str">
        <f t="shared" si="4"/>
        <v/>
      </c>
      <c r="Y237" s="3" t="s">
        <v>116</v>
      </c>
      <c r="Z237" s="3"/>
      <c r="AA237" s="3" t="s">
        <v>17</v>
      </c>
      <c r="AB237" s="91" t="s">
        <v>160</v>
      </c>
      <c r="AC237" s="93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7"/>
      <c r="AO237" s="38"/>
      <c r="AP237" s="38"/>
      <c r="AQ237" s="38"/>
      <c r="AR237" s="43"/>
      <c r="AS237" s="42"/>
      <c r="AT237" s="42"/>
      <c r="AU237" s="42"/>
      <c r="AV237" s="42"/>
      <c r="AW237" s="42"/>
      <c r="AX237" s="42"/>
      <c r="AY237" s="42"/>
      <c r="AZ237" s="42"/>
      <c r="BA237" s="42"/>
      <c r="BB237" s="42"/>
    </row>
    <row r="238" spans="1:54" s="5" customFormat="1" x14ac:dyDescent="0.25">
      <c r="A238" s="7"/>
      <c r="B238" s="77"/>
      <c r="C238" s="78"/>
      <c r="D238" s="78"/>
      <c r="E238" s="83"/>
      <c r="F238" s="78"/>
      <c r="G238" s="77"/>
      <c r="H238" s="80"/>
      <c r="I238" s="77"/>
      <c r="J238" s="78"/>
      <c r="K238" s="83"/>
      <c r="L238" s="77"/>
      <c r="M238" s="78"/>
      <c r="N238" s="78"/>
      <c r="O238" s="78"/>
      <c r="P238" s="77"/>
      <c r="Q238" s="78"/>
      <c r="R238" s="77"/>
      <c r="S238" s="78"/>
      <c r="T238" s="77"/>
      <c r="U238" s="78"/>
      <c r="V238" s="77"/>
      <c r="W238" s="7"/>
      <c r="X238" s="27" t="str">
        <f t="shared" si="4"/>
        <v/>
      </c>
      <c r="Y238" s="3" t="s">
        <v>49</v>
      </c>
      <c r="Z238" s="3"/>
      <c r="AA238" s="3" t="s">
        <v>139</v>
      </c>
      <c r="AB238" s="91" t="s">
        <v>160</v>
      </c>
      <c r="AC238" s="92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7"/>
      <c r="AO238" s="38"/>
      <c r="AP238" s="38"/>
      <c r="AQ238" s="38"/>
      <c r="AR238" s="43"/>
      <c r="AS238" s="42"/>
      <c r="AT238" s="42"/>
      <c r="AU238" s="42"/>
      <c r="AV238" s="42"/>
      <c r="AW238" s="42"/>
      <c r="AX238" s="42"/>
      <c r="AY238" s="42"/>
      <c r="AZ238" s="42"/>
      <c r="BA238" s="42"/>
      <c r="BB238" s="42"/>
    </row>
    <row r="239" spans="1:54" s="5" customFormat="1" x14ac:dyDescent="0.25">
      <c r="A239" s="7"/>
      <c r="B239" s="77"/>
      <c r="C239" s="78"/>
      <c r="D239" s="78"/>
      <c r="E239" s="83"/>
      <c r="F239" s="78"/>
      <c r="G239" s="77"/>
      <c r="H239" s="80"/>
      <c r="I239" s="77"/>
      <c r="J239" s="78"/>
      <c r="K239" s="83"/>
      <c r="L239" s="77"/>
      <c r="M239" s="78"/>
      <c r="N239" s="78"/>
      <c r="O239" s="78"/>
      <c r="P239" s="77"/>
      <c r="Q239" s="78"/>
      <c r="R239" s="77"/>
      <c r="S239" s="78"/>
      <c r="T239" s="77"/>
      <c r="U239" s="78"/>
      <c r="V239" s="77"/>
      <c r="W239" s="7"/>
      <c r="X239" s="27" t="str">
        <f t="shared" si="4"/>
        <v/>
      </c>
      <c r="Y239" s="3" t="s">
        <v>50</v>
      </c>
      <c r="Z239" s="3"/>
      <c r="AA239" s="3" t="s">
        <v>139</v>
      </c>
      <c r="AB239" s="91" t="s">
        <v>160</v>
      </c>
      <c r="AC239" s="92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7"/>
      <c r="AO239" s="38"/>
      <c r="AP239" s="38"/>
      <c r="AQ239" s="38"/>
      <c r="AR239" s="43"/>
      <c r="AS239" s="42"/>
      <c r="AT239" s="42"/>
      <c r="AU239" s="42"/>
      <c r="AV239" s="42"/>
      <c r="AW239" s="42"/>
      <c r="AX239" s="42"/>
      <c r="AY239" s="42"/>
      <c r="AZ239" s="42"/>
      <c r="BA239" s="42"/>
      <c r="BB239" s="42"/>
    </row>
    <row r="240" spans="1:54" s="5" customFormat="1" x14ac:dyDescent="0.25">
      <c r="A240" s="7"/>
      <c r="B240" s="77"/>
      <c r="C240" s="78"/>
      <c r="D240" s="78"/>
      <c r="E240" s="83"/>
      <c r="F240" s="78"/>
      <c r="G240" s="77"/>
      <c r="H240" s="80"/>
      <c r="I240" s="77"/>
      <c r="J240" s="78"/>
      <c r="K240" s="83"/>
      <c r="L240" s="77"/>
      <c r="M240" s="78"/>
      <c r="N240" s="78"/>
      <c r="O240" s="78"/>
      <c r="P240" s="77"/>
      <c r="Q240" s="78"/>
      <c r="R240" s="77"/>
      <c r="S240" s="78"/>
      <c r="T240" s="77"/>
      <c r="U240" s="78"/>
      <c r="V240" s="77"/>
      <c r="W240" s="7"/>
      <c r="X240" s="27" t="str">
        <f t="shared" si="4"/>
        <v/>
      </c>
      <c r="Y240" s="3" t="s">
        <v>115</v>
      </c>
      <c r="Z240" s="3"/>
      <c r="AA240" s="3" t="s">
        <v>62</v>
      </c>
      <c r="AB240" s="91" t="s">
        <v>160</v>
      </c>
      <c r="AC240" s="92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7"/>
      <c r="AO240" s="38"/>
      <c r="AP240" s="38"/>
      <c r="AQ240" s="38"/>
      <c r="AR240" s="43"/>
      <c r="AS240" s="42"/>
      <c r="AT240" s="42"/>
      <c r="AU240" s="42"/>
      <c r="AV240" s="42"/>
      <c r="AW240" s="42"/>
      <c r="AX240" s="42"/>
      <c r="AY240" s="42"/>
      <c r="AZ240" s="42"/>
      <c r="BA240" s="42"/>
      <c r="BB240" s="42"/>
    </row>
    <row r="241" spans="1:54" s="5" customFormat="1" x14ac:dyDescent="0.25">
      <c r="A241" s="7"/>
      <c r="B241" s="77"/>
      <c r="C241" s="78"/>
      <c r="D241" s="78"/>
      <c r="E241" s="83"/>
      <c r="F241" s="78"/>
      <c r="G241" s="77"/>
      <c r="H241" s="80"/>
      <c r="I241" s="77"/>
      <c r="J241" s="78"/>
      <c r="K241" s="83"/>
      <c r="L241" s="77"/>
      <c r="M241" s="78"/>
      <c r="N241" s="78"/>
      <c r="O241" s="78"/>
      <c r="P241" s="77"/>
      <c r="Q241" s="78"/>
      <c r="R241" s="77"/>
      <c r="S241" s="78"/>
      <c r="T241" s="77"/>
      <c r="U241" s="78"/>
      <c r="V241" s="77"/>
      <c r="W241" s="7"/>
      <c r="X241" s="27" t="str">
        <f t="shared" si="4"/>
        <v/>
      </c>
      <c r="Y241" s="3" t="s">
        <v>105</v>
      </c>
      <c r="Z241" s="3"/>
      <c r="AA241" s="3" t="s">
        <v>139</v>
      </c>
      <c r="AB241" s="91" t="s">
        <v>160</v>
      </c>
      <c r="AC241" s="94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7"/>
      <c r="AO241" s="38"/>
      <c r="AP241" s="38"/>
      <c r="AQ241" s="38"/>
      <c r="AR241" s="43"/>
      <c r="AS241" s="42"/>
      <c r="AT241" s="42"/>
      <c r="AU241" s="42"/>
      <c r="AV241" s="42"/>
      <c r="AW241" s="42"/>
      <c r="AX241" s="42"/>
      <c r="AY241" s="42"/>
      <c r="AZ241" s="42"/>
      <c r="BA241" s="42"/>
      <c r="BB241" s="42"/>
    </row>
    <row r="242" spans="1:54" s="5" customFormat="1" x14ac:dyDescent="0.25">
      <c r="A242" s="7"/>
      <c r="B242" s="77"/>
      <c r="C242" s="78"/>
      <c r="D242" s="78"/>
      <c r="E242" s="83"/>
      <c r="F242" s="78"/>
      <c r="G242" s="77"/>
      <c r="H242" s="80"/>
      <c r="I242" s="77"/>
      <c r="J242" s="78"/>
      <c r="K242" s="83"/>
      <c r="L242" s="77"/>
      <c r="M242" s="78"/>
      <c r="N242" s="78"/>
      <c r="O242" s="78"/>
      <c r="P242" s="77"/>
      <c r="Q242" s="78"/>
      <c r="R242" s="77"/>
      <c r="S242" s="78"/>
      <c r="T242" s="77"/>
      <c r="U242" s="78"/>
      <c r="V242" s="77"/>
      <c r="W242" s="7"/>
      <c r="X242" s="27" t="str">
        <f t="shared" si="4"/>
        <v/>
      </c>
      <c r="Y242" s="3" t="s">
        <v>68</v>
      </c>
      <c r="Z242" s="3"/>
      <c r="AA242" s="3"/>
      <c r="AB242" s="91" t="s">
        <v>161</v>
      </c>
      <c r="AC242" s="92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7"/>
      <c r="AO242" s="38"/>
      <c r="AP242" s="38"/>
      <c r="AQ242" s="38"/>
      <c r="AR242" s="43"/>
      <c r="AS242" s="42"/>
      <c r="AT242" s="42"/>
      <c r="AU242" s="42"/>
      <c r="AV242" s="42"/>
      <c r="AW242" s="42"/>
      <c r="AX242" s="42"/>
      <c r="AY242" s="42"/>
      <c r="AZ242" s="42"/>
      <c r="BA242" s="42"/>
      <c r="BB242" s="42"/>
    </row>
    <row r="243" spans="1:54" s="5" customFormat="1" x14ac:dyDescent="0.25">
      <c r="A243" s="7"/>
      <c r="B243" s="77"/>
      <c r="C243" s="78"/>
      <c r="D243" s="78"/>
      <c r="E243" s="83"/>
      <c r="F243" s="78"/>
      <c r="G243" s="77"/>
      <c r="H243" s="80"/>
      <c r="I243" s="77"/>
      <c r="J243" s="78"/>
      <c r="K243" s="83"/>
      <c r="L243" s="77"/>
      <c r="M243" s="78"/>
      <c r="N243" s="78"/>
      <c r="O243" s="78"/>
      <c r="P243" s="77"/>
      <c r="Q243" s="78"/>
      <c r="R243" s="77"/>
      <c r="S243" s="78"/>
      <c r="T243" s="77"/>
      <c r="U243" s="78"/>
      <c r="V243" s="77"/>
      <c r="W243" s="7"/>
      <c r="X243" s="27" t="str">
        <f t="shared" si="4"/>
        <v/>
      </c>
      <c r="Y243" s="3" t="s">
        <v>43</v>
      </c>
      <c r="Z243" s="3"/>
      <c r="AA243" s="3" t="s">
        <v>45</v>
      </c>
      <c r="AB243" s="91" t="s">
        <v>161</v>
      </c>
      <c r="AC243" s="92">
        <v>2000</v>
      </c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7"/>
      <c r="AO243" s="38"/>
      <c r="AP243" s="38"/>
      <c r="AQ243" s="38"/>
      <c r="AR243" s="43"/>
      <c r="AS243" s="42"/>
      <c r="AT243" s="42"/>
      <c r="AU243" s="42"/>
      <c r="AV243" s="42"/>
      <c r="AW243" s="42"/>
      <c r="AX243" s="42"/>
      <c r="AY243" s="42"/>
      <c r="AZ243" s="42"/>
      <c r="BA243" s="42"/>
      <c r="BB243" s="42"/>
    </row>
    <row r="244" spans="1:54" s="5" customFormat="1" x14ac:dyDescent="0.25">
      <c r="A244" s="7"/>
      <c r="B244" s="77"/>
      <c r="C244" s="78"/>
      <c r="D244" s="78"/>
      <c r="E244" s="83"/>
      <c r="F244" s="78"/>
      <c r="G244" s="77"/>
      <c r="H244" s="80"/>
      <c r="I244" s="77"/>
      <c r="J244" s="78"/>
      <c r="K244" s="83"/>
      <c r="L244" s="77"/>
      <c r="M244" s="78"/>
      <c r="N244" s="78"/>
      <c r="O244" s="78"/>
      <c r="P244" s="77"/>
      <c r="Q244" s="78"/>
      <c r="R244" s="77"/>
      <c r="S244" s="78"/>
      <c r="T244" s="77"/>
      <c r="U244" s="78"/>
      <c r="V244" s="77"/>
      <c r="W244" s="7"/>
      <c r="X244" s="27" t="str">
        <f t="shared" si="4"/>
        <v/>
      </c>
      <c r="Y244" s="3" t="s">
        <v>42</v>
      </c>
      <c r="Z244" s="3"/>
      <c r="AA244" s="3" t="s">
        <v>45</v>
      </c>
      <c r="AB244" s="91" t="s">
        <v>161</v>
      </c>
      <c r="AC244" s="92">
        <v>2020</v>
      </c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7"/>
      <c r="AO244" s="38"/>
      <c r="AP244" s="38"/>
      <c r="AQ244" s="38"/>
      <c r="AR244" s="43"/>
      <c r="AS244" s="42"/>
      <c r="AT244" s="42"/>
      <c r="AU244" s="42"/>
      <c r="AV244" s="42"/>
      <c r="AW244" s="42"/>
      <c r="AX244" s="42"/>
      <c r="AY244" s="42"/>
      <c r="AZ244" s="42"/>
      <c r="BA244" s="42"/>
      <c r="BB244" s="42"/>
    </row>
    <row r="245" spans="1:54" s="5" customFormat="1" x14ac:dyDescent="0.25">
      <c r="A245" s="7"/>
      <c r="B245" s="77"/>
      <c r="C245" s="78"/>
      <c r="D245" s="78"/>
      <c r="E245" s="83"/>
      <c r="F245" s="78"/>
      <c r="G245" s="77"/>
      <c r="H245" s="80"/>
      <c r="I245" s="77"/>
      <c r="J245" s="78"/>
      <c r="K245" s="83"/>
      <c r="L245" s="77"/>
      <c r="M245" s="78"/>
      <c r="N245" s="78"/>
      <c r="O245" s="78"/>
      <c r="P245" s="77"/>
      <c r="Q245" s="78"/>
      <c r="R245" s="77"/>
      <c r="S245" s="78"/>
      <c r="T245" s="77"/>
      <c r="U245" s="78"/>
      <c r="V245" s="77"/>
      <c r="W245" s="7"/>
      <c r="X245" s="27" t="str">
        <f t="shared" si="4"/>
        <v/>
      </c>
      <c r="Y245" s="3" t="s">
        <v>44</v>
      </c>
      <c r="Z245" s="3"/>
      <c r="AA245" s="3" t="s">
        <v>10</v>
      </c>
      <c r="AB245" s="91" t="s">
        <v>161</v>
      </c>
      <c r="AC245" s="92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7"/>
      <c r="AO245" s="38"/>
      <c r="AP245" s="38"/>
      <c r="AQ245" s="38"/>
      <c r="AR245" s="43"/>
      <c r="AS245" s="42"/>
      <c r="AT245" s="42"/>
      <c r="AU245" s="42"/>
      <c r="AV245" s="42"/>
      <c r="AW245" s="42"/>
      <c r="AX245" s="42"/>
      <c r="AY245" s="42"/>
      <c r="AZ245" s="42"/>
      <c r="BA245" s="42"/>
      <c r="BB245" s="42"/>
    </row>
    <row r="246" spans="1:54" s="5" customFormat="1" x14ac:dyDescent="0.25">
      <c r="A246" s="7"/>
      <c r="B246" s="77"/>
      <c r="C246" s="78"/>
      <c r="D246" s="78"/>
      <c r="E246" s="83"/>
      <c r="F246" s="78"/>
      <c r="G246" s="77"/>
      <c r="H246" s="80"/>
      <c r="I246" s="77"/>
      <c r="J246" s="78"/>
      <c r="K246" s="83"/>
      <c r="L246" s="77"/>
      <c r="M246" s="78"/>
      <c r="N246" s="78"/>
      <c r="O246" s="78"/>
      <c r="P246" s="77"/>
      <c r="Q246" s="78"/>
      <c r="R246" s="77"/>
      <c r="S246" s="78"/>
      <c r="T246" s="77"/>
      <c r="U246" s="78"/>
      <c r="V246" s="77"/>
      <c r="W246" s="7"/>
      <c r="X246" s="27" t="str">
        <f t="shared" si="4"/>
        <v/>
      </c>
      <c r="Y246" s="3" t="s">
        <v>73</v>
      </c>
      <c r="Z246" s="3"/>
      <c r="AA246" s="3" t="s">
        <v>139</v>
      </c>
      <c r="AB246" s="91" t="s">
        <v>161</v>
      </c>
      <c r="AC246" s="92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7"/>
      <c r="AO246" s="38"/>
      <c r="AP246" s="38"/>
      <c r="AQ246" s="38"/>
      <c r="AR246" s="43"/>
      <c r="AS246" s="42"/>
      <c r="AT246" s="42"/>
      <c r="AU246" s="42"/>
      <c r="AV246" s="42"/>
      <c r="AW246" s="42"/>
      <c r="AX246" s="42"/>
      <c r="AY246" s="42"/>
      <c r="AZ246" s="42"/>
      <c r="BA246" s="42"/>
      <c r="BB246" s="42"/>
    </row>
    <row r="247" spans="1:54" s="5" customFormat="1" x14ac:dyDescent="0.25">
      <c r="A247" s="7"/>
      <c r="B247" s="77"/>
      <c r="C247" s="78"/>
      <c r="D247" s="78"/>
      <c r="E247" s="83"/>
      <c r="F247" s="78"/>
      <c r="G247" s="77"/>
      <c r="H247" s="80"/>
      <c r="I247" s="77"/>
      <c r="J247" s="78"/>
      <c r="K247" s="83"/>
      <c r="L247" s="77"/>
      <c r="M247" s="78"/>
      <c r="N247" s="78"/>
      <c r="O247" s="78"/>
      <c r="P247" s="77"/>
      <c r="Q247" s="78"/>
      <c r="R247" s="77"/>
      <c r="S247" s="78"/>
      <c r="T247" s="77"/>
      <c r="U247" s="78"/>
      <c r="V247" s="77"/>
      <c r="W247" s="7"/>
      <c r="X247" s="27" t="str">
        <f t="shared" si="4"/>
        <v/>
      </c>
      <c r="Y247" s="3" t="s">
        <v>40</v>
      </c>
      <c r="Z247" s="3"/>
      <c r="AA247" s="3" t="s">
        <v>17</v>
      </c>
      <c r="AB247" s="91" t="s">
        <v>161</v>
      </c>
      <c r="AC247" s="92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7"/>
      <c r="AO247" s="38"/>
      <c r="AP247" s="38"/>
      <c r="AQ247" s="38"/>
      <c r="AR247" s="43"/>
      <c r="AS247" s="42"/>
      <c r="AT247" s="42"/>
      <c r="AU247" s="42"/>
      <c r="AV247" s="42"/>
      <c r="AW247" s="42"/>
      <c r="AX247" s="42"/>
      <c r="AY247" s="42"/>
      <c r="AZ247" s="42"/>
      <c r="BA247" s="42"/>
      <c r="BB247" s="42"/>
    </row>
    <row r="248" spans="1:54" s="5" customFormat="1" x14ac:dyDescent="0.25">
      <c r="A248" s="7"/>
      <c r="B248" s="77"/>
      <c r="C248" s="78"/>
      <c r="D248" s="78"/>
      <c r="E248" s="83"/>
      <c r="F248" s="78"/>
      <c r="G248" s="77"/>
      <c r="H248" s="80"/>
      <c r="I248" s="77"/>
      <c r="J248" s="78"/>
      <c r="K248" s="83"/>
      <c r="L248" s="77"/>
      <c r="M248" s="78"/>
      <c r="N248" s="78"/>
      <c r="O248" s="78"/>
      <c r="P248" s="77"/>
      <c r="Q248" s="78"/>
      <c r="R248" s="77"/>
      <c r="S248" s="78"/>
      <c r="T248" s="77"/>
      <c r="U248" s="78"/>
      <c r="V248" s="77"/>
      <c r="W248" s="7"/>
      <c r="X248" s="27" t="str">
        <f t="shared" si="4"/>
        <v/>
      </c>
      <c r="Y248" s="3" t="s">
        <v>46</v>
      </c>
      <c r="Z248" s="3"/>
      <c r="AA248" s="3" t="s">
        <v>17</v>
      </c>
      <c r="AB248" s="91" t="s">
        <v>161</v>
      </c>
      <c r="AC248" s="92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7"/>
      <c r="AO248" s="38"/>
      <c r="AP248" s="38"/>
      <c r="AQ248" s="38"/>
      <c r="AR248" s="43"/>
      <c r="AS248" s="42"/>
      <c r="AT248" s="42"/>
      <c r="AU248" s="42"/>
      <c r="AV248" s="42"/>
      <c r="AW248" s="42"/>
      <c r="AX248" s="42"/>
      <c r="AY248" s="42"/>
      <c r="AZ248" s="42"/>
      <c r="BA248" s="42"/>
      <c r="BB248" s="42"/>
    </row>
    <row r="249" spans="1:54" s="5" customFormat="1" x14ac:dyDescent="0.25">
      <c r="A249" s="7"/>
      <c r="B249" s="77"/>
      <c r="C249" s="78"/>
      <c r="D249" s="78"/>
      <c r="E249" s="83"/>
      <c r="F249" s="78"/>
      <c r="G249" s="77"/>
      <c r="H249" s="80"/>
      <c r="I249" s="77"/>
      <c r="J249" s="78"/>
      <c r="K249" s="83"/>
      <c r="L249" s="77"/>
      <c r="M249" s="78"/>
      <c r="N249" s="78"/>
      <c r="O249" s="78"/>
      <c r="P249" s="77"/>
      <c r="Q249" s="78"/>
      <c r="R249" s="77"/>
      <c r="S249" s="78"/>
      <c r="T249" s="77"/>
      <c r="U249" s="78"/>
      <c r="V249" s="77"/>
      <c r="W249" s="7"/>
      <c r="X249" s="27" t="str">
        <f t="shared" si="4"/>
        <v/>
      </c>
      <c r="Y249" s="3" t="s">
        <v>53</v>
      </c>
      <c r="Z249" s="3"/>
      <c r="AA249" s="3" t="s">
        <v>17</v>
      </c>
      <c r="AB249" s="91" t="s">
        <v>161</v>
      </c>
      <c r="AC249" s="92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7"/>
      <c r="AO249" s="38"/>
      <c r="AP249" s="38"/>
      <c r="AQ249" s="38"/>
      <c r="AR249" s="43"/>
      <c r="AS249" s="42"/>
      <c r="AT249" s="42"/>
      <c r="AU249" s="42"/>
      <c r="AV249" s="42"/>
      <c r="AW249" s="42"/>
      <c r="AX249" s="42"/>
      <c r="AY249" s="42"/>
      <c r="AZ249" s="42"/>
      <c r="BA249" s="42"/>
      <c r="BB249" s="42"/>
    </row>
    <row r="250" spans="1:54" s="5" customFormat="1" x14ac:dyDescent="0.25">
      <c r="A250" s="7"/>
      <c r="B250" s="77"/>
      <c r="C250" s="78"/>
      <c r="D250" s="78"/>
      <c r="E250" s="83"/>
      <c r="F250" s="78"/>
      <c r="G250" s="77"/>
      <c r="H250" s="80"/>
      <c r="I250" s="77"/>
      <c r="J250" s="78"/>
      <c r="K250" s="83"/>
      <c r="L250" s="77"/>
      <c r="M250" s="78"/>
      <c r="N250" s="78"/>
      <c r="O250" s="78"/>
      <c r="P250" s="77"/>
      <c r="Q250" s="78"/>
      <c r="R250" s="77"/>
      <c r="S250" s="78"/>
      <c r="T250" s="77"/>
      <c r="U250" s="78"/>
      <c r="V250" s="77"/>
      <c r="W250" s="7"/>
      <c r="X250" s="27" t="str">
        <f t="shared" si="4"/>
        <v/>
      </c>
      <c r="Y250" s="3" t="s">
        <v>116</v>
      </c>
      <c r="Z250" s="3"/>
      <c r="AA250" s="3" t="s">
        <v>17</v>
      </c>
      <c r="AB250" s="91" t="s">
        <v>161</v>
      </c>
      <c r="AC250" s="93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7"/>
      <c r="AO250" s="38"/>
      <c r="AP250" s="38"/>
      <c r="AQ250" s="38"/>
      <c r="AR250" s="43"/>
      <c r="AS250" s="42"/>
      <c r="AT250" s="42"/>
      <c r="AU250" s="42"/>
      <c r="AV250" s="42"/>
      <c r="AW250" s="42"/>
      <c r="AX250" s="42"/>
      <c r="AY250" s="42"/>
      <c r="AZ250" s="42"/>
      <c r="BA250" s="42"/>
      <c r="BB250" s="42"/>
    </row>
    <row r="251" spans="1:54" s="5" customFormat="1" x14ac:dyDescent="0.25">
      <c r="A251" s="7"/>
      <c r="B251" s="77"/>
      <c r="C251" s="78"/>
      <c r="D251" s="78"/>
      <c r="E251" s="83"/>
      <c r="F251" s="78"/>
      <c r="G251" s="77"/>
      <c r="H251" s="80"/>
      <c r="I251" s="77"/>
      <c r="J251" s="78"/>
      <c r="K251" s="83"/>
      <c r="L251" s="77"/>
      <c r="M251" s="78"/>
      <c r="N251" s="78"/>
      <c r="O251" s="78"/>
      <c r="P251" s="77"/>
      <c r="Q251" s="78"/>
      <c r="R251" s="77"/>
      <c r="S251" s="78"/>
      <c r="T251" s="77"/>
      <c r="U251" s="78"/>
      <c r="V251" s="77"/>
      <c r="W251" s="7"/>
      <c r="X251" s="27" t="str">
        <f t="shared" si="4"/>
        <v/>
      </c>
      <c r="Y251" s="3" t="s">
        <v>49</v>
      </c>
      <c r="Z251" s="3"/>
      <c r="AA251" s="3" t="s">
        <v>139</v>
      </c>
      <c r="AB251" s="91" t="s">
        <v>161</v>
      </c>
      <c r="AC251" s="92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7"/>
      <c r="AO251" s="38"/>
      <c r="AP251" s="38"/>
      <c r="AQ251" s="38"/>
      <c r="AR251" s="43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</row>
    <row r="252" spans="1:54" s="5" customFormat="1" x14ac:dyDescent="0.25">
      <c r="A252" s="7"/>
      <c r="B252" s="77"/>
      <c r="C252" s="78"/>
      <c r="D252" s="78"/>
      <c r="E252" s="83"/>
      <c r="F252" s="78"/>
      <c r="G252" s="77"/>
      <c r="H252" s="80"/>
      <c r="I252" s="77"/>
      <c r="J252" s="78"/>
      <c r="K252" s="83"/>
      <c r="L252" s="77"/>
      <c r="M252" s="78"/>
      <c r="N252" s="78"/>
      <c r="O252" s="78"/>
      <c r="P252" s="77"/>
      <c r="Q252" s="78"/>
      <c r="R252" s="77"/>
      <c r="S252" s="78"/>
      <c r="T252" s="77"/>
      <c r="U252" s="78"/>
      <c r="V252" s="77"/>
      <c r="W252" s="7"/>
      <c r="X252" s="27" t="str">
        <f t="shared" si="4"/>
        <v/>
      </c>
      <c r="Y252" s="3" t="s">
        <v>50</v>
      </c>
      <c r="Z252" s="3"/>
      <c r="AA252" s="3" t="s">
        <v>139</v>
      </c>
      <c r="AB252" s="91" t="s">
        <v>161</v>
      </c>
      <c r="AC252" s="92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7"/>
      <c r="AO252" s="38"/>
      <c r="AP252" s="38"/>
      <c r="AQ252" s="38"/>
      <c r="AR252" s="43"/>
      <c r="AS252" s="42"/>
      <c r="AT252" s="42"/>
      <c r="AU252" s="42"/>
      <c r="AV252" s="42"/>
      <c r="AW252" s="42"/>
      <c r="AX252" s="42"/>
      <c r="AY252" s="42"/>
      <c r="AZ252" s="42"/>
      <c r="BA252" s="42"/>
      <c r="BB252" s="42"/>
    </row>
    <row r="253" spans="1:54" s="5" customFormat="1" x14ac:dyDescent="0.25">
      <c r="A253" s="7"/>
      <c r="B253" s="77"/>
      <c r="C253" s="78"/>
      <c r="D253" s="78"/>
      <c r="E253" s="83"/>
      <c r="F253" s="78"/>
      <c r="G253" s="77"/>
      <c r="H253" s="80"/>
      <c r="I253" s="77"/>
      <c r="J253" s="78"/>
      <c r="K253" s="83"/>
      <c r="L253" s="77"/>
      <c r="M253" s="78"/>
      <c r="N253" s="78"/>
      <c r="O253" s="78"/>
      <c r="P253" s="77"/>
      <c r="Q253" s="78"/>
      <c r="R253" s="77"/>
      <c r="S253" s="78"/>
      <c r="T253" s="77"/>
      <c r="U253" s="78"/>
      <c r="V253" s="77"/>
      <c r="W253" s="7"/>
      <c r="X253" s="27" t="str">
        <f t="shared" si="4"/>
        <v/>
      </c>
      <c r="Y253" s="3" t="s">
        <v>115</v>
      </c>
      <c r="Z253" s="3"/>
      <c r="AA253" s="3" t="s">
        <v>62</v>
      </c>
      <c r="AB253" s="91" t="s">
        <v>161</v>
      </c>
      <c r="AC253" s="92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7"/>
      <c r="AO253" s="38"/>
      <c r="AP253" s="38"/>
      <c r="AQ253" s="38"/>
      <c r="AR253" s="43"/>
      <c r="AS253" s="42"/>
      <c r="AT253" s="42"/>
      <c r="AU253" s="42"/>
      <c r="AV253" s="42"/>
      <c r="AW253" s="42"/>
      <c r="AX253" s="42"/>
      <c r="AY253" s="42"/>
      <c r="AZ253" s="42"/>
      <c r="BA253" s="42"/>
      <c r="BB253" s="42"/>
    </row>
    <row r="254" spans="1:54" s="5" customFormat="1" x14ac:dyDescent="0.25">
      <c r="A254" s="7"/>
      <c r="B254" s="77"/>
      <c r="C254" s="78"/>
      <c r="D254" s="78"/>
      <c r="E254" s="83"/>
      <c r="F254" s="78"/>
      <c r="G254" s="77"/>
      <c r="H254" s="80"/>
      <c r="I254" s="77"/>
      <c r="J254" s="78"/>
      <c r="K254" s="83"/>
      <c r="L254" s="77"/>
      <c r="M254" s="78"/>
      <c r="N254" s="78"/>
      <c r="O254" s="78"/>
      <c r="P254" s="77"/>
      <c r="Q254" s="78"/>
      <c r="R254" s="77"/>
      <c r="S254" s="78"/>
      <c r="T254" s="77"/>
      <c r="U254" s="78"/>
      <c r="V254" s="77"/>
      <c r="W254" s="7"/>
      <c r="X254" s="27" t="str">
        <f t="shared" si="4"/>
        <v/>
      </c>
      <c r="Y254" s="3" t="s">
        <v>105</v>
      </c>
      <c r="Z254" s="3"/>
      <c r="AA254" s="3" t="s">
        <v>139</v>
      </c>
      <c r="AB254" s="91" t="s">
        <v>161</v>
      </c>
      <c r="AC254" s="94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7"/>
      <c r="AO254" s="38"/>
      <c r="AP254" s="38"/>
      <c r="AQ254" s="38"/>
      <c r="AR254" s="43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</row>
    <row r="255" spans="1:54" s="5" customFormat="1" x14ac:dyDescent="0.25">
      <c r="A255" s="7"/>
      <c r="B255" s="77"/>
      <c r="C255" s="78"/>
      <c r="D255" s="78"/>
      <c r="E255" s="83"/>
      <c r="F255" s="78"/>
      <c r="G255" s="77"/>
      <c r="H255" s="80"/>
      <c r="I255" s="77"/>
      <c r="J255" s="77"/>
      <c r="K255" s="83"/>
      <c r="L255" s="78"/>
      <c r="M255" s="78"/>
      <c r="N255" s="78"/>
      <c r="O255" s="78"/>
      <c r="P255" s="77"/>
      <c r="Q255" s="78"/>
      <c r="R255" s="77"/>
      <c r="S255" s="78"/>
      <c r="T255" s="77"/>
      <c r="U255" s="78"/>
      <c r="V255" s="77"/>
      <c r="W255" s="7"/>
      <c r="X255" s="27" t="str">
        <f t="shared" si="4"/>
        <v/>
      </c>
      <c r="Y255" s="6"/>
      <c r="Z255" s="6"/>
      <c r="AA255" s="6"/>
      <c r="AB255" s="11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7"/>
      <c r="AO255" s="15"/>
      <c r="AP255" s="15"/>
      <c r="AQ255" s="15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</row>
    <row r="256" spans="1:54" s="5" customFormat="1" x14ac:dyDescent="0.25">
      <c r="A256" s="7"/>
      <c r="B256" s="77"/>
      <c r="C256" s="78"/>
      <c r="D256" s="78"/>
      <c r="E256" s="83"/>
      <c r="F256" s="78"/>
      <c r="G256" s="77"/>
      <c r="H256" s="80"/>
      <c r="I256" s="77"/>
      <c r="J256" s="77"/>
      <c r="K256" s="83"/>
      <c r="L256" s="78"/>
      <c r="M256" s="78"/>
      <c r="N256" s="78"/>
      <c r="O256" s="78"/>
      <c r="P256" s="77"/>
      <c r="Q256" s="78"/>
      <c r="R256" s="77"/>
      <c r="S256" s="78"/>
      <c r="T256" s="77"/>
      <c r="U256" s="78"/>
      <c r="V256" s="77"/>
      <c r="W256" s="7"/>
      <c r="X256" s="27" t="str">
        <f t="shared" si="4"/>
        <v/>
      </c>
      <c r="Y256" s="6"/>
      <c r="Z256" s="6"/>
      <c r="AA256" s="6"/>
      <c r="AB256" s="11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7"/>
      <c r="AO256" s="15"/>
      <c r="AP256" s="15"/>
      <c r="AQ256" s="15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</row>
    <row r="257" spans="1:54" s="5" customFormat="1" x14ac:dyDescent="0.25">
      <c r="A257" s="7"/>
      <c r="B257" s="77"/>
      <c r="C257" s="78"/>
      <c r="D257" s="78"/>
      <c r="E257" s="83"/>
      <c r="F257" s="78"/>
      <c r="G257" s="77"/>
      <c r="H257" s="78"/>
      <c r="I257" s="77"/>
      <c r="J257" s="77"/>
      <c r="K257" s="82"/>
      <c r="L257" s="33" t="s">
        <v>163</v>
      </c>
      <c r="M257" s="83"/>
      <c r="N257" s="77"/>
      <c r="O257" s="78"/>
      <c r="P257" s="77"/>
      <c r="Q257" s="78"/>
      <c r="R257" s="77"/>
      <c r="S257" s="78"/>
      <c r="T257" s="77"/>
      <c r="U257" s="78"/>
      <c r="V257" s="77"/>
      <c r="W257" s="7"/>
      <c r="X257" s="28" t="str">
        <f t="shared" si="4"/>
        <v>Dishwashing</v>
      </c>
      <c r="Y257" s="6"/>
      <c r="Z257" s="6"/>
      <c r="AA257" s="6"/>
      <c r="AB257" s="11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7"/>
      <c r="AO257" s="15"/>
      <c r="AP257" s="15"/>
      <c r="AQ257" s="15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</row>
    <row r="258" spans="1:54" s="5" customFormat="1" x14ac:dyDescent="0.25">
      <c r="A258" s="7"/>
      <c r="B258" s="77"/>
      <c r="C258" s="78"/>
      <c r="D258" s="78"/>
      <c r="E258" s="83"/>
      <c r="F258" s="78"/>
      <c r="G258" s="77"/>
      <c r="H258" s="80"/>
      <c r="I258" s="77"/>
      <c r="J258" s="77"/>
      <c r="K258" s="83"/>
      <c r="L258" s="78"/>
      <c r="M258" s="78"/>
      <c r="N258" s="78"/>
      <c r="O258" s="78"/>
      <c r="P258" s="77"/>
      <c r="Q258" s="78"/>
      <c r="R258" s="77"/>
      <c r="S258" s="78"/>
      <c r="T258" s="77"/>
      <c r="U258" s="78"/>
      <c r="V258" s="77"/>
      <c r="W258" s="7"/>
      <c r="X258" s="27" t="str">
        <f t="shared" si="4"/>
        <v/>
      </c>
      <c r="Y258" s="6"/>
      <c r="Z258" s="6"/>
      <c r="AA258" s="6"/>
      <c r="AB258" s="11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7"/>
      <c r="AO258" s="15"/>
      <c r="AP258" s="15"/>
      <c r="AQ258" s="15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</row>
    <row r="259" spans="1:54" s="5" customFormat="1" x14ac:dyDescent="0.25">
      <c r="A259" s="7"/>
      <c r="B259" s="77"/>
      <c r="C259" s="78"/>
      <c r="D259" s="78"/>
      <c r="E259" s="83"/>
      <c r="F259" s="78"/>
      <c r="G259" s="77"/>
      <c r="H259" s="80"/>
      <c r="I259" s="77"/>
      <c r="J259" s="77"/>
      <c r="K259" s="83"/>
      <c r="L259" s="78"/>
      <c r="M259" s="78"/>
      <c r="N259" s="77"/>
      <c r="O259" s="78"/>
      <c r="P259" s="77"/>
      <c r="Q259" s="78"/>
      <c r="R259" s="77"/>
      <c r="S259" s="78"/>
      <c r="T259" s="77"/>
      <c r="U259" s="78"/>
      <c r="V259" s="77"/>
      <c r="W259" s="7"/>
      <c r="X259" s="27" t="str">
        <f t="shared" si="4"/>
        <v/>
      </c>
      <c r="Y259" s="6"/>
      <c r="Z259" s="6"/>
      <c r="AA259" s="6"/>
      <c r="AB259" s="11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7"/>
      <c r="AO259" s="15"/>
      <c r="AP259" s="15"/>
      <c r="AQ259" s="15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</row>
    <row r="260" spans="1:54" s="5" customFormat="1" x14ac:dyDescent="0.25">
      <c r="A260" s="7"/>
      <c r="B260" s="77"/>
      <c r="C260" s="78"/>
      <c r="D260" s="78"/>
      <c r="E260" s="83"/>
      <c r="F260" s="78"/>
      <c r="G260" s="77"/>
      <c r="H260" s="78"/>
      <c r="I260" s="77"/>
      <c r="J260" s="77"/>
      <c r="K260" s="81"/>
      <c r="L260" s="32" t="s">
        <v>95</v>
      </c>
      <c r="M260" s="78"/>
      <c r="N260" s="77"/>
      <c r="O260" s="78"/>
      <c r="P260" s="77"/>
      <c r="Q260" s="78"/>
      <c r="R260" s="77"/>
      <c r="S260" s="78"/>
      <c r="T260" s="77"/>
      <c r="U260" s="78"/>
      <c r="V260" s="77"/>
      <c r="W260" s="7"/>
      <c r="X260" s="34" t="str">
        <f t="shared" si="4"/>
        <v>Clothes washing</v>
      </c>
      <c r="AB260" s="11"/>
      <c r="AN260" s="7"/>
      <c r="AO260" s="15"/>
      <c r="AP260" s="15"/>
      <c r="AQ260" s="15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</row>
    <row r="261" spans="1:54" s="5" customFormat="1" x14ac:dyDescent="0.25">
      <c r="A261" s="7"/>
      <c r="B261" s="77"/>
      <c r="C261" s="78"/>
      <c r="D261" s="78"/>
      <c r="E261" s="83"/>
      <c r="F261" s="78"/>
      <c r="G261" s="77"/>
      <c r="H261" s="78"/>
      <c r="I261" s="77"/>
      <c r="J261" s="77"/>
      <c r="K261" s="78"/>
      <c r="L261" s="78"/>
      <c r="M261" s="78"/>
      <c r="N261" s="77"/>
      <c r="O261" s="78"/>
      <c r="P261" s="77"/>
      <c r="Q261" s="78"/>
      <c r="R261" s="77"/>
      <c r="S261" s="78"/>
      <c r="T261" s="77"/>
      <c r="U261" s="78"/>
      <c r="V261" s="77"/>
      <c r="W261" s="7"/>
      <c r="X261" s="29" t="str">
        <f t="shared" si="4"/>
        <v/>
      </c>
      <c r="AB261" s="11"/>
      <c r="AN261" s="7"/>
      <c r="AO261" s="15"/>
      <c r="AP261" s="15"/>
      <c r="AQ261" s="15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</row>
    <row r="262" spans="1:54" s="5" customFormat="1" x14ac:dyDescent="0.25">
      <c r="A262" s="7"/>
      <c r="B262" s="77"/>
      <c r="C262" s="78"/>
      <c r="D262" s="78"/>
      <c r="E262" s="84"/>
      <c r="F262" s="78"/>
      <c r="G262" s="77"/>
      <c r="H262" s="77"/>
      <c r="I262" s="77"/>
      <c r="J262" s="77"/>
      <c r="K262" s="78"/>
      <c r="L262" s="78"/>
      <c r="M262" s="78"/>
      <c r="N262" s="77"/>
      <c r="O262" s="78"/>
      <c r="P262" s="77"/>
      <c r="Q262" s="78"/>
      <c r="R262" s="77"/>
      <c r="S262" s="78"/>
      <c r="T262" s="77"/>
      <c r="U262" s="78"/>
      <c r="V262" s="77"/>
      <c r="W262" s="7"/>
      <c r="X262" s="29" t="str">
        <f t="shared" si="4"/>
        <v/>
      </c>
      <c r="AB262" s="11"/>
      <c r="AN262" s="7"/>
      <c r="AO262" s="15"/>
      <c r="AP262" s="15"/>
      <c r="AQ262" s="15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</row>
    <row r="263" spans="1:54" s="5" customFormat="1" x14ac:dyDescent="0.25">
      <c r="A263" s="7"/>
      <c r="B263" s="77"/>
      <c r="C263" s="78"/>
      <c r="D263" s="78"/>
      <c r="E263" s="81"/>
      <c r="F263" s="32" t="s">
        <v>2</v>
      </c>
      <c r="G263" s="79"/>
      <c r="H263" s="78"/>
      <c r="I263" s="80"/>
      <c r="J263" s="77"/>
      <c r="K263" s="80"/>
      <c r="L263" s="77"/>
      <c r="M263" s="80"/>
      <c r="N263" s="77"/>
      <c r="O263" s="80"/>
      <c r="P263" s="77"/>
      <c r="Q263" s="80"/>
      <c r="R263" s="77"/>
      <c r="S263" s="80"/>
      <c r="T263" s="77"/>
      <c r="U263" s="80"/>
      <c r="V263" s="77"/>
      <c r="W263" s="7"/>
      <c r="X263" s="34" t="str">
        <f t="shared" ref="X263:X287" si="5">IFERROR(INDEX($B263:$V263,MATCH(TRUE,INDEX(($B263:$V263&lt;&gt;0),0),0)),"")</f>
        <v>Electricity</v>
      </c>
      <c r="AB263" s="11"/>
      <c r="AN263" s="7"/>
      <c r="AO263" s="15"/>
      <c r="AP263" s="15"/>
      <c r="AQ263" s="15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</row>
    <row r="264" spans="1:54" s="5" customFormat="1" x14ac:dyDescent="0.25">
      <c r="A264" s="7"/>
      <c r="B264" s="77"/>
      <c r="C264" s="78"/>
      <c r="D264" s="78"/>
      <c r="E264" s="77"/>
      <c r="F264" s="78"/>
      <c r="G264" s="79"/>
      <c r="H264" s="78"/>
      <c r="I264" s="80"/>
      <c r="J264" s="77"/>
      <c r="K264" s="80"/>
      <c r="L264" s="77"/>
      <c r="M264" s="80"/>
      <c r="N264" s="77"/>
      <c r="O264" s="80"/>
      <c r="P264" s="77"/>
      <c r="Q264" s="80"/>
      <c r="R264" s="77"/>
      <c r="S264" s="80"/>
      <c r="T264" s="77"/>
      <c r="U264" s="80"/>
      <c r="V264" s="77"/>
      <c r="W264" s="7"/>
      <c r="X264" s="27" t="str">
        <f t="shared" si="5"/>
        <v/>
      </c>
      <c r="Y264" t="s">
        <v>114</v>
      </c>
      <c r="Z264"/>
      <c r="AA264"/>
      <c r="AB264" s="30" t="s">
        <v>38</v>
      </c>
      <c r="AC264"/>
      <c r="AD264"/>
      <c r="AE264"/>
      <c r="AF264"/>
      <c r="AG264"/>
      <c r="AH264"/>
      <c r="AI264"/>
      <c r="AJ264"/>
      <c r="AK264"/>
      <c r="AL264"/>
      <c r="AM264"/>
      <c r="AN264" s="7"/>
      <c r="AO264" s="15"/>
      <c r="AP264" s="15"/>
      <c r="AQ264" s="15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</row>
    <row r="265" spans="1:54" s="5" customFormat="1" x14ac:dyDescent="0.25">
      <c r="A265" s="7"/>
      <c r="B265" s="77"/>
      <c r="C265" s="78"/>
      <c r="D265" s="78"/>
      <c r="E265" s="77"/>
      <c r="F265" s="78"/>
      <c r="G265" s="79"/>
      <c r="H265" s="78"/>
      <c r="I265" s="80"/>
      <c r="J265" s="77"/>
      <c r="K265" s="80"/>
      <c r="L265" s="77"/>
      <c r="M265" s="80"/>
      <c r="N265" s="77"/>
      <c r="O265" s="80"/>
      <c r="P265" s="77"/>
      <c r="Q265" s="80"/>
      <c r="R265" s="77"/>
      <c r="S265" s="80"/>
      <c r="T265" s="77"/>
      <c r="U265" s="80"/>
      <c r="V265" s="77"/>
      <c r="W265" s="7"/>
      <c r="X265" s="27" t="str">
        <f t="shared" si="5"/>
        <v/>
      </c>
      <c r="Y265" t="s">
        <v>7</v>
      </c>
      <c r="Z265"/>
      <c r="AA265"/>
      <c r="AB265" s="30" t="s">
        <v>39</v>
      </c>
      <c r="AC265" s="2">
        <v>0.4</v>
      </c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7"/>
      <c r="AO265" s="15"/>
      <c r="AP265" s="15"/>
      <c r="AQ265" s="15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</row>
    <row r="266" spans="1:54" s="5" customFormat="1" x14ac:dyDescent="0.25">
      <c r="A266" s="7"/>
      <c r="B266" s="77"/>
      <c r="C266" s="78"/>
      <c r="D266" s="78"/>
      <c r="E266" s="77"/>
      <c r="F266" s="78"/>
      <c r="G266" s="79"/>
      <c r="H266" s="78"/>
      <c r="I266" s="80"/>
      <c r="J266" s="77"/>
      <c r="K266" s="80"/>
      <c r="L266" s="77"/>
      <c r="M266" s="80"/>
      <c r="N266" s="77"/>
      <c r="O266" s="80"/>
      <c r="P266" s="77"/>
      <c r="Q266" s="80"/>
      <c r="R266" s="77"/>
      <c r="S266" s="80"/>
      <c r="T266" s="77"/>
      <c r="U266" s="80"/>
      <c r="V266" s="77"/>
      <c r="W266" s="7"/>
      <c r="X266" s="27" t="str">
        <f t="shared" si="5"/>
        <v/>
      </c>
      <c r="Y266" t="s">
        <v>66</v>
      </c>
      <c r="Z266"/>
      <c r="AA266" t="s">
        <v>139</v>
      </c>
      <c r="AB266" s="30" t="s">
        <v>47</v>
      </c>
      <c r="AC266" s="2">
        <v>0.1</v>
      </c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7"/>
      <c r="AO266" s="15"/>
      <c r="AP266" s="15"/>
      <c r="AQ266" s="15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</row>
    <row r="267" spans="1:54" s="5" customFormat="1" x14ac:dyDescent="0.25">
      <c r="A267" s="7"/>
      <c r="B267" s="77"/>
      <c r="C267" s="78"/>
      <c r="D267" s="78"/>
      <c r="E267" s="77"/>
      <c r="F267" s="78"/>
      <c r="G267" s="79"/>
      <c r="H267" s="78"/>
      <c r="I267" s="80"/>
      <c r="J267" s="77"/>
      <c r="K267" s="80"/>
      <c r="L267" s="77"/>
      <c r="M267" s="80"/>
      <c r="N267" s="77"/>
      <c r="O267" s="80"/>
      <c r="P267" s="77"/>
      <c r="Q267" s="80"/>
      <c r="R267" s="77"/>
      <c r="S267" s="80"/>
      <c r="T267" s="77"/>
      <c r="U267" s="80"/>
      <c r="V267" s="77"/>
      <c r="W267" s="7"/>
      <c r="X267" s="27" t="str">
        <f t="shared" si="5"/>
        <v/>
      </c>
      <c r="Y267" t="s">
        <v>67</v>
      </c>
      <c r="Z267"/>
      <c r="AA267" t="s">
        <v>139</v>
      </c>
      <c r="AB267" s="30"/>
      <c r="AC267" s="2">
        <v>0.1</v>
      </c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7"/>
      <c r="AO267" s="15"/>
      <c r="AP267" s="15"/>
      <c r="AQ267" s="15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</row>
    <row r="268" spans="1:54" s="5" customFormat="1" x14ac:dyDescent="0.25">
      <c r="A268" s="7"/>
      <c r="B268" s="77"/>
      <c r="C268" s="78"/>
      <c r="D268" s="78"/>
      <c r="E268" s="77"/>
      <c r="F268" s="78"/>
      <c r="G268" s="79"/>
      <c r="H268" s="78"/>
      <c r="I268" s="80"/>
      <c r="J268" s="77"/>
      <c r="K268" s="80"/>
      <c r="L268" s="77"/>
      <c r="M268" s="80"/>
      <c r="N268" s="77"/>
      <c r="O268" s="80"/>
      <c r="P268" s="77"/>
      <c r="Q268" s="80"/>
      <c r="R268" s="77"/>
      <c r="S268" s="80"/>
      <c r="T268" s="77"/>
      <c r="U268" s="80"/>
      <c r="V268" s="77"/>
      <c r="W268" s="7"/>
      <c r="X268" s="27" t="str">
        <f t="shared" si="5"/>
        <v/>
      </c>
      <c r="Y268" t="s">
        <v>22</v>
      </c>
      <c r="Z268"/>
      <c r="AA268"/>
      <c r="AB268" s="30" t="s">
        <v>48</v>
      </c>
      <c r="AC268" s="2">
        <v>1</v>
      </c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7"/>
      <c r="AO268" s="15"/>
      <c r="AP268" s="15"/>
      <c r="AQ268" s="15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</row>
    <row r="269" spans="1:54" s="5" customFormat="1" x14ac:dyDescent="0.25">
      <c r="A269" s="7"/>
      <c r="B269" s="77"/>
      <c r="C269" s="78"/>
      <c r="D269" s="78"/>
      <c r="E269" s="77"/>
      <c r="F269" s="78"/>
      <c r="G269" s="79"/>
      <c r="H269" s="78"/>
      <c r="I269" s="80"/>
      <c r="J269" s="77"/>
      <c r="K269" s="80"/>
      <c r="L269" s="77"/>
      <c r="M269" s="80"/>
      <c r="N269" s="77"/>
      <c r="O269" s="80"/>
      <c r="P269" s="77"/>
      <c r="Q269" s="80"/>
      <c r="R269" s="77"/>
      <c r="S269" s="80"/>
      <c r="T269" s="77"/>
      <c r="U269" s="80"/>
      <c r="V269" s="77"/>
      <c r="W269" s="7"/>
      <c r="X269" s="27" t="str">
        <f t="shared" si="5"/>
        <v/>
      </c>
      <c r="Y269" t="s">
        <v>11</v>
      </c>
      <c r="Z269"/>
      <c r="AA269" t="s">
        <v>17</v>
      </c>
      <c r="AB269" s="31" t="s">
        <v>12</v>
      </c>
      <c r="AC269" s="2">
        <v>19</v>
      </c>
      <c r="AD269" s="2">
        <v>25</v>
      </c>
      <c r="AE269" s="2">
        <v>29</v>
      </c>
      <c r="AF269" s="2">
        <v>32</v>
      </c>
      <c r="AG269" s="2">
        <v>32.64</v>
      </c>
      <c r="AH269" s="2">
        <v>33.2928</v>
      </c>
      <c r="AI269" s="2">
        <v>33.958655999999998</v>
      </c>
      <c r="AJ269" s="2">
        <v>34.637829119999999</v>
      </c>
      <c r="AK269" s="2">
        <v>35.330585702400001</v>
      </c>
      <c r="AL269" s="2">
        <v>36.037197416448002</v>
      </c>
      <c r="AM269" s="2">
        <v>36.757941364776961</v>
      </c>
      <c r="AN269" s="7"/>
      <c r="AO269" s="15"/>
      <c r="AP269" s="15"/>
      <c r="AQ269" s="15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</row>
    <row r="270" spans="1:54" s="5" customFormat="1" x14ac:dyDescent="0.25">
      <c r="A270" s="7"/>
      <c r="B270" s="77"/>
      <c r="C270" s="78"/>
      <c r="D270" s="78"/>
      <c r="E270" s="77"/>
      <c r="F270" s="78"/>
      <c r="G270" s="79"/>
      <c r="H270" s="78"/>
      <c r="I270" s="80"/>
      <c r="J270" s="77"/>
      <c r="K270" s="80"/>
      <c r="L270" s="77"/>
      <c r="M270" s="80"/>
      <c r="N270" s="77"/>
      <c r="O270" s="80"/>
      <c r="P270" s="77"/>
      <c r="Q270" s="80"/>
      <c r="R270" s="77"/>
      <c r="S270" s="80"/>
      <c r="T270" s="77"/>
      <c r="U270" s="80"/>
      <c r="V270" s="77"/>
      <c r="W270" s="7"/>
      <c r="X270" s="27" t="str">
        <f t="shared" si="5"/>
        <v/>
      </c>
      <c r="Y270" t="s">
        <v>11</v>
      </c>
      <c r="Z270"/>
      <c r="AA270" t="s">
        <v>17</v>
      </c>
      <c r="AB270" s="31" t="s">
        <v>13</v>
      </c>
      <c r="AC270" s="2">
        <v>20</v>
      </c>
      <c r="AD270" s="2">
        <v>26</v>
      </c>
      <c r="AE270" s="2">
        <v>30</v>
      </c>
      <c r="AF270" s="2">
        <v>33</v>
      </c>
      <c r="AG270" s="2">
        <v>33.660000000000004</v>
      </c>
      <c r="AH270" s="2">
        <v>34.333200000000005</v>
      </c>
      <c r="AI270" s="2">
        <v>35.019864000000005</v>
      </c>
      <c r="AJ270" s="2">
        <v>35.72026128000001</v>
      </c>
      <c r="AK270" s="2">
        <v>36.434666505600013</v>
      </c>
      <c r="AL270" s="2">
        <v>37.163359835712015</v>
      </c>
      <c r="AM270" s="2">
        <v>37.906627032426258</v>
      </c>
      <c r="AN270" s="7"/>
      <c r="AO270" s="15"/>
      <c r="AP270" s="15"/>
      <c r="AQ270" s="15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</row>
    <row r="271" spans="1:54" s="5" customFormat="1" x14ac:dyDescent="0.25">
      <c r="A271" s="7"/>
      <c r="B271" s="77"/>
      <c r="C271" s="78"/>
      <c r="D271" s="78"/>
      <c r="E271" s="77"/>
      <c r="F271" s="78"/>
      <c r="G271" s="79"/>
      <c r="H271" s="78"/>
      <c r="I271" s="80"/>
      <c r="J271" s="77"/>
      <c r="K271" s="80"/>
      <c r="L271" s="77"/>
      <c r="M271" s="80"/>
      <c r="N271" s="77"/>
      <c r="O271" s="80"/>
      <c r="P271" s="77"/>
      <c r="Q271" s="80"/>
      <c r="R271" s="77"/>
      <c r="S271" s="80"/>
      <c r="T271" s="77"/>
      <c r="U271" s="80"/>
      <c r="V271" s="77"/>
      <c r="W271" s="7"/>
      <c r="X271" s="27" t="str">
        <f t="shared" si="5"/>
        <v/>
      </c>
      <c r="Y271" t="s">
        <v>11</v>
      </c>
      <c r="Z271"/>
      <c r="AA271" t="s">
        <v>17</v>
      </c>
      <c r="AB271" s="31" t="s">
        <v>14</v>
      </c>
      <c r="AC271" s="2">
        <v>11</v>
      </c>
      <c r="AD271" s="2">
        <v>7</v>
      </c>
      <c r="AE271" s="2">
        <v>4</v>
      </c>
      <c r="AF271" s="2">
        <v>6</v>
      </c>
      <c r="AG271" s="2">
        <v>6.12</v>
      </c>
      <c r="AH271" s="2">
        <v>6.2423999999999999</v>
      </c>
      <c r="AI271" s="2">
        <v>6.367248</v>
      </c>
      <c r="AJ271" s="2">
        <v>6.4945929600000003</v>
      </c>
      <c r="AK271" s="2">
        <v>6.6244848192000001</v>
      </c>
      <c r="AL271" s="2">
        <v>6.756974515584</v>
      </c>
      <c r="AM271" s="2">
        <v>6.8921140058956798</v>
      </c>
      <c r="AN271" s="7"/>
      <c r="AO271" s="15"/>
      <c r="AP271" s="15"/>
      <c r="AQ271" s="15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</row>
    <row r="272" spans="1:54" s="5" customFormat="1" x14ac:dyDescent="0.25">
      <c r="A272" s="7"/>
      <c r="B272" s="77"/>
      <c r="C272" s="78"/>
      <c r="D272" s="78"/>
      <c r="E272" s="77"/>
      <c r="F272" s="78"/>
      <c r="G272" s="79"/>
      <c r="H272" s="78"/>
      <c r="I272" s="80"/>
      <c r="J272" s="77"/>
      <c r="K272" s="80"/>
      <c r="L272" s="77"/>
      <c r="M272" s="80"/>
      <c r="N272" s="77"/>
      <c r="O272" s="80"/>
      <c r="P272" s="77"/>
      <c r="Q272" s="80"/>
      <c r="R272" s="77"/>
      <c r="S272" s="80"/>
      <c r="T272" s="77"/>
      <c r="U272" s="80"/>
      <c r="V272" s="77"/>
      <c r="W272" s="7"/>
      <c r="X272" s="27" t="str">
        <f t="shared" si="5"/>
        <v/>
      </c>
      <c r="Y272" t="s">
        <v>11</v>
      </c>
      <c r="Z272"/>
      <c r="AA272" t="s">
        <v>17</v>
      </c>
      <c r="AB272" s="31" t="s">
        <v>2</v>
      </c>
      <c r="AC272" s="2">
        <v>22</v>
      </c>
      <c r="AD272" s="2">
        <v>26</v>
      </c>
      <c r="AE272" s="2">
        <v>34</v>
      </c>
      <c r="AF272" s="2">
        <v>31</v>
      </c>
      <c r="AG272" s="2">
        <v>31.62</v>
      </c>
      <c r="AH272" s="2">
        <v>32.252400000000002</v>
      </c>
      <c r="AI272" s="2">
        <v>32.897448000000004</v>
      </c>
      <c r="AJ272" s="2">
        <v>33.555396960000003</v>
      </c>
      <c r="AK272" s="2">
        <v>34.226504899200002</v>
      </c>
      <c r="AL272" s="2">
        <v>34.911034997184004</v>
      </c>
      <c r="AM272" s="2">
        <v>35.609255697127686</v>
      </c>
      <c r="AN272" s="7"/>
      <c r="AO272" s="15"/>
      <c r="AP272" s="15"/>
      <c r="AQ272" s="15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</row>
    <row r="273" spans="1:54" s="5" customFormat="1" x14ac:dyDescent="0.25">
      <c r="A273" s="7"/>
      <c r="B273" s="77"/>
      <c r="C273" s="78"/>
      <c r="D273" s="78"/>
      <c r="E273" s="77"/>
      <c r="F273" s="78"/>
      <c r="G273" s="79"/>
      <c r="H273" s="78"/>
      <c r="I273" s="80"/>
      <c r="J273" s="77"/>
      <c r="K273" s="80"/>
      <c r="L273" s="77"/>
      <c r="M273" s="80"/>
      <c r="N273" s="77"/>
      <c r="O273" s="80"/>
      <c r="P273" s="77"/>
      <c r="Q273" s="80"/>
      <c r="R273" s="77"/>
      <c r="S273" s="80"/>
      <c r="T273" s="77"/>
      <c r="U273" s="80"/>
      <c r="V273" s="77"/>
      <c r="W273" s="7"/>
      <c r="X273" s="27" t="str">
        <f t="shared" si="5"/>
        <v/>
      </c>
      <c r="Y273" t="s">
        <v>11</v>
      </c>
      <c r="Z273"/>
      <c r="AA273" t="s">
        <v>17</v>
      </c>
      <c r="AB273" s="31" t="s">
        <v>15</v>
      </c>
      <c r="AC273" s="2">
        <v>12</v>
      </c>
      <c r="AD273" s="2">
        <v>12</v>
      </c>
      <c r="AE273" s="2">
        <v>12</v>
      </c>
      <c r="AF273" s="2">
        <v>12</v>
      </c>
      <c r="AG273" s="2">
        <v>12.24</v>
      </c>
      <c r="AH273" s="2">
        <v>12.4848</v>
      </c>
      <c r="AI273" s="2">
        <v>12.734496</v>
      </c>
      <c r="AJ273" s="2">
        <v>12.989185920000001</v>
      </c>
      <c r="AK273" s="2">
        <v>13.2489696384</v>
      </c>
      <c r="AL273" s="2">
        <v>13.513949031168</v>
      </c>
      <c r="AM273" s="2">
        <v>13.78422801179136</v>
      </c>
      <c r="AN273" s="7"/>
      <c r="AO273" s="15"/>
      <c r="AP273" s="15"/>
      <c r="AQ273" s="15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</row>
    <row r="274" spans="1:54" s="5" customFormat="1" x14ac:dyDescent="0.25">
      <c r="A274" s="7"/>
      <c r="B274" s="77"/>
      <c r="C274" s="78"/>
      <c r="D274" s="78"/>
      <c r="E274" s="77"/>
      <c r="F274" s="78"/>
      <c r="G274" s="79"/>
      <c r="H274" s="78"/>
      <c r="I274" s="80"/>
      <c r="J274" s="77"/>
      <c r="K274" s="80"/>
      <c r="L274" s="77"/>
      <c r="M274" s="80"/>
      <c r="N274" s="77"/>
      <c r="O274" s="80"/>
      <c r="P274" s="77"/>
      <c r="Q274" s="80"/>
      <c r="R274" s="77"/>
      <c r="S274" s="80"/>
      <c r="T274" s="77"/>
      <c r="U274" s="80"/>
      <c r="V274" s="77"/>
      <c r="W274" s="7"/>
      <c r="X274" s="27" t="str">
        <f t="shared" si="5"/>
        <v/>
      </c>
      <c r="Y274" t="s">
        <v>11</v>
      </c>
      <c r="Z274"/>
      <c r="AA274" t="s">
        <v>18</v>
      </c>
      <c r="AB274" s="31" t="s">
        <v>19</v>
      </c>
      <c r="AC274" s="2">
        <v>0</v>
      </c>
      <c r="AD274" s="2">
        <v>0</v>
      </c>
      <c r="AE274" s="2">
        <v>0</v>
      </c>
      <c r="AF274" s="2">
        <v>0</v>
      </c>
      <c r="AG274" s="2">
        <v>20</v>
      </c>
      <c r="AH274" s="2">
        <v>50</v>
      </c>
      <c r="AI274" s="2">
        <v>70</v>
      </c>
      <c r="AJ274" s="2">
        <v>70</v>
      </c>
      <c r="AK274" s="2">
        <v>70</v>
      </c>
      <c r="AL274" s="2">
        <v>70</v>
      </c>
      <c r="AM274" s="2">
        <v>70</v>
      </c>
      <c r="AN274" s="7"/>
      <c r="AO274" s="15"/>
      <c r="AP274" s="15"/>
      <c r="AQ274" s="15"/>
      <c r="AR274" s="42"/>
      <c r="AS274" s="42"/>
      <c r="AT274" s="42"/>
      <c r="AU274" s="42"/>
      <c r="AV274" s="42"/>
      <c r="AW274" s="42"/>
      <c r="AX274" s="42"/>
      <c r="AY274" s="42"/>
      <c r="AZ274" s="42"/>
      <c r="BA274" s="42"/>
      <c r="BB274" s="42"/>
    </row>
    <row r="275" spans="1:54" s="5" customFormat="1" x14ac:dyDescent="0.25">
      <c r="A275" s="7"/>
      <c r="B275" s="77"/>
      <c r="C275" s="78"/>
      <c r="D275" s="78"/>
      <c r="E275" s="77"/>
      <c r="F275" s="78"/>
      <c r="G275" s="79"/>
      <c r="H275" s="78"/>
      <c r="I275" s="80"/>
      <c r="J275" s="77"/>
      <c r="K275" s="80"/>
      <c r="L275" s="77"/>
      <c r="M275" s="80"/>
      <c r="N275" s="77"/>
      <c r="O275" s="80"/>
      <c r="P275" s="77"/>
      <c r="Q275" s="80"/>
      <c r="R275" s="77"/>
      <c r="S275" s="80"/>
      <c r="T275" s="77"/>
      <c r="U275" s="80"/>
      <c r="V275" s="77"/>
      <c r="W275" s="7"/>
      <c r="X275" s="27" t="str">
        <f t="shared" si="5"/>
        <v/>
      </c>
      <c r="Y275" t="s">
        <v>11</v>
      </c>
      <c r="Z275"/>
      <c r="AA275" t="s">
        <v>18</v>
      </c>
      <c r="AB275" s="31" t="s">
        <v>20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7"/>
      <c r="AO275" s="15"/>
      <c r="AP275" s="15"/>
      <c r="AQ275" s="15"/>
      <c r="AR275" s="42"/>
      <c r="AS275" s="42"/>
      <c r="AT275" s="42"/>
      <c r="AU275" s="42"/>
      <c r="AV275" s="42"/>
      <c r="AW275" s="42"/>
      <c r="AX275" s="42"/>
      <c r="AY275" s="42"/>
      <c r="AZ275" s="42"/>
      <c r="BA275" s="42"/>
      <c r="BB275" s="42"/>
    </row>
    <row r="276" spans="1:54" s="5" customFormat="1" x14ac:dyDescent="0.25">
      <c r="A276" s="7"/>
      <c r="B276" s="77"/>
      <c r="C276" s="78"/>
      <c r="D276" s="78"/>
      <c r="E276" s="77"/>
      <c r="F276" s="78"/>
      <c r="G276" s="79"/>
      <c r="H276" s="78"/>
      <c r="I276" s="80"/>
      <c r="J276" s="77"/>
      <c r="K276" s="80"/>
      <c r="L276" s="77"/>
      <c r="M276" s="80"/>
      <c r="N276" s="77"/>
      <c r="O276" s="80"/>
      <c r="P276" s="77"/>
      <c r="Q276" s="80"/>
      <c r="R276" s="77"/>
      <c r="S276" s="80"/>
      <c r="T276" s="77"/>
      <c r="U276" s="80"/>
      <c r="V276" s="77"/>
      <c r="W276" s="7"/>
      <c r="X276" s="27" t="str">
        <f t="shared" si="5"/>
        <v/>
      </c>
      <c r="Y276" t="s">
        <v>11</v>
      </c>
      <c r="Z276"/>
      <c r="AA276" t="s">
        <v>18</v>
      </c>
      <c r="AB276" s="31" t="s">
        <v>21</v>
      </c>
      <c r="AC276" s="2">
        <v>0</v>
      </c>
      <c r="AD276" s="2">
        <v>0</v>
      </c>
      <c r="AE276" s="2">
        <v>0</v>
      </c>
      <c r="AF276" s="2">
        <v>0</v>
      </c>
      <c r="AG276" s="2">
        <v>0</v>
      </c>
      <c r="AH276" s="2">
        <v>0</v>
      </c>
      <c r="AI276" s="2">
        <v>0</v>
      </c>
      <c r="AJ276" s="2">
        <v>0</v>
      </c>
      <c r="AK276" s="2">
        <v>0</v>
      </c>
      <c r="AL276" s="2">
        <v>0</v>
      </c>
      <c r="AM276" s="2">
        <v>0</v>
      </c>
      <c r="AN276" s="7"/>
      <c r="AO276" s="15"/>
      <c r="AP276" s="15"/>
      <c r="AQ276" s="15"/>
      <c r="AR276" s="42"/>
      <c r="AS276" s="42"/>
      <c r="AT276" s="42"/>
      <c r="AU276" s="42"/>
      <c r="AV276" s="42"/>
      <c r="AW276" s="42"/>
      <c r="AX276" s="42"/>
      <c r="AY276" s="42"/>
      <c r="AZ276" s="42"/>
      <c r="BA276" s="42"/>
      <c r="BB276" s="42"/>
    </row>
    <row r="277" spans="1:54" s="5" customFormat="1" x14ac:dyDescent="0.25">
      <c r="A277" s="7"/>
      <c r="B277" s="77"/>
      <c r="C277" s="78"/>
      <c r="D277" s="78"/>
      <c r="E277" s="77"/>
      <c r="F277" s="78"/>
      <c r="G277" s="79"/>
      <c r="H277" s="78"/>
      <c r="I277" s="80"/>
      <c r="J277" s="77"/>
      <c r="K277" s="80"/>
      <c r="L277" s="77"/>
      <c r="M277" s="80"/>
      <c r="N277" s="77"/>
      <c r="O277" s="80"/>
      <c r="P277" s="77"/>
      <c r="Q277" s="80"/>
      <c r="R277" s="77"/>
      <c r="S277" s="80"/>
      <c r="T277" s="77"/>
      <c r="U277" s="80"/>
      <c r="V277" s="77"/>
      <c r="W277" s="7"/>
      <c r="X277" s="27" t="str">
        <f t="shared" si="5"/>
        <v/>
      </c>
      <c r="Y277" t="s">
        <v>63</v>
      </c>
      <c r="Z277"/>
      <c r="AA277"/>
      <c r="AB277" s="30" t="s">
        <v>26</v>
      </c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7"/>
      <c r="AO277" s="15"/>
      <c r="AP277" s="15"/>
      <c r="AQ277" s="15"/>
      <c r="AR277" s="42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</row>
    <row r="278" spans="1:54" s="5" customFormat="1" x14ac:dyDescent="0.25">
      <c r="A278" s="7"/>
      <c r="B278" s="77"/>
      <c r="C278" s="78"/>
      <c r="D278" s="78"/>
      <c r="E278" s="77"/>
      <c r="F278" s="78"/>
      <c r="G278" s="79"/>
      <c r="H278" s="78"/>
      <c r="I278" s="80"/>
      <c r="J278" s="77"/>
      <c r="K278" s="80"/>
      <c r="L278" s="77"/>
      <c r="M278" s="80"/>
      <c r="N278" s="77"/>
      <c r="O278" s="80"/>
      <c r="P278" s="77"/>
      <c r="Q278" s="80"/>
      <c r="R278" s="77"/>
      <c r="S278" s="80"/>
      <c r="T278" s="77"/>
      <c r="U278" s="80"/>
      <c r="V278" s="77"/>
      <c r="W278" s="7"/>
      <c r="X278" s="27" t="str">
        <f t="shared" si="5"/>
        <v/>
      </c>
      <c r="Y278" t="s">
        <v>115</v>
      </c>
      <c r="Z278" t="s">
        <v>112</v>
      </c>
      <c r="AA278" s="3" t="s">
        <v>62</v>
      </c>
      <c r="AB278" s="30"/>
      <c r="AC278" s="2">
        <v>1</v>
      </c>
      <c r="AD278" s="2">
        <v>1</v>
      </c>
      <c r="AE278" s="2">
        <v>1</v>
      </c>
      <c r="AF278" s="2">
        <v>1</v>
      </c>
      <c r="AG278" s="2">
        <v>1</v>
      </c>
      <c r="AH278" s="2">
        <v>1</v>
      </c>
      <c r="AI278" s="2">
        <v>1</v>
      </c>
      <c r="AJ278" s="2">
        <v>1</v>
      </c>
      <c r="AK278" s="2">
        <v>1</v>
      </c>
      <c r="AL278" s="2">
        <v>1</v>
      </c>
      <c r="AM278" s="2">
        <v>1</v>
      </c>
      <c r="AN278" s="7"/>
      <c r="AO278" s="15"/>
      <c r="AP278" s="15"/>
      <c r="AQ278" s="15"/>
      <c r="AR278" s="42"/>
      <c r="AS278" s="42"/>
      <c r="AT278" s="42"/>
      <c r="AU278" s="42"/>
      <c r="AV278" s="42"/>
      <c r="AW278" s="42"/>
      <c r="AX278" s="42"/>
      <c r="AY278" s="42"/>
      <c r="AZ278" s="42"/>
      <c r="BA278" s="42"/>
      <c r="BB278" s="42"/>
    </row>
    <row r="279" spans="1:54" s="5" customFormat="1" x14ac:dyDescent="0.25">
      <c r="A279" s="7"/>
      <c r="B279" s="77"/>
      <c r="C279" s="78"/>
      <c r="D279" s="78"/>
      <c r="E279" s="77"/>
      <c r="F279" s="80"/>
      <c r="G279" s="86"/>
      <c r="H279" s="87"/>
      <c r="I279" s="80"/>
      <c r="J279" s="77"/>
      <c r="K279" s="80"/>
      <c r="L279" s="77"/>
      <c r="M279" s="80"/>
      <c r="N279" s="77"/>
      <c r="O279" s="80"/>
      <c r="P279" s="77"/>
      <c r="Q279" s="80"/>
      <c r="R279" s="77"/>
      <c r="S279" s="80"/>
      <c r="T279" s="77"/>
      <c r="U279" s="80"/>
      <c r="V279" s="77"/>
      <c r="W279" s="7"/>
      <c r="X279" s="27" t="str">
        <f t="shared" si="5"/>
        <v/>
      </c>
      <c r="AB279" s="11"/>
      <c r="AN279" s="7"/>
      <c r="AO279" s="15"/>
      <c r="AP279" s="15"/>
      <c r="AQ279" s="15"/>
      <c r="AR279" s="42"/>
      <c r="AS279" s="42"/>
      <c r="AT279" s="42"/>
      <c r="AU279" s="42"/>
      <c r="AV279" s="42"/>
      <c r="AW279" s="42"/>
      <c r="AX279" s="42"/>
      <c r="AY279" s="42"/>
      <c r="AZ279" s="42"/>
      <c r="BA279" s="42"/>
      <c r="BB279" s="42"/>
    </row>
    <row r="280" spans="1:54" s="5" customFormat="1" x14ac:dyDescent="0.25">
      <c r="A280" s="7"/>
      <c r="B280" s="77"/>
      <c r="C280" s="78"/>
      <c r="D280" s="78"/>
      <c r="E280" s="77"/>
      <c r="F280" s="78"/>
      <c r="G280" s="80"/>
      <c r="H280" s="32" t="s">
        <v>4</v>
      </c>
      <c r="I280" s="78"/>
      <c r="J280" s="78"/>
      <c r="K280" s="78"/>
      <c r="L280" s="77"/>
      <c r="M280" s="78"/>
      <c r="N280" s="77"/>
      <c r="O280" s="78"/>
      <c r="P280" s="77"/>
      <c r="Q280" s="78"/>
      <c r="R280" s="77"/>
      <c r="S280" s="78"/>
      <c r="T280" s="77"/>
      <c r="U280" s="78"/>
      <c r="V280" s="77"/>
      <c r="W280" s="7"/>
      <c r="X280" s="28" t="str">
        <f t="shared" si="5"/>
        <v>Generation</v>
      </c>
      <c r="AB280" s="11"/>
      <c r="AN280" s="7"/>
      <c r="AO280" s="15"/>
      <c r="AP280" s="15"/>
      <c r="AQ280" s="15"/>
      <c r="AR280" s="42"/>
      <c r="AS280" s="42"/>
      <c r="AT280" s="42"/>
      <c r="AU280" s="42"/>
      <c r="AV280" s="42"/>
      <c r="AW280" s="42"/>
      <c r="AX280" s="42"/>
      <c r="AY280" s="42"/>
      <c r="AZ280" s="42"/>
      <c r="BA280" s="42"/>
      <c r="BB280" s="42"/>
    </row>
    <row r="281" spans="1:54" s="5" customFormat="1" x14ac:dyDescent="0.25">
      <c r="A281" s="7"/>
      <c r="B281" s="77"/>
      <c r="C281" s="78"/>
      <c r="D281" s="78"/>
      <c r="E281" s="77"/>
      <c r="F281" s="78"/>
      <c r="G281" s="80"/>
      <c r="H281" s="88"/>
      <c r="I281" s="84"/>
      <c r="J281" s="78"/>
      <c r="K281" s="78"/>
      <c r="L281" s="77"/>
      <c r="M281" s="78"/>
      <c r="N281" s="77"/>
      <c r="O281" s="78"/>
      <c r="P281" s="77"/>
      <c r="Q281" s="78"/>
      <c r="R281" s="77"/>
      <c r="S281" s="78"/>
      <c r="T281" s="77"/>
      <c r="U281" s="78"/>
      <c r="V281" s="77"/>
      <c r="W281" s="7"/>
      <c r="X281" s="27" t="str">
        <f t="shared" si="5"/>
        <v/>
      </c>
      <c r="AB281" s="11"/>
      <c r="AN281" s="7"/>
      <c r="AO281" s="15"/>
      <c r="AP281" s="15"/>
      <c r="AQ281" s="15"/>
      <c r="AR281" s="42"/>
      <c r="AS281" s="42"/>
      <c r="AT281" s="42"/>
      <c r="AU281" s="42"/>
      <c r="AV281" s="42"/>
      <c r="AW281" s="42"/>
      <c r="AX281" s="42"/>
      <c r="AY281" s="42"/>
      <c r="AZ281" s="42"/>
      <c r="BA281" s="42"/>
      <c r="BB281" s="42"/>
    </row>
    <row r="282" spans="1:54" s="5" customFormat="1" x14ac:dyDescent="0.25">
      <c r="A282" s="7"/>
      <c r="B282" s="77"/>
      <c r="C282" s="78"/>
      <c r="D282" s="78"/>
      <c r="E282" s="77"/>
      <c r="F282" s="78"/>
      <c r="G282" s="80"/>
      <c r="H282" s="78"/>
      <c r="I282" s="80"/>
      <c r="J282" s="32" t="s">
        <v>3</v>
      </c>
      <c r="K282" s="78"/>
      <c r="L282" s="77"/>
      <c r="M282" s="78"/>
      <c r="N282" s="77"/>
      <c r="O282" s="78"/>
      <c r="P282" s="77"/>
      <c r="Q282" s="78"/>
      <c r="R282" s="77"/>
      <c r="S282" s="78"/>
      <c r="T282" s="77"/>
      <c r="U282" s="78"/>
      <c r="V282" s="77"/>
      <c r="W282" s="7"/>
      <c r="X282" s="28" t="str">
        <f t="shared" si="5"/>
        <v>Base load</v>
      </c>
      <c r="AB282" s="11"/>
      <c r="AN282" s="7"/>
      <c r="AO282" s="15"/>
      <c r="AP282" s="15"/>
      <c r="AQ282" s="15"/>
      <c r="AR282" s="42"/>
      <c r="AS282" s="42"/>
      <c r="AT282" s="42"/>
      <c r="AU282" s="42"/>
      <c r="AV282" s="42"/>
      <c r="AW282" s="42"/>
      <c r="AX282" s="42"/>
      <c r="AY282" s="42"/>
      <c r="AZ282" s="42"/>
      <c r="BA282" s="42"/>
      <c r="BB282" s="42"/>
    </row>
    <row r="283" spans="1:54" s="5" customFormat="1" x14ac:dyDescent="0.25">
      <c r="A283" s="7"/>
      <c r="B283" s="77"/>
      <c r="C283" s="78"/>
      <c r="D283" s="78"/>
      <c r="E283" s="77"/>
      <c r="F283" s="78"/>
      <c r="G283" s="80"/>
      <c r="H283" s="78"/>
      <c r="I283" s="80"/>
      <c r="J283" s="78"/>
      <c r="K283" s="84"/>
      <c r="L283" s="78"/>
      <c r="M283" s="78"/>
      <c r="N283" s="77"/>
      <c r="O283" s="78"/>
      <c r="P283" s="77"/>
      <c r="Q283" s="78"/>
      <c r="R283" s="77"/>
      <c r="S283" s="78"/>
      <c r="T283" s="77"/>
      <c r="U283" s="78"/>
      <c r="V283" s="77"/>
      <c r="W283" s="7"/>
      <c r="X283" s="27" t="str">
        <f t="shared" si="5"/>
        <v/>
      </c>
      <c r="AB283" s="11"/>
      <c r="AN283" s="7"/>
      <c r="AO283" s="15"/>
      <c r="AP283" s="15"/>
      <c r="AQ283" s="15"/>
      <c r="AR283" s="42"/>
      <c r="AS283" s="42"/>
      <c r="AT283" s="42"/>
      <c r="AU283" s="42"/>
      <c r="AV283" s="42"/>
      <c r="AW283" s="42"/>
      <c r="AX283" s="42"/>
      <c r="AY283" s="42"/>
      <c r="AZ283" s="42"/>
      <c r="BA283" s="42"/>
      <c r="BB283" s="42"/>
    </row>
    <row r="284" spans="1:54" s="5" customFormat="1" x14ac:dyDescent="0.25">
      <c r="A284" s="7"/>
      <c r="B284" s="77"/>
      <c r="C284" s="78"/>
      <c r="D284" s="78"/>
      <c r="E284" s="77"/>
      <c r="F284" s="78"/>
      <c r="G284" s="80"/>
      <c r="H284" s="78"/>
      <c r="I284" s="80"/>
      <c r="J284" s="78"/>
      <c r="K284" s="85"/>
      <c r="L284" s="32" t="s">
        <v>99</v>
      </c>
      <c r="M284" s="78"/>
      <c r="N284" s="77"/>
      <c r="O284" s="78"/>
      <c r="P284" s="77"/>
      <c r="Q284" s="78"/>
      <c r="R284" s="77"/>
      <c r="S284" s="78"/>
      <c r="T284" s="77"/>
      <c r="U284" s="78"/>
      <c r="V284" s="77"/>
      <c r="W284" s="7"/>
      <c r="X284" s="28" t="str">
        <f t="shared" si="5"/>
        <v>Conventional</v>
      </c>
      <c r="AB284" s="11"/>
      <c r="AN284" s="7"/>
      <c r="AO284" s="15"/>
      <c r="AP284" s="15"/>
      <c r="AQ284" s="15"/>
      <c r="AR284" s="42"/>
      <c r="AS284" s="42"/>
      <c r="AT284" s="42"/>
      <c r="AU284" s="42"/>
      <c r="AV284" s="42"/>
      <c r="AW284" s="42"/>
      <c r="AX284" s="42"/>
      <c r="AY284" s="42"/>
      <c r="AZ284" s="42"/>
      <c r="BA284" s="42"/>
      <c r="BB284" s="42"/>
    </row>
    <row r="285" spans="1:54" s="5" customFormat="1" x14ac:dyDescent="0.25">
      <c r="A285" s="7"/>
      <c r="B285" s="77"/>
      <c r="C285" s="78"/>
      <c r="D285" s="78"/>
      <c r="E285" s="77"/>
      <c r="F285" s="78"/>
      <c r="G285" s="80"/>
      <c r="H285" s="78"/>
      <c r="I285" s="80"/>
      <c r="J285" s="78"/>
      <c r="K285" s="84"/>
      <c r="L285" s="77"/>
      <c r="M285" s="78"/>
      <c r="N285" s="77"/>
      <c r="O285" s="78"/>
      <c r="P285" s="77"/>
      <c r="Q285" s="78"/>
      <c r="R285" s="77"/>
      <c r="S285" s="78"/>
      <c r="T285" s="77"/>
      <c r="U285" s="78"/>
      <c r="V285" s="77"/>
      <c r="W285" s="7"/>
      <c r="X285" s="27" t="str">
        <f t="shared" si="5"/>
        <v/>
      </c>
      <c r="AB285" s="11"/>
      <c r="AN285" s="7"/>
      <c r="AO285" s="15"/>
      <c r="AP285" s="15"/>
      <c r="AQ285" s="15"/>
      <c r="AR285" s="42"/>
      <c r="AS285" s="42"/>
      <c r="AT285" s="42"/>
      <c r="AU285" s="42"/>
      <c r="AV285" s="42"/>
      <c r="AW285" s="42"/>
      <c r="AX285" s="42"/>
      <c r="AY285" s="42"/>
      <c r="AZ285" s="42"/>
      <c r="BA285" s="42"/>
      <c r="BB285" s="42"/>
    </row>
    <row r="286" spans="1:54" s="5" customFormat="1" x14ac:dyDescent="0.25">
      <c r="A286" s="7"/>
      <c r="B286" s="77"/>
      <c r="C286" s="78"/>
      <c r="D286" s="78"/>
      <c r="E286" s="77"/>
      <c r="F286" s="78"/>
      <c r="G286" s="80"/>
      <c r="H286" s="78"/>
      <c r="I286" s="80"/>
      <c r="J286" s="78"/>
      <c r="K286" s="78"/>
      <c r="L286" s="32" t="s">
        <v>100</v>
      </c>
      <c r="M286" s="78"/>
      <c r="N286" s="77"/>
      <c r="O286" s="78"/>
      <c r="P286" s="77"/>
      <c r="Q286" s="78"/>
      <c r="R286" s="77"/>
      <c r="S286" s="78"/>
      <c r="T286" s="77"/>
      <c r="U286" s="78"/>
      <c r="V286" s="77"/>
      <c r="W286" s="7"/>
      <c r="X286" s="28" t="str">
        <f t="shared" si="5"/>
        <v>Renewables</v>
      </c>
      <c r="AB286" s="11"/>
      <c r="AN286" s="7"/>
      <c r="AO286" s="15"/>
      <c r="AP286" s="15"/>
      <c r="AQ286" s="15"/>
      <c r="AR286" s="42"/>
      <c r="AS286" s="42"/>
      <c r="AT286" s="42"/>
      <c r="AU286" s="42"/>
      <c r="AV286" s="42"/>
      <c r="AW286" s="42"/>
      <c r="AX286" s="42"/>
      <c r="AY286" s="42"/>
      <c r="AZ286" s="42"/>
      <c r="BA286" s="42"/>
      <c r="BB286" s="42"/>
    </row>
    <row r="287" spans="1:54" s="5" customFormat="1" x14ac:dyDescent="0.25">
      <c r="A287" s="7"/>
      <c r="B287" s="77"/>
      <c r="C287" s="78"/>
      <c r="D287" s="78"/>
      <c r="E287" s="77"/>
      <c r="F287" s="78"/>
      <c r="G287" s="80"/>
      <c r="H287" s="78"/>
      <c r="I287" s="80"/>
      <c r="J287" s="78"/>
      <c r="K287" s="78"/>
      <c r="L287" s="77"/>
      <c r="M287" s="78"/>
      <c r="N287" s="77"/>
      <c r="O287" s="78"/>
      <c r="P287" s="77"/>
      <c r="Q287" s="78"/>
      <c r="R287" s="77"/>
      <c r="S287" s="78"/>
      <c r="T287" s="77"/>
      <c r="U287" s="78"/>
      <c r="V287" s="77"/>
      <c r="W287" s="7"/>
      <c r="X287" s="27" t="str">
        <f t="shared" si="5"/>
        <v/>
      </c>
      <c r="AB287" s="11"/>
      <c r="AN287" s="7"/>
      <c r="AO287" s="15"/>
      <c r="AP287" s="15"/>
      <c r="AQ287" s="15"/>
      <c r="AR287" s="42"/>
      <c r="AS287" s="42"/>
      <c r="AT287" s="42"/>
      <c r="AU287" s="42"/>
      <c r="AV287" s="42"/>
      <c r="AW287" s="42"/>
      <c r="AX287" s="42"/>
      <c r="AY287" s="42"/>
      <c r="AZ287" s="42"/>
      <c r="BA287" s="42"/>
      <c r="BB287" s="42"/>
    </row>
    <row r="288" spans="1:54" x14ac:dyDescent="0.25">
      <c r="A288" s="7"/>
      <c r="I288" s="78"/>
      <c r="K288" s="78"/>
      <c r="M288" s="78"/>
      <c r="O288" s="78"/>
      <c r="Q288" s="78"/>
      <c r="S288" s="78"/>
      <c r="U288" s="78"/>
      <c r="W288" s="7"/>
      <c r="Y288" s="5"/>
      <c r="Z288" s="5"/>
      <c r="AA288" s="5"/>
      <c r="AB288" s="11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7"/>
      <c r="AO288" s="15"/>
      <c r="AP288" s="15"/>
      <c r="AQ288" s="15"/>
      <c r="AR288" s="42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</row>
  </sheetData>
  <conditionalFormatting sqref="B3:D6 B7:B8 B9:D99976">
    <cfRule type="cellIs" dxfId="8" priority="47" stopIfTrue="1" operator="notEqual">
      <formula>0</formula>
    </cfRule>
  </conditionalFormatting>
  <conditionalFormatting sqref="H3:V99976">
    <cfRule type="cellIs" dxfId="7" priority="50" stopIfTrue="1" operator="notEqual">
      <formula>0</formula>
    </cfRule>
  </conditionalFormatting>
  <conditionalFormatting sqref="X3:BB99976">
    <cfRule type="expression" dxfId="6" priority="51" stopIfTrue="1">
      <formula>$X3&lt;&gt;""</formula>
    </cfRule>
  </conditionalFormatting>
  <conditionalFormatting sqref="F3:F99976">
    <cfRule type="expression" dxfId="5" priority="5" stopIfTrue="1">
      <formula>AND(F3&lt;&gt;0,INDEX(DemandSupply,MATCH(F3,Sectors,0))="Demand")</formula>
    </cfRule>
    <cfRule type="expression" dxfId="4" priority="6" stopIfTrue="1">
      <formula>AND(F3&lt;&gt;0,INDEX(DemandSupply,MATCH(F3,Sectors,0))="Supply")</formula>
    </cfRule>
  </conditionalFormatting>
  <conditionalFormatting sqref="Y3:Y99976">
    <cfRule type="expression" dxfId="3" priority="9" stopIfTrue="1">
      <formula>$Y3="Technology"</formula>
    </cfRule>
  </conditionalFormatting>
  <conditionalFormatting sqref="C8">
    <cfRule type="cellIs" dxfId="2" priority="3" stopIfTrue="1" operator="notEqual">
      <formula>0</formula>
    </cfRule>
  </conditionalFormatting>
  <conditionalFormatting sqref="C7">
    <cfRule type="cellIs" dxfId="1" priority="2" stopIfTrue="1" operator="notEqual">
      <formula>0</formula>
    </cfRule>
  </conditionalFormatting>
  <conditionalFormatting sqref="E13">
    <cfRule type="cellIs" dxfId="0" priority="1" stopIfTrue="1" operator="notEqual">
      <formula>0</formula>
    </cfRule>
  </conditionalFormatting>
  <dataValidations count="1">
    <dataValidation type="list" allowBlank="1" showInputMessage="1" showErrorMessage="1" sqref="AB137 AB16 AB21 AB33 AB41 AB109 AB10 AB277 AB195" xr:uid="{87A47A8D-0106-47D3-8FB9-F6C03FC86F58}">
      <formula1>Competition</formula1>
    </dataValidation>
  </dataValidations>
  <hyperlinks>
    <hyperlink ref="Z11" location="AB" display="Alberta" xr:uid="{24F8C709-4339-4746-9C1A-A47F5E46601D}"/>
    <hyperlink ref="X7" location="$X$7" display="$X$7" xr:uid="{8B0137A1-CA11-4DB8-94B3-5FB9D46EB984}"/>
    <hyperlink ref="D13" location="$D$13" display="$D$13" xr:uid="{A00539EB-ED69-4CA0-A8CD-598F0C3C77B8}"/>
    <hyperlink ref="F19" location="$F$19" display="$F$19" xr:uid="{FECE9C28-985C-4770-A3AB-1C5B4367721C}"/>
    <hyperlink ref="B7" location="$B$7" display="$B$7" xr:uid="{068FF690-A95B-4670-8352-B1A6F60F9726}"/>
    <hyperlink ref="X19" location="$X$19" display="$X$19" xr:uid="{E06909DB-D24A-4118-83D3-60582514D8A3}"/>
    <hyperlink ref="H31" location="$H$31" display="$H$31" xr:uid="{0BFE3CE2-7126-46B8-92BE-DBE7F508C1AF}"/>
    <hyperlink ref="J39" location="$J$39" display="$J$39" xr:uid="{AC69F5FC-BE6E-447D-B37F-2EECDBF336F0}"/>
    <hyperlink ref="L107" location="$L$107" display="$L$107" xr:uid="{57FF1B97-B486-4669-A583-8AAE15A2953E}"/>
    <hyperlink ref="N135" location="$N$135" display="$N$135" xr:uid="{0FDF796E-DEDC-4726-AB67-DDB70E21A1BE}"/>
    <hyperlink ref="L193" location="$L$193" display="$L$193" xr:uid="{2448D2C5-F46C-4376-BAD5-03F930F537CC}"/>
    <hyperlink ref="N199" location="$N$199" display="$N$199" xr:uid="{71FC7775-9D8C-498D-A524-97A0A3CEBAB2}"/>
    <hyperlink ref="N202" location="$N$202" display="$N$202" xr:uid="{EDCDC646-D77F-40D9-942F-3C53B2D45890}"/>
    <hyperlink ref="L257" location="$L$257" display="$L$257" xr:uid="{729DB057-3243-40F7-B358-1C9AEE16F8C6}"/>
    <hyperlink ref="L260" location="$L$260" display="$L$260" xr:uid="{F7B93E1B-C805-43A6-A085-53716EB4CADA}"/>
    <hyperlink ref="F263" location="$F$263" display="$F$263" xr:uid="{E4A648B1-BAFE-44B6-AC8B-AE36B8C874EC}"/>
    <hyperlink ref="H280" location="$H$280" display="$H$280" xr:uid="{8467D7B9-11E3-4726-9EDB-EB364E824B5A}"/>
    <hyperlink ref="J282" location="$J$282" display="$J$282" xr:uid="{F1ADEA5E-B258-46C5-96EB-80715123B904}"/>
    <hyperlink ref="L284" location="$L$284" display="$L$284" xr:uid="{C9A1F272-69D9-4603-8288-681167745538}"/>
    <hyperlink ref="L286" location="$L$286" display="$L$286" xr:uid="{40D92029-ECF7-40B5-A6EF-3D49DA49D975}"/>
    <hyperlink ref="X4" location="$X$4" display="$X$4" xr:uid="{366EBB12-6F4B-44FE-A51E-DBFCACBC76A2}"/>
    <hyperlink ref="X31" location="$X$31" display="$X$31" xr:uid="{3D816F71-A7DC-4A4E-B125-C7504FF63D71}"/>
    <hyperlink ref="X39" location="$X$39" display="$X$39" xr:uid="{BFDD0A66-017C-4184-9FC2-6373C8CAC8D3}"/>
    <hyperlink ref="X107" location="$X$107" display="$X$107" xr:uid="{D8975DE9-AC0D-418F-8D7A-5337F56BC691}"/>
    <hyperlink ref="X135" location="$X$135" display="$X$135" xr:uid="{020A9474-219A-45E7-A3D4-38BC109224DB}"/>
    <hyperlink ref="X193" location="$X$193" display="$X$193" xr:uid="{3E825E99-B7DD-4CBF-B35E-50C53FBB1149}"/>
    <hyperlink ref="X199" location="$X$199" display="$X$199" xr:uid="{39A694C7-C4C8-4B6E-AEA9-3585CD77FBE3}"/>
    <hyperlink ref="X202" location="$X$202" display="$X$202" xr:uid="{E20C73B0-46AE-4104-81D1-98EAA49067F7}"/>
    <hyperlink ref="X257" location="$X$257" display="$X$257" xr:uid="{95E196CB-86D6-4CC4-BD04-9A0CCB954F7D}"/>
    <hyperlink ref="X260" location="$X$260" display="$X$260" xr:uid="{71102C35-E152-4777-9A45-BF64866B41FB}"/>
    <hyperlink ref="X263" location="$X$263" display="$X$263" xr:uid="{ACC3267B-B827-42D1-A596-28B2DF27DF55}"/>
    <hyperlink ref="X13" location="$X$13" display="$X$13" xr:uid="{E3A996F2-126A-46A0-B32B-B8FE40E721A0}"/>
    <hyperlink ref="Y1" location="Model!Y1" display="Close all nodes" xr:uid="{339D1C2E-EA68-424B-A8A1-E79C2944C3DB}"/>
    <hyperlink ref="AB43" location="$AB$43" display="$AB$43" xr:uid="{982300C2-7CEC-4D11-9028-12C2CCED18DD}"/>
    <hyperlink ref="B4" location="$B$4" display="$B$4" xr:uid="{A68818D1-30D7-4E6D-B58E-C1AA2FEF3E36}"/>
    <hyperlink ref="X280" location="$X$280" display="$X$280" xr:uid="{B3565607-E0F5-4D21-B7E9-0D144420D02D}"/>
    <hyperlink ref="X282" location="$X$282" display="$X$282" xr:uid="{8349BD98-F01B-4325-A752-09883CEB6AC3}"/>
    <hyperlink ref="X284" location="$X$284" display="$X$284" xr:uid="{E2236E69-B8C6-4450-BCC2-72B129F226DE}"/>
    <hyperlink ref="X286" location="$X$286" display="$X$286" xr:uid="{E81EDCEB-36CC-4B5B-84BC-CABBEAC65DE8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A4223-545B-44CD-9D0E-3AB2A5BC5BBA}">
  <sheetPr codeName="Sheet1">
    <outlinePr summaryBelow="0" summaryRight="0"/>
  </sheetPr>
  <dimension ref="A1:BZ404"/>
  <sheetViews>
    <sheetView zoomScale="85" zoomScaleNormal="85" workbookViewId="0">
      <pane xSplit="5" ySplit="1" topLeftCell="F20" activePane="bottomRight" state="frozen"/>
      <selection pane="topRight" activeCell="E1" sqref="E1"/>
      <selection pane="bottomLeft" activeCell="A3" sqref="A3"/>
      <selection pane="bottomRight" activeCell="C74" sqref="C74"/>
    </sheetView>
  </sheetViews>
  <sheetFormatPr defaultRowHeight="15" x14ac:dyDescent="0.25"/>
  <cols>
    <col min="1" max="1" width="2.7109375" style="3" customWidth="1"/>
    <col min="2" max="2" width="32.7109375" style="17" bestFit="1" customWidth="1"/>
    <col min="3" max="3" width="27.5703125" style="17" customWidth="1"/>
    <col min="4" max="4" width="29.5703125" style="17" bestFit="1" customWidth="1"/>
    <col min="5" max="5" width="23.7109375" style="39" bestFit="1" customWidth="1"/>
    <col min="6" max="9" width="15.7109375" style="44" customWidth="1"/>
    <col min="10" max="16" width="15.7109375" style="43" customWidth="1"/>
    <col min="17" max="17" width="2.7109375" style="17" customWidth="1"/>
    <col min="18" max="68" width="10.28515625" style="53" bestFit="1" customWidth="1"/>
    <col min="69" max="78" width="10.28515625" bestFit="1" customWidth="1"/>
  </cols>
  <sheetData>
    <row r="1" spans="1:78" x14ac:dyDescent="0.25">
      <c r="A1" s="25"/>
      <c r="B1" s="37" t="s">
        <v>9</v>
      </c>
      <c r="C1" s="37" t="s">
        <v>9</v>
      </c>
      <c r="D1" s="37" t="s">
        <v>16</v>
      </c>
      <c r="E1" s="10" t="s">
        <v>118</v>
      </c>
      <c r="F1" s="46">
        <v>2000</v>
      </c>
      <c r="G1" s="46">
        <v>2005</v>
      </c>
      <c r="H1" s="46">
        <v>2010</v>
      </c>
      <c r="I1" s="46">
        <v>2015</v>
      </c>
      <c r="J1" s="46">
        <v>2020</v>
      </c>
      <c r="K1" s="46">
        <v>2025</v>
      </c>
      <c r="L1" s="46">
        <v>2030</v>
      </c>
      <c r="M1" s="46">
        <v>2035</v>
      </c>
      <c r="N1" s="46">
        <v>2040</v>
      </c>
      <c r="O1" s="46">
        <v>2045</v>
      </c>
      <c r="P1" s="46">
        <v>2050</v>
      </c>
      <c r="Q1" s="50"/>
      <c r="R1" s="46">
        <v>2000</v>
      </c>
      <c r="S1" s="46">
        <v>2001</v>
      </c>
      <c r="T1" s="46">
        <v>2002</v>
      </c>
      <c r="U1" s="46">
        <v>2003</v>
      </c>
      <c r="V1" s="46">
        <v>2004</v>
      </c>
      <c r="W1" s="46">
        <v>2005</v>
      </c>
      <c r="X1" s="46">
        <v>2006</v>
      </c>
      <c r="Y1" s="46">
        <v>2007</v>
      </c>
      <c r="Z1" s="46">
        <v>2008</v>
      </c>
      <c r="AA1" s="46">
        <v>2009</v>
      </c>
      <c r="AB1" s="46">
        <v>2010</v>
      </c>
      <c r="AC1" s="46">
        <v>2011</v>
      </c>
      <c r="AD1" s="46">
        <v>2012</v>
      </c>
      <c r="AE1" s="46">
        <v>2013</v>
      </c>
      <c r="AF1" s="46">
        <v>2014</v>
      </c>
      <c r="AG1" s="46">
        <v>2015</v>
      </c>
      <c r="AH1" s="46">
        <v>2016</v>
      </c>
      <c r="AI1" s="46">
        <v>2017</v>
      </c>
      <c r="AJ1" s="46">
        <v>2018</v>
      </c>
      <c r="AK1" s="46">
        <v>2019</v>
      </c>
      <c r="AL1" s="46">
        <v>2020</v>
      </c>
      <c r="AM1" s="46">
        <v>2021</v>
      </c>
      <c r="AN1" s="46">
        <v>2022</v>
      </c>
      <c r="AO1" s="46">
        <v>2023</v>
      </c>
      <c r="AP1" s="46">
        <v>2024</v>
      </c>
      <c r="AQ1" s="46">
        <v>2025</v>
      </c>
      <c r="AR1" s="46">
        <v>2026</v>
      </c>
      <c r="AS1" s="46">
        <v>2027</v>
      </c>
      <c r="AT1" s="46">
        <v>2028</v>
      </c>
      <c r="AU1" s="46">
        <v>2029</v>
      </c>
      <c r="AV1" s="46">
        <v>2030</v>
      </c>
      <c r="AW1" s="46">
        <v>2031</v>
      </c>
      <c r="AX1" s="46">
        <v>2032</v>
      </c>
      <c r="AY1" s="46">
        <v>2033</v>
      </c>
      <c r="AZ1" s="46">
        <v>2034</v>
      </c>
      <c r="BA1" s="46">
        <v>2035</v>
      </c>
      <c r="BB1" s="46">
        <v>2036</v>
      </c>
      <c r="BC1" s="46">
        <v>2037</v>
      </c>
      <c r="BD1" s="46">
        <v>2038</v>
      </c>
      <c r="BE1" s="46">
        <v>2039</v>
      </c>
      <c r="BF1" s="46">
        <v>2040</v>
      </c>
      <c r="BG1" s="46">
        <v>2041</v>
      </c>
      <c r="BH1" s="46">
        <v>2042</v>
      </c>
      <c r="BI1" s="46">
        <v>2043</v>
      </c>
      <c r="BJ1" s="46">
        <v>2044</v>
      </c>
      <c r="BK1" s="46">
        <v>2045</v>
      </c>
      <c r="BL1" s="46">
        <v>2046</v>
      </c>
      <c r="BM1" s="46">
        <v>2047</v>
      </c>
      <c r="BN1" s="46">
        <v>2048</v>
      </c>
      <c r="BO1" s="46">
        <v>2049</v>
      </c>
      <c r="BP1" s="46">
        <v>2050</v>
      </c>
      <c r="BQ1" s="46">
        <v>2051</v>
      </c>
      <c r="BR1" s="46">
        <v>2052</v>
      </c>
      <c r="BS1" s="46">
        <v>2053</v>
      </c>
      <c r="BT1" s="46">
        <v>2054</v>
      </c>
      <c r="BU1" s="46">
        <v>2055</v>
      </c>
      <c r="BV1" s="46">
        <v>2056</v>
      </c>
      <c r="BW1" s="46">
        <v>2057</v>
      </c>
      <c r="BX1" s="46">
        <v>2058</v>
      </c>
      <c r="BY1" s="46">
        <v>2059</v>
      </c>
      <c r="BZ1" s="46">
        <v>2060</v>
      </c>
    </row>
    <row r="2" spans="1:78" x14ac:dyDescent="0.25">
      <c r="A2" s="13"/>
      <c r="B2" s="15"/>
      <c r="C2" s="15"/>
      <c r="D2" s="15"/>
      <c r="E2" s="1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51"/>
    </row>
    <row r="3" spans="1:78" x14ac:dyDescent="0.25">
      <c r="A3" s="7"/>
      <c r="B3" s="38" t="s">
        <v>54</v>
      </c>
      <c r="C3" s="38" t="s">
        <v>64</v>
      </c>
      <c r="D3" s="38" t="s">
        <v>123</v>
      </c>
      <c r="E3" s="40" t="s">
        <v>124</v>
      </c>
      <c r="F3" s="19">
        <f t="shared" ref="F3:I16" si="0">INDEX($R3:$BZ3,MATCH(F$1,$R$1:$BZ$1,0))</f>
        <v>30685730</v>
      </c>
      <c r="G3" s="19">
        <f t="shared" si="0"/>
        <v>32243753</v>
      </c>
      <c r="H3" s="19">
        <f t="shared" si="0"/>
        <v>34004889</v>
      </c>
      <c r="I3" s="19">
        <f t="shared" si="0"/>
        <v>35702908</v>
      </c>
      <c r="J3" s="59">
        <f>J19</f>
        <v>37873700</v>
      </c>
      <c r="K3" s="59">
        <f t="shared" ref="K3:P3" si="1">K19</f>
        <v>39913500</v>
      </c>
      <c r="L3" s="59">
        <f t="shared" si="1"/>
        <v>41888100</v>
      </c>
      <c r="M3" s="59">
        <f t="shared" si="1"/>
        <v>43755500</v>
      </c>
      <c r="N3" s="59">
        <f t="shared" si="1"/>
        <v>45506800</v>
      </c>
      <c r="O3" s="59">
        <f t="shared" si="1"/>
        <v>47156200</v>
      </c>
      <c r="P3" s="59">
        <f t="shared" si="1"/>
        <v>48763100</v>
      </c>
      <c r="Q3" s="52"/>
      <c r="R3" s="53">
        <v>30685730</v>
      </c>
      <c r="S3" s="53">
        <v>31020902</v>
      </c>
      <c r="T3" s="53">
        <v>31360079</v>
      </c>
      <c r="U3" s="53">
        <v>31644028</v>
      </c>
      <c r="V3" s="53">
        <v>31940655</v>
      </c>
      <c r="W3" s="53">
        <v>32243753</v>
      </c>
      <c r="X3" s="53">
        <v>32571174</v>
      </c>
      <c r="Y3" s="53">
        <v>32889025</v>
      </c>
      <c r="Z3" s="53">
        <v>33247118</v>
      </c>
      <c r="AA3" s="53">
        <v>33628895</v>
      </c>
      <c r="AB3" s="53">
        <v>34004889</v>
      </c>
      <c r="AC3" s="53">
        <v>34339328</v>
      </c>
      <c r="AD3" s="53">
        <v>34714222</v>
      </c>
      <c r="AE3" s="53">
        <v>35082954</v>
      </c>
      <c r="AF3" s="53">
        <v>35437435</v>
      </c>
      <c r="AG3" s="53">
        <v>35702908</v>
      </c>
      <c r="AH3" s="53">
        <v>36109487</v>
      </c>
      <c r="AI3" s="53">
        <v>36543321</v>
      </c>
      <c r="AJ3" s="53">
        <v>37057765</v>
      </c>
      <c r="AK3" s="53">
        <v>37589262</v>
      </c>
    </row>
    <row r="4" spans="1:78" x14ac:dyDescent="0.25">
      <c r="A4" s="7"/>
      <c r="B4" s="38"/>
      <c r="C4" s="38" t="s">
        <v>127</v>
      </c>
      <c r="D4" s="38" t="s">
        <v>123</v>
      </c>
      <c r="E4" s="40" t="s">
        <v>124</v>
      </c>
      <c r="F4" s="19">
        <f t="shared" si="0"/>
        <v>527966</v>
      </c>
      <c r="G4" s="19">
        <f t="shared" si="0"/>
        <v>514332</v>
      </c>
      <c r="H4" s="19">
        <f t="shared" si="0"/>
        <v>522009</v>
      </c>
      <c r="I4" s="19">
        <f t="shared" si="0"/>
        <v>528117</v>
      </c>
      <c r="J4" s="59">
        <f t="shared" ref="J4:P4" si="2">J20</f>
        <v>522299.99999999994</v>
      </c>
      <c r="K4" s="59">
        <f t="shared" si="2"/>
        <v>513400</v>
      </c>
      <c r="L4" s="59">
        <f t="shared" si="2"/>
        <v>502000</v>
      </c>
      <c r="M4" s="59">
        <f t="shared" si="2"/>
        <v>487400</v>
      </c>
      <c r="N4" s="59">
        <f t="shared" si="2"/>
        <v>470100</v>
      </c>
      <c r="O4" s="59">
        <f t="shared" si="2"/>
        <v>487138.83683317655</v>
      </c>
      <c r="P4" s="59">
        <f t="shared" si="2"/>
        <v>503738.63488533581</v>
      </c>
      <c r="Q4" s="52"/>
      <c r="R4" s="53">
        <v>527966</v>
      </c>
      <c r="S4" s="53">
        <v>522046</v>
      </c>
      <c r="T4" s="53">
        <v>519481</v>
      </c>
      <c r="U4" s="53">
        <v>518459</v>
      </c>
      <c r="V4" s="53">
        <v>517423</v>
      </c>
      <c r="W4" s="53">
        <v>514332</v>
      </c>
      <c r="X4" s="53">
        <v>510592</v>
      </c>
      <c r="Y4" s="53">
        <v>509055</v>
      </c>
      <c r="Z4" s="53">
        <v>511581</v>
      </c>
      <c r="AA4" s="53">
        <v>516751</v>
      </c>
      <c r="AB4" s="53">
        <v>522009</v>
      </c>
      <c r="AC4" s="53">
        <v>524999</v>
      </c>
      <c r="AD4" s="53">
        <v>526345</v>
      </c>
      <c r="AE4" s="53">
        <v>527114</v>
      </c>
      <c r="AF4" s="53">
        <v>528159</v>
      </c>
      <c r="AG4" s="53">
        <v>528117</v>
      </c>
      <c r="AH4" s="53">
        <v>529426</v>
      </c>
      <c r="AI4" s="53">
        <v>528356</v>
      </c>
      <c r="AJ4" s="53">
        <v>525604</v>
      </c>
      <c r="AK4" s="53">
        <v>521542</v>
      </c>
    </row>
    <row r="5" spans="1:78" x14ac:dyDescent="0.25">
      <c r="A5" s="7"/>
      <c r="B5" s="38"/>
      <c r="C5" s="38" t="s">
        <v>128</v>
      </c>
      <c r="D5" s="38" t="s">
        <v>123</v>
      </c>
      <c r="E5" s="40" t="s">
        <v>124</v>
      </c>
      <c r="F5" s="19">
        <f t="shared" si="0"/>
        <v>136470</v>
      </c>
      <c r="G5" s="19">
        <f t="shared" si="0"/>
        <v>138064</v>
      </c>
      <c r="H5" s="19">
        <f t="shared" si="0"/>
        <v>141654</v>
      </c>
      <c r="I5" s="19">
        <f t="shared" si="0"/>
        <v>144546</v>
      </c>
      <c r="J5" s="59">
        <f t="shared" ref="J5:P5" si="3">J21</f>
        <v>157400</v>
      </c>
      <c r="K5" s="59">
        <f t="shared" si="3"/>
        <v>167800</v>
      </c>
      <c r="L5" s="59">
        <f t="shared" si="3"/>
        <v>177600</v>
      </c>
      <c r="M5" s="59">
        <f t="shared" si="3"/>
        <v>186300</v>
      </c>
      <c r="N5" s="59">
        <f t="shared" si="3"/>
        <v>193600</v>
      </c>
      <c r="O5" s="59">
        <f t="shared" si="3"/>
        <v>200617.05767050199</v>
      </c>
      <c r="P5" s="59">
        <f t="shared" si="3"/>
        <v>207453.30719804514</v>
      </c>
      <c r="Q5" s="52"/>
      <c r="R5" s="53">
        <v>136470</v>
      </c>
      <c r="S5" s="53">
        <v>136665</v>
      </c>
      <c r="T5" s="53">
        <v>136880</v>
      </c>
      <c r="U5" s="53">
        <v>137227</v>
      </c>
      <c r="V5" s="53">
        <v>137680</v>
      </c>
      <c r="W5" s="53">
        <v>138064</v>
      </c>
      <c r="X5" s="53">
        <v>137867</v>
      </c>
      <c r="Y5" s="53">
        <v>137711</v>
      </c>
      <c r="Z5" s="53">
        <v>138749</v>
      </c>
      <c r="AA5" s="53">
        <v>139891</v>
      </c>
      <c r="AB5" s="53">
        <v>141654</v>
      </c>
      <c r="AC5" s="53">
        <v>143963</v>
      </c>
      <c r="AD5" s="53">
        <v>144530</v>
      </c>
      <c r="AE5" s="53">
        <v>144094</v>
      </c>
      <c r="AF5" s="53">
        <v>144283</v>
      </c>
      <c r="AG5" s="53">
        <v>144546</v>
      </c>
      <c r="AH5" s="53">
        <v>146969</v>
      </c>
      <c r="AI5" s="53">
        <v>150483</v>
      </c>
      <c r="AJ5" s="53">
        <v>153584</v>
      </c>
      <c r="AK5" s="53">
        <v>156947</v>
      </c>
    </row>
    <row r="6" spans="1:78" x14ac:dyDescent="0.25">
      <c r="A6" s="7"/>
      <c r="B6" s="38"/>
      <c r="C6" s="38" t="s">
        <v>129</v>
      </c>
      <c r="D6" s="38" t="s">
        <v>123</v>
      </c>
      <c r="E6" s="40" t="s">
        <v>124</v>
      </c>
      <c r="F6" s="19">
        <f t="shared" si="0"/>
        <v>933821</v>
      </c>
      <c r="G6" s="19">
        <f t="shared" si="0"/>
        <v>937926</v>
      </c>
      <c r="H6" s="19">
        <f t="shared" si="0"/>
        <v>942107</v>
      </c>
      <c r="I6" s="19">
        <f t="shared" si="0"/>
        <v>936525</v>
      </c>
      <c r="J6" s="59">
        <f t="shared" ref="J6:P6" si="4">J22</f>
        <v>967100</v>
      </c>
      <c r="K6" s="59">
        <f t="shared" si="4"/>
        <v>983900</v>
      </c>
      <c r="L6" s="59">
        <f t="shared" si="4"/>
        <v>996100</v>
      </c>
      <c r="M6" s="59">
        <f t="shared" si="4"/>
        <v>1001200</v>
      </c>
      <c r="N6" s="59">
        <f t="shared" si="4"/>
        <v>998700</v>
      </c>
      <c r="O6" s="59">
        <f t="shared" si="4"/>
        <v>1034898.0139231939</v>
      </c>
      <c r="P6" s="59">
        <f t="shared" si="4"/>
        <v>1070163.3155923949</v>
      </c>
      <c r="Q6" s="52"/>
      <c r="R6" s="53">
        <v>933821</v>
      </c>
      <c r="S6" s="53">
        <v>932494</v>
      </c>
      <c r="T6" s="53">
        <v>935179</v>
      </c>
      <c r="U6" s="53">
        <v>937717</v>
      </c>
      <c r="V6" s="53">
        <v>939664</v>
      </c>
      <c r="W6" s="53">
        <v>937926</v>
      </c>
      <c r="X6" s="53">
        <v>937882</v>
      </c>
      <c r="Y6" s="53">
        <v>935115</v>
      </c>
      <c r="Z6" s="53">
        <v>935897</v>
      </c>
      <c r="AA6" s="53">
        <v>938208</v>
      </c>
      <c r="AB6" s="53">
        <v>942107</v>
      </c>
      <c r="AC6" s="53">
        <v>944274</v>
      </c>
      <c r="AD6" s="53">
        <v>943635</v>
      </c>
      <c r="AE6" s="53">
        <v>940434</v>
      </c>
      <c r="AF6" s="53">
        <v>938545</v>
      </c>
      <c r="AG6" s="53">
        <v>936525</v>
      </c>
      <c r="AH6" s="53">
        <v>942790</v>
      </c>
      <c r="AI6" s="53">
        <v>950401</v>
      </c>
      <c r="AJ6" s="53">
        <v>959500</v>
      </c>
      <c r="AK6" s="53">
        <v>971395</v>
      </c>
    </row>
    <row r="7" spans="1:78" x14ac:dyDescent="0.25">
      <c r="A7" s="7"/>
      <c r="B7" s="38"/>
      <c r="C7" s="38" t="s">
        <v>130</v>
      </c>
      <c r="D7" s="38" t="s">
        <v>123</v>
      </c>
      <c r="E7" s="40" t="s">
        <v>124</v>
      </c>
      <c r="F7" s="19">
        <f t="shared" si="0"/>
        <v>750517</v>
      </c>
      <c r="G7" s="19">
        <f t="shared" si="0"/>
        <v>748057</v>
      </c>
      <c r="H7" s="19">
        <f t="shared" si="0"/>
        <v>753035</v>
      </c>
      <c r="I7" s="19">
        <f t="shared" si="0"/>
        <v>758842</v>
      </c>
      <c r="J7" s="59">
        <f t="shared" ref="J7:P7" si="5">J23</f>
        <v>775600</v>
      </c>
      <c r="K7" s="59">
        <f t="shared" si="5"/>
        <v>787700</v>
      </c>
      <c r="L7" s="59">
        <f t="shared" si="5"/>
        <v>796600</v>
      </c>
      <c r="M7" s="59">
        <f t="shared" si="5"/>
        <v>800300</v>
      </c>
      <c r="N7" s="59">
        <f t="shared" si="5"/>
        <v>798100</v>
      </c>
      <c r="O7" s="59">
        <f t="shared" si="5"/>
        <v>827027.24032452295</v>
      </c>
      <c r="P7" s="59">
        <f t="shared" si="5"/>
        <v>855209.11402251967</v>
      </c>
      <c r="Q7" s="52"/>
      <c r="R7" s="53">
        <v>750517</v>
      </c>
      <c r="S7" s="53">
        <v>749820</v>
      </c>
      <c r="T7" s="53">
        <v>749372</v>
      </c>
      <c r="U7" s="53">
        <v>749441</v>
      </c>
      <c r="V7" s="53">
        <v>749419</v>
      </c>
      <c r="W7" s="53">
        <v>748057</v>
      </c>
      <c r="X7" s="53">
        <v>745621</v>
      </c>
      <c r="Y7" s="53">
        <v>745433</v>
      </c>
      <c r="Z7" s="53">
        <v>746877</v>
      </c>
      <c r="AA7" s="53">
        <v>749956</v>
      </c>
      <c r="AB7" s="53">
        <v>753035</v>
      </c>
      <c r="AC7" s="53">
        <v>755705</v>
      </c>
      <c r="AD7" s="53">
        <v>758378</v>
      </c>
      <c r="AE7" s="53">
        <v>758544</v>
      </c>
      <c r="AF7" s="53">
        <v>758976</v>
      </c>
      <c r="AG7" s="53">
        <v>758842</v>
      </c>
      <c r="AH7" s="53">
        <v>763350</v>
      </c>
      <c r="AI7" s="53">
        <v>766762</v>
      </c>
      <c r="AJ7" s="53">
        <v>770921</v>
      </c>
      <c r="AK7" s="53">
        <v>776827</v>
      </c>
    </row>
    <row r="8" spans="1:78" x14ac:dyDescent="0.25">
      <c r="A8" s="7"/>
      <c r="B8" s="38"/>
      <c r="C8" s="38" t="s">
        <v>131</v>
      </c>
      <c r="D8" s="38" t="s">
        <v>123</v>
      </c>
      <c r="E8" s="40" t="s">
        <v>124</v>
      </c>
      <c r="F8" s="19">
        <f t="shared" si="0"/>
        <v>7356951</v>
      </c>
      <c r="G8" s="19">
        <f t="shared" si="0"/>
        <v>7581476</v>
      </c>
      <c r="H8" s="19">
        <f t="shared" si="0"/>
        <v>7929222</v>
      </c>
      <c r="I8" s="19">
        <f t="shared" si="0"/>
        <v>8175272</v>
      </c>
      <c r="J8" s="59">
        <f t="shared" ref="J8:P8" si="6">J24</f>
        <v>8494500</v>
      </c>
      <c r="K8" s="59">
        <f t="shared" si="6"/>
        <v>8738500</v>
      </c>
      <c r="L8" s="59">
        <f t="shared" si="6"/>
        <v>8958900</v>
      </c>
      <c r="M8" s="59">
        <f t="shared" si="6"/>
        <v>9159100</v>
      </c>
      <c r="N8" s="59">
        <f t="shared" si="6"/>
        <v>9353100</v>
      </c>
      <c r="O8" s="59">
        <f t="shared" si="6"/>
        <v>9692104.3496796079</v>
      </c>
      <c r="P8" s="59">
        <f t="shared" si="6"/>
        <v>10022373.592737788</v>
      </c>
      <c r="Q8" s="52"/>
      <c r="R8" s="53">
        <v>7356951</v>
      </c>
      <c r="S8" s="53">
        <v>7396456</v>
      </c>
      <c r="T8" s="53">
        <v>7441656</v>
      </c>
      <c r="U8" s="53">
        <v>7485753</v>
      </c>
      <c r="V8" s="53">
        <v>7535590</v>
      </c>
      <c r="W8" s="53">
        <v>7581476</v>
      </c>
      <c r="X8" s="53">
        <v>7631966</v>
      </c>
      <c r="Y8" s="53">
        <v>7692916</v>
      </c>
      <c r="Z8" s="53">
        <v>7761725</v>
      </c>
      <c r="AA8" s="53">
        <v>7843383</v>
      </c>
      <c r="AB8" s="53">
        <v>7929222</v>
      </c>
      <c r="AC8" s="53">
        <v>8005090</v>
      </c>
      <c r="AD8" s="53">
        <v>8061101</v>
      </c>
      <c r="AE8" s="53">
        <v>8110880</v>
      </c>
      <c r="AF8" s="53">
        <v>8150183</v>
      </c>
      <c r="AG8" s="53">
        <v>8175272</v>
      </c>
      <c r="AH8" s="53">
        <v>8225950</v>
      </c>
      <c r="AI8" s="53">
        <v>8298827</v>
      </c>
      <c r="AJ8" s="53">
        <v>8387632</v>
      </c>
      <c r="AK8" s="53">
        <v>8484965</v>
      </c>
    </row>
    <row r="9" spans="1:78" x14ac:dyDescent="0.25">
      <c r="A9" s="7"/>
      <c r="B9" s="38"/>
      <c r="C9" s="38" t="s">
        <v>132</v>
      </c>
      <c r="D9" s="38" t="s">
        <v>123</v>
      </c>
      <c r="E9" s="40" t="s">
        <v>124</v>
      </c>
      <c r="F9" s="19">
        <f t="shared" si="0"/>
        <v>11683290</v>
      </c>
      <c r="G9" s="19">
        <f t="shared" si="0"/>
        <v>12528663</v>
      </c>
      <c r="H9" s="19">
        <f t="shared" si="0"/>
        <v>13135778</v>
      </c>
      <c r="I9" s="19">
        <f t="shared" si="0"/>
        <v>13707118</v>
      </c>
      <c r="J9" s="59">
        <f t="shared" ref="J9:P9" si="7">J25</f>
        <v>14677900</v>
      </c>
      <c r="K9" s="59">
        <f t="shared" si="7"/>
        <v>15561600</v>
      </c>
      <c r="L9" s="59">
        <f t="shared" si="7"/>
        <v>16411599.999999998</v>
      </c>
      <c r="M9" s="59">
        <f t="shared" si="7"/>
        <v>17195100</v>
      </c>
      <c r="N9" s="59">
        <f t="shared" si="7"/>
        <v>17892000</v>
      </c>
      <c r="O9" s="59">
        <f t="shared" si="7"/>
        <v>18540497.912399907</v>
      </c>
      <c r="P9" s="59">
        <f t="shared" si="7"/>
        <v>19172286.014397848</v>
      </c>
      <c r="Q9" s="52"/>
      <c r="R9" s="53">
        <v>11683290</v>
      </c>
      <c r="S9" s="53">
        <v>11897534</v>
      </c>
      <c r="T9" s="53">
        <v>12094174</v>
      </c>
      <c r="U9" s="53">
        <v>12245039</v>
      </c>
      <c r="V9" s="53">
        <v>12391421</v>
      </c>
      <c r="W9" s="53">
        <v>12528663</v>
      </c>
      <c r="X9" s="53">
        <v>12661878</v>
      </c>
      <c r="Y9" s="53">
        <v>12764806</v>
      </c>
      <c r="Z9" s="53">
        <v>12883583</v>
      </c>
      <c r="AA9" s="53">
        <v>12998345</v>
      </c>
      <c r="AB9" s="53">
        <v>13135778</v>
      </c>
      <c r="AC9" s="53">
        <v>13261381</v>
      </c>
      <c r="AD9" s="53">
        <v>13390632</v>
      </c>
      <c r="AE9" s="53">
        <v>13510781</v>
      </c>
      <c r="AF9" s="53">
        <v>13617553</v>
      </c>
      <c r="AG9" s="53">
        <v>13707118</v>
      </c>
      <c r="AH9" s="53">
        <v>13875394</v>
      </c>
      <c r="AI9" s="53">
        <v>14072615</v>
      </c>
      <c r="AJ9" s="53">
        <v>14318545</v>
      </c>
      <c r="AK9" s="53">
        <v>14566547</v>
      </c>
    </row>
    <row r="10" spans="1:78" x14ac:dyDescent="0.25">
      <c r="A10" s="7"/>
      <c r="B10" s="38"/>
      <c r="C10" s="38" t="s">
        <v>133</v>
      </c>
      <c r="D10" s="38" t="s">
        <v>123</v>
      </c>
      <c r="E10" s="40" t="s">
        <v>124</v>
      </c>
      <c r="F10" s="19">
        <f t="shared" si="0"/>
        <v>1147313</v>
      </c>
      <c r="G10" s="19">
        <f t="shared" si="0"/>
        <v>1178264</v>
      </c>
      <c r="H10" s="19">
        <f t="shared" si="0"/>
        <v>1220780</v>
      </c>
      <c r="I10" s="19">
        <f t="shared" si="0"/>
        <v>1292227</v>
      </c>
      <c r="J10" s="59">
        <f t="shared" ref="J10:P10" si="8">J26</f>
        <v>1381900</v>
      </c>
      <c r="K10" s="59">
        <f t="shared" si="8"/>
        <v>1457800</v>
      </c>
      <c r="L10" s="59">
        <f t="shared" si="8"/>
        <v>1534800</v>
      </c>
      <c r="M10" s="59">
        <f t="shared" si="8"/>
        <v>1612800</v>
      </c>
      <c r="N10" s="59">
        <f t="shared" si="8"/>
        <v>1692500</v>
      </c>
      <c r="O10" s="59">
        <f t="shared" si="8"/>
        <v>1753844.886917999</v>
      </c>
      <c r="P10" s="59">
        <f t="shared" si="8"/>
        <v>1813609.1034746456</v>
      </c>
      <c r="Q10" s="52"/>
      <c r="R10" s="53">
        <v>1147313</v>
      </c>
      <c r="S10" s="53">
        <v>1151454</v>
      </c>
      <c r="T10" s="53">
        <v>1156680</v>
      </c>
      <c r="U10" s="53">
        <v>1163596</v>
      </c>
      <c r="V10" s="53">
        <v>1173238</v>
      </c>
      <c r="W10" s="53">
        <v>1178264</v>
      </c>
      <c r="X10" s="53">
        <v>1183562</v>
      </c>
      <c r="Y10" s="53">
        <v>1189451</v>
      </c>
      <c r="Z10" s="53">
        <v>1197775</v>
      </c>
      <c r="AA10" s="53">
        <v>1208556</v>
      </c>
      <c r="AB10" s="53">
        <v>1220780</v>
      </c>
      <c r="AC10" s="53">
        <v>1233649</v>
      </c>
      <c r="AD10" s="53">
        <v>1249975</v>
      </c>
      <c r="AE10" s="53">
        <v>1264620</v>
      </c>
      <c r="AF10" s="53">
        <v>1279014</v>
      </c>
      <c r="AG10" s="53">
        <v>1292227</v>
      </c>
      <c r="AH10" s="53">
        <v>1314139</v>
      </c>
      <c r="AI10" s="53">
        <v>1335018</v>
      </c>
      <c r="AJ10" s="53">
        <v>1353403</v>
      </c>
      <c r="AK10" s="53">
        <v>1369465</v>
      </c>
    </row>
    <row r="11" spans="1:78" x14ac:dyDescent="0.25">
      <c r="A11" s="7"/>
      <c r="B11" s="38"/>
      <c r="C11" s="38" t="s">
        <v>134</v>
      </c>
      <c r="D11" s="38" t="s">
        <v>123</v>
      </c>
      <c r="E11" s="40" t="s">
        <v>124</v>
      </c>
      <c r="F11" s="19">
        <f t="shared" si="0"/>
        <v>1007565</v>
      </c>
      <c r="G11" s="19">
        <f t="shared" si="0"/>
        <v>993500</v>
      </c>
      <c r="H11" s="19">
        <f t="shared" si="0"/>
        <v>1051443</v>
      </c>
      <c r="I11" s="19">
        <f t="shared" si="0"/>
        <v>1120967</v>
      </c>
      <c r="J11" s="59">
        <f t="shared" ref="J11:P11" si="9">J27</f>
        <v>1195100</v>
      </c>
      <c r="K11" s="59">
        <f t="shared" si="9"/>
        <v>1287000</v>
      </c>
      <c r="L11" s="59">
        <f t="shared" si="9"/>
        <v>1380400</v>
      </c>
      <c r="M11" s="59">
        <f t="shared" si="9"/>
        <v>1468800</v>
      </c>
      <c r="N11" s="59">
        <f t="shared" si="9"/>
        <v>1548700</v>
      </c>
      <c r="O11" s="59">
        <f t="shared" si="9"/>
        <v>1604832.8368507563</v>
      </c>
      <c r="P11" s="59">
        <f t="shared" si="9"/>
        <v>1659519.3019504778</v>
      </c>
      <c r="Q11" s="52"/>
      <c r="R11" s="53">
        <v>1007565</v>
      </c>
      <c r="S11" s="53">
        <v>1000239</v>
      </c>
      <c r="T11" s="53">
        <v>996807</v>
      </c>
      <c r="U11" s="53">
        <v>996386</v>
      </c>
      <c r="V11" s="53">
        <v>997283</v>
      </c>
      <c r="W11" s="53">
        <v>993500</v>
      </c>
      <c r="X11" s="53">
        <v>992314</v>
      </c>
      <c r="Y11" s="53">
        <v>1002086</v>
      </c>
      <c r="Z11" s="53">
        <v>1017404</v>
      </c>
      <c r="AA11" s="53">
        <v>1034819</v>
      </c>
      <c r="AB11" s="53">
        <v>1051443</v>
      </c>
      <c r="AC11" s="53">
        <v>1066026</v>
      </c>
      <c r="AD11" s="53">
        <v>1083755</v>
      </c>
      <c r="AE11" s="53">
        <v>1099736</v>
      </c>
      <c r="AF11" s="53">
        <v>1112979</v>
      </c>
      <c r="AG11" s="53">
        <v>1120967</v>
      </c>
      <c r="AH11" s="53">
        <v>1135987</v>
      </c>
      <c r="AI11" s="53">
        <v>1150926</v>
      </c>
      <c r="AJ11" s="53">
        <v>1162978</v>
      </c>
      <c r="AK11" s="53">
        <v>1174462</v>
      </c>
    </row>
    <row r="12" spans="1:78" x14ac:dyDescent="0.25">
      <c r="A12" s="7"/>
      <c r="B12" s="38"/>
      <c r="C12" s="38" t="s">
        <v>5</v>
      </c>
      <c r="D12" s="38" t="s">
        <v>123</v>
      </c>
      <c r="E12" s="40" t="s">
        <v>124</v>
      </c>
      <c r="F12" s="19">
        <f>INDEX($R12:$BZ12,MATCH(F$1,$R$1:$BZ$1,0))</f>
        <v>3004198</v>
      </c>
      <c r="G12" s="19">
        <f t="shared" si="0"/>
        <v>3321768</v>
      </c>
      <c r="H12" s="19">
        <f t="shared" si="0"/>
        <v>3732082</v>
      </c>
      <c r="I12" s="19">
        <f t="shared" si="0"/>
        <v>4144491</v>
      </c>
      <c r="J12" s="59">
        <f t="shared" ref="J12:P12" si="10">J28</f>
        <v>4472800</v>
      </c>
      <c r="K12" s="59">
        <f t="shared" si="10"/>
        <v>4908500</v>
      </c>
      <c r="L12" s="59">
        <f t="shared" si="10"/>
        <v>5360500</v>
      </c>
      <c r="M12" s="59">
        <f t="shared" si="10"/>
        <v>5830000</v>
      </c>
      <c r="N12" s="59">
        <f t="shared" si="10"/>
        <v>6317800</v>
      </c>
      <c r="O12" s="59">
        <f t="shared" si="10"/>
        <v>6546789.4987122808</v>
      </c>
      <c r="P12" s="59">
        <f t="shared" si="10"/>
        <v>6769878.6374783553</v>
      </c>
      <c r="Q12" s="52"/>
      <c r="R12" s="53">
        <v>3004198</v>
      </c>
      <c r="S12" s="53">
        <v>3058108</v>
      </c>
      <c r="T12" s="53">
        <v>3128429</v>
      </c>
      <c r="U12" s="53">
        <v>3183065</v>
      </c>
      <c r="V12" s="53">
        <v>3238668</v>
      </c>
      <c r="W12" s="53">
        <v>3321768</v>
      </c>
      <c r="X12" s="53">
        <v>3421434</v>
      </c>
      <c r="Y12" s="53">
        <v>3514147</v>
      </c>
      <c r="Z12" s="53">
        <v>3595856</v>
      </c>
      <c r="AA12" s="53">
        <v>3678996</v>
      </c>
      <c r="AB12" s="53">
        <v>3732082</v>
      </c>
      <c r="AC12" s="53">
        <v>3789030</v>
      </c>
      <c r="AD12" s="53">
        <v>3874548</v>
      </c>
      <c r="AE12" s="53">
        <v>3981011</v>
      </c>
      <c r="AF12" s="53">
        <v>4083648</v>
      </c>
      <c r="AG12" s="53">
        <v>4144491</v>
      </c>
      <c r="AH12" s="53">
        <v>4196061</v>
      </c>
      <c r="AI12" s="53">
        <v>4243543</v>
      </c>
      <c r="AJ12" s="53">
        <v>4300721</v>
      </c>
      <c r="AK12" s="53">
        <v>4371316</v>
      </c>
    </row>
    <row r="13" spans="1:78" x14ac:dyDescent="0.25">
      <c r="A13" s="7"/>
      <c r="B13" s="38"/>
      <c r="C13" s="38" t="s">
        <v>81</v>
      </c>
      <c r="D13" s="38" t="s">
        <v>123</v>
      </c>
      <c r="E13" s="40" t="s">
        <v>124</v>
      </c>
      <c r="F13" s="19">
        <f t="shared" ref="F13:F16" si="11">INDEX($R13:$BZ13,MATCH(F$1,$R$1:$BZ$1,0))</f>
        <v>4039230</v>
      </c>
      <c r="G13" s="19">
        <f t="shared" si="0"/>
        <v>4196062</v>
      </c>
      <c r="H13" s="19">
        <f t="shared" si="0"/>
        <v>4465546</v>
      </c>
      <c r="I13" s="19">
        <f t="shared" si="0"/>
        <v>4776388</v>
      </c>
      <c r="J13" s="59">
        <f t="shared" ref="J13:P13" si="12">J29</f>
        <v>5103500</v>
      </c>
      <c r="K13" s="59">
        <f t="shared" si="12"/>
        <v>5375800</v>
      </c>
      <c r="L13" s="59">
        <f t="shared" si="12"/>
        <v>5632900</v>
      </c>
      <c r="M13" s="59">
        <f t="shared" si="12"/>
        <v>5872900</v>
      </c>
      <c r="N13" s="59">
        <f t="shared" si="12"/>
        <v>6096400</v>
      </c>
      <c r="O13" s="59">
        <f t="shared" si="12"/>
        <v>6317364.8263556212</v>
      </c>
      <c r="P13" s="59">
        <f t="shared" si="12"/>
        <v>6532636.064060756</v>
      </c>
      <c r="Q13" s="52"/>
      <c r="R13" s="53">
        <v>4039230</v>
      </c>
      <c r="S13" s="53">
        <v>4076950</v>
      </c>
      <c r="T13" s="53">
        <v>4100564</v>
      </c>
      <c r="U13" s="53">
        <v>4124482</v>
      </c>
      <c r="V13" s="53">
        <v>4155651</v>
      </c>
      <c r="W13" s="53">
        <v>4196062</v>
      </c>
      <c r="X13" s="53">
        <v>4241794</v>
      </c>
      <c r="Y13" s="53">
        <v>4290984</v>
      </c>
      <c r="Z13" s="53">
        <v>4349336</v>
      </c>
      <c r="AA13" s="53">
        <v>4410506</v>
      </c>
      <c r="AB13" s="53">
        <v>4465546</v>
      </c>
      <c r="AC13" s="53">
        <v>4502104</v>
      </c>
      <c r="AD13" s="53">
        <v>4566769</v>
      </c>
      <c r="AE13" s="53">
        <v>4630077</v>
      </c>
      <c r="AF13" s="53">
        <v>4707103</v>
      </c>
      <c r="AG13" s="53">
        <v>4776388</v>
      </c>
      <c r="AH13" s="53">
        <v>4859250</v>
      </c>
      <c r="AI13" s="53">
        <v>4924233</v>
      </c>
      <c r="AJ13" s="53">
        <v>5001170</v>
      </c>
      <c r="AK13" s="53">
        <v>5071336</v>
      </c>
    </row>
    <row r="14" spans="1:78" x14ac:dyDescent="0.25">
      <c r="A14" s="7"/>
      <c r="B14" s="38"/>
      <c r="C14" s="38" t="s">
        <v>135</v>
      </c>
      <c r="D14" s="38" t="s">
        <v>123</v>
      </c>
      <c r="E14" s="40" t="s">
        <v>124</v>
      </c>
      <c r="F14" s="19">
        <f t="shared" si="11"/>
        <v>30431</v>
      </c>
      <c r="G14" s="19">
        <f t="shared" si="0"/>
        <v>31902</v>
      </c>
      <c r="H14" s="19">
        <f t="shared" si="0"/>
        <v>34596</v>
      </c>
      <c r="I14" s="19">
        <f t="shared" si="0"/>
        <v>37690</v>
      </c>
      <c r="J14" s="59">
        <f t="shared" ref="J14:P14" si="13">J30</f>
        <v>41300</v>
      </c>
      <c r="K14" s="59">
        <f t="shared" si="13"/>
        <v>43500</v>
      </c>
      <c r="L14" s="59">
        <f t="shared" si="13"/>
        <v>45400</v>
      </c>
      <c r="M14" s="59">
        <f t="shared" si="13"/>
        <v>47000</v>
      </c>
      <c r="N14" s="59">
        <f t="shared" si="13"/>
        <v>48300</v>
      </c>
      <c r="O14" s="59">
        <f t="shared" si="13"/>
        <v>50050.63990436594</v>
      </c>
      <c r="P14" s="59">
        <f t="shared" si="13"/>
        <v>51756.171165627995</v>
      </c>
      <c r="Q14" s="52"/>
      <c r="R14" s="53">
        <v>30431</v>
      </c>
      <c r="S14" s="53">
        <v>30158</v>
      </c>
      <c r="T14" s="53">
        <v>30336</v>
      </c>
      <c r="U14" s="53">
        <v>30941</v>
      </c>
      <c r="V14" s="53">
        <v>31455</v>
      </c>
      <c r="W14" s="53">
        <v>31902</v>
      </c>
      <c r="X14" s="53">
        <v>32272</v>
      </c>
      <c r="Y14" s="53">
        <v>32554</v>
      </c>
      <c r="Z14" s="53">
        <v>33083</v>
      </c>
      <c r="AA14" s="53">
        <v>33731</v>
      </c>
      <c r="AB14" s="53">
        <v>34596</v>
      </c>
      <c r="AC14" s="53">
        <v>35411</v>
      </c>
      <c r="AD14" s="53">
        <v>36234</v>
      </c>
      <c r="AE14" s="53">
        <v>36521</v>
      </c>
      <c r="AF14" s="53">
        <v>37137</v>
      </c>
      <c r="AG14" s="53">
        <v>37690</v>
      </c>
      <c r="AH14" s="53">
        <v>38547</v>
      </c>
      <c r="AI14" s="53">
        <v>39690</v>
      </c>
      <c r="AJ14" s="53">
        <v>40612</v>
      </c>
      <c r="AK14" s="53">
        <v>40854</v>
      </c>
    </row>
    <row r="15" spans="1:78" x14ac:dyDescent="0.25">
      <c r="A15" s="7"/>
      <c r="B15" s="38"/>
      <c r="C15" s="38" t="s">
        <v>137</v>
      </c>
      <c r="D15" s="38" t="s">
        <v>123</v>
      </c>
      <c r="E15" s="40" t="s">
        <v>124</v>
      </c>
      <c r="F15" s="19">
        <f t="shared" si="11"/>
        <v>40480</v>
      </c>
      <c r="G15" s="19">
        <f t="shared" si="0"/>
        <v>43400</v>
      </c>
      <c r="H15" s="19">
        <f t="shared" si="0"/>
        <v>43285</v>
      </c>
      <c r="I15" s="19">
        <f t="shared" si="0"/>
        <v>44237</v>
      </c>
      <c r="J15" s="59">
        <f t="shared" ref="J15:P15" si="14">J31</f>
        <v>45100</v>
      </c>
      <c r="K15" s="59">
        <f t="shared" si="14"/>
        <v>46400</v>
      </c>
      <c r="L15" s="59">
        <f t="shared" si="14"/>
        <v>47400</v>
      </c>
      <c r="M15" s="59">
        <f t="shared" si="14"/>
        <v>48200</v>
      </c>
      <c r="N15" s="59">
        <f t="shared" si="14"/>
        <v>48600</v>
      </c>
      <c r="O15" s="59">
        <f t="shared" si="14"/>
        <v>50361.513444144613</v>
      </c>
      <c r="P15" s="59">
        <f t="shared" si="14"/>
        <v>52077.638067277854</v>
      </c>
      <c r="Q15" s="52"/>
      <c r="R15" s="53">
        <v>40480</v>
      </c>
      <c r="S15" s="53">
        <v>40845</v>
      </c>
      <c r="T15" s="53">
        <v>41699</v>
      </c>
      <c r="U15" s="53">
        <v>42600</v>
      </c>
      <c r="V15" s="53">
        <v>43306</v>
      </c>
      <c r="W15" s="53">
        <v>43400</v>
      </c>
      <c r="X15" s="53">
        <v>43179</v>
      </c>
      <c r="Y15" s="53">
        <v>43372</v>
      </c>
      <c r="Z15" s="53">
        <v>43360</v>
      </c>
      <c r="AA15" s="53">
        <v>43156</v>
      </c>
      <c r="AB15" s="53">
        <v>43285</v>
      </c>
      <c r="AC15" s="53">
        <v>43504</v>
      </c>
      <c r="AD15" s="53">
        <v>43648</v>
      </c>
      <c r="AE15" s="53">
        <v>43805</v>
      </c>
      <c r="AF15" s="53">
        <v>43884</v>
      </c>
      <c r="AG15" s="53">
        <v>44237</v>
      </c>
      <c r="AH15" s="53">
        <v>44649</v>
      </c>
      <c r="AI15" s="53">
        <v>44908</v>
      </c>
      <c r="AJ15" s="53">
        <v>44956</v>
      </c>
      <c r="AK15" s="53">
        <v>44826</v>
      </c>
    </row>
    <row r="16" spans="1:78" x14ac:dyDescent="0.25">
      <c r="A16" s="7"/>
      <c r="B16" s="38"/>
      <c r="C16" s="38" t="s">
        <v>136</v>
      </c>
      <c r="D16" s="38" t="s">
        <v>123</v>
      </c>
      <c r="E16" s="40" t="s">
        <v>124</v>
      </c>
      <c r="F16" s="19">
        <f t="shared" si="11"/>
        <v>27498</v>
      </c>
      <c r="G16" s="19">
        <f t="shared" si="0"/>
        <v>30339</v>
      </c>
      <c r="H16" s="19">
        <f t="shared" si="0"/>
        <v>33352</v>
      </c>
      <c r="I16" s="19">
        <f t="shared" si="0"/>
        <v>36488</v>
      </c>
      <c r="J16" s="59">
        <f t="shared" ref="J16:P16" si="15">J32</f>
        <v>39300</v>
      </c>
      <c r="K16" s="59">
        <f t="shared" si="15"/>
        <v>41600</v>
      </c>
      <c r="L16" s="59">
        <f t="shared" si="15"/>
        <v>43900</v>
      </c>
      <c r="M16" s="59">
        <f t="shared" si="15"/>
        <v>46400</v>
      </c>
      <c r="N16" s="59">
        <f t="shared" si="15"/>
        <v>48800</v>
      </c>
      <c r="O16" s="59">
        <f t="shared" si="15"/>
        <v>50568.762470663722</v>
      </c>
      <c r="P16" s="59">
        <f t="shared" si="15"/>
        <v>52291.949335044432</v>
      </c>
      <c r="Q16" s="52"/>
      <c r="R16" s="53">
        <v>27498</v>
      </c>
      <c r="S16" s="53">
        <v>28133</v>
      </c>
      <c r="T16" s="53">
        <v>28822</v>
      </c>
      <c r="U16" s="53">
        <v>29322</v>
      </c>
      <c r="V16" s="53">
        <v>29857</v>
      </c>
      <c r="W16" s="53">
        <v>30339</v>
      </c>
      <c r="X16" s="53">
        <v>30813</v>
      </c>
      <c r="Y16" s="53">
        <v>31395</v>
      </c>
      <c r="Z16" s="53">
        <v>31892</v>
      </c>
      <c r="AA16" s="53">
        <v>32597</v>
      </c>
      <c r="AB16" s="53">
        <v>33352</v>
      </c>
      <c r="AC16" s="53">
        <v>34192</v>
      </c>
      <c r="AD16" s="53">
        <v>34672</v>
      </c>
      <c r="AE16" s="53">
        <v>35337</v>
      </c>
      <c r="AF16" s="53">
        <v>35971</v>
      </c>
      <c r="AG16" s="53">
        <v>36488</v>
      </c>
      <c r="AH16" s="53">
        <v>36975</v>
      </c>
      <c r="AI16" s="53">
        <v>37559</v>
      </c>
      <c r="AJ16" s="53">
        <v>38139</v>
      </c>
      <c r="AK16" s="53">
        <v>38780</v>
      </c>
    </row>
    <row r="17" spans="1:78" x14ac:dyDescent="0.25">
      <c r="A17" s="7"/>
      <c r="B17" s="38"/>
      <c r="C17" s="38"/>
      <c r="D17" s="38"/>
      <c r="E17" s="40"/>
      <c r="F17" s="19"/>
      <c r="G17" s="19"/>
      <c r="H17" s="19"/>
      <c r="I17" s="19"/>
      <c r="Q17" s="52"/>
    </row>
    <row r="18" spans="1:78" x14ac:dyDescent="0.25">
      <c r="A18" s="7"/>
      <c r="B18" s="38"/>
      <c r="C18" s="38"/>
      <c r="D18" s="38"/>
      <c r="E18" s="40"/>
      <c r="F18" s="19"/>
      <c r="G18" s="19"/>
      <c r="H18" s="19"/>
      <c r="I18" s="19"/>
      <c r="Q18" s="52"/>
    </row>
    <row r="19" spans="1:78" x14ac:dyDescent="0.25">
      <c r="A19" s="7"/>
      <c r="B19" s="5" t="s">
        <v>141</v>
      </c>
      <c r="C19" s="38" t="s">
        <v>64</v>
      </c>
      <c r="D19" s="38" t="s">
        <v>123</v>
      </c>
      <c r="E19" s="56" t="s">
        <v>138</v>
      </c>
      <c r="F19" s="5"/>
      <c r="G19" s="5"/>
      <c r="H19" s="5"/>
      <c r="I19" s="5"/>
      <c r="J19" s="19">
        <f t="shared" ref="J19:P32" si="16">INDEX($R19:$BZ19,MATCH(J$1,$R$1:$BZ$1,0))</f>
        <v>37873700</v>
      </c>
      <c r="K19" s="19">
        <f t="shared" si="16"/>
        <v>39913500</v>
      </c>
      <c r="L19" s="19">
        <f t="shared" si="16"/>
        <v>41888100</v>
      </c>
      <c r="M19" s="19">
        <f t="shared" si="16"/>
        <v>43755500</v>
      </c>
      <c r="N19" s="19">
        <f t="shared" si="16"/>
        <v>45506800</v>
      </c>
      <c r="O19" s="19">
        <f t="shared" si="16"/>
        <v>47156200</v>
      </c>
      <c r="P19" s="19">
        <f t="shared" si="16"/>
        <v>48763100</v>
      </c>
      <c r="Q19" s="52"/>
      <c r="AJ19" s="53">
        <v>37058900</v>
      </c>
      <c r="AK19" s="53">
        <v>37466800</v>
      </c>
      <c r="AL19" s="53">
        <v>37873700</v>
      </c>
      <c r="AM19" s="53">
        <v>38284600</v>
      </c>
      <c r="AN19" s="53">
        <v>38694300</v>
      </c>
      <c r="AO19" s="53">
        <v>39102600</v>
      </c>
      <c r="AP19" s="53">
        <v>39509100</v>
      </c>
      <c r="AQ19" s="53">
        <v>39913500</v>
      </c>
      <c r="AR19" s="53">
        <v>40315200</v>
      </c>
      <c r="AS19" s="53">
        <v>40713900</v>
      </c>
      <c r="AT19" s="53">
        <v>41109200</v>
      </c>
      <c r="AU19" s="53">
        <v>41500700</v>
      </c>
      <c r="AV19" s="53">
        <v>41888100</v>
      </c>
      <c r="AW19" s="53">
        <v>42271000</v>
      </c>
      <c r="AX19" s="53">
        <v>42649300</v>
      </c>
      <c r="AY19" s="53">
        <v>43022800</v>
      </c>
      <c r="AZ19" s="53">
        <v>43391500</v>
      </c>
      <c r="BA19" s="53">
        <v>43755500</v>
      </c>
      <c r="BB19" s="53">
        <v>44114700</v>
      </c>
      <c r="BC19" s="53">
        <v>44469400</v>
      </c>
      <c r="BD19" s="53">
        <v>44819500</v>
      </c>
      <c r="BE19" s="53">
        <v>45165300</v>
      </c>
      <c r="BF19" s="53">
        <v>45506800</v>
      </c>
      <c r="BG19" s="53">
        <v>45843900</v>
      </c>
      <c r="BH19" s="53">
        <v>46176900</v>
      </c>
      <c r="BI19" s="53">
        <v>46505600</v>
      </c>
      <c r="BJ19" s="53">
        <v>46831800</v>
      </c>
      <c r="BK19" s="53">
        <v>47156200</v>
      </c>
      <c r="BL19" s="53">
        <v>47479100</v>
      </c>
      <c r="BM19" s="53">
        <v>47800800</v>
      </c>
      <c r="BN19" s="53">
        <v>48121700</v>
      </c>
      <c r="BO19" s="53">
        <v>48442300</v>
      </c>
      <c r="BP19" s="53">
        <v>48763100</v>
      </c>
      <c r="BQ19" s="53">
        <v>49084700</v>
      </c>
      <c r="BR19" s="53">
        <v>49407900</v>
      </c>
      <c r="BS19" s="53">
        <v>49733200</v>
      </c>
      <c r="BT19" s="53">
        <v>50061400</v>
      </c>
      <c r="BU19" s="53">
        <v>50393200</v>
      </c>
      <c r="BV19" s="53">
        <v>50729200</v>
      </c>
      <c r="BW19" s="53">
        <v>51070000</v>
      </c>
      <c r="BX19" s="53">
        <v>51416000</v>
      </c>
      <c r="BY19" s="53">
        <v>51767600</v>
      </c>
      <c r="BZ19" s="53">
        <v>52125000</v>
      </c>
    </row>
    <row r="20" spans="1:78" x14ac:dyDescent="0.25">
      <c r="A20" s="7"/>
      <c r="B20" s="5"/>
      <c r="C20" s="38" t="s">
        <v>127</v>
      </c>
      <c r="D20" s="38" t="s">
        <v>123</v>
      </c>
      <c r="E20" s="56" t="s">
        <v>138</v>
      </c>
      <c r="F20" s="5"/>
      <c r="G20" s="5"/>
      <c r="H20" s="5"/>
      <c r="I20" s="5"/>
      <c r="J20" s="19">
        <f t="shared" si="16"/>
        <v>522299.99999999994</v>
      </c>
      <c r="K20" s="19">
        <f t="shared" si="16"/>
        <v>513400</v>
      </c>
      <c r="L20" s="19">
        <f t="shared" si="16"/>
        <v>502000</v>
      </c>
      <c r="M20" s="19">
        <f t="shared" si="16"/>
        <v>487400</v>
      </c>
      <c r="N20" s="19">
        <f t="shared" si="16"/>
        <v>470100</v>
      </c>
      <c r="O20" s="57">
        <f>$N20*O$19/$N$19</f>
        <v>487138.83683317655</v>
      </c>
      <c r="P20" s="57">
        <f t="shared" ref="P20:P32" si="17">$N20*P$19/$N$19</f>
        <v>503738.63488533581</v>
      </c>
      <c r="Q20" s="52"/>
      <c r="AJ20" s="53">
        <v>525400</v>
      </c>
      <c r="AK20" s="53">
        <v>523900</v>
      </c>
      <c r="AL20" s="53">
        <v>522299.99999999994</v>
      </c>
      <c r="AM20" s="53">
        <v>520600</v>
      </c>
      <c r="AN20" s="53">
        <v>518900</v>
      </c>
      <c r="AO20" s="53">
        <v>517200.00000000006</v>
      </c>
      <c r="AP20" s="53">
        <v>515299.99999999994</v>
      </c>
      <c r="AQ20" s="53">
        <v>513400</v>
      </c>
      <c r="AR20" s="53">
        <v>511300</v>
      </c>
      <c r="AS20" s="53">
        <v>509200</v>
      </c>
      <c r="AT20" s="53">
        <v>506900</v>
      </c>
      <c r="AU20" s="53">
        <v>504500</v>
      </c>
      <c r="AV20" s="53">
        <v>502000</v>
      </c>
      <c r="AW20" s="53">
        <v>499300</v>
      </c>
      <c r="AX20" s="53">
        <v>496500</v>
      </c>
      <c r="AY20" s="53">
        <v>493600</v>
      </c>
      <c r="AZ20" s="53">
        <v>490600</v>
      </c>
      <c r="BA20" s="53">
        <v>487400</v>
      </c>
      <c r="BB20" s="53">
        <v>484200</v>
      </c>
      <c r="BC20" s="53">
        <v>480800</v>
      </c>
      <c r="BD20" s="53">
        <v>477300</v>
      </c>
      <c r="BE20" s="53">
        <v>473700</v>
      </c>
      <c r="BF20" s="53">
        <v>470100</v>
      </c>
      <c r="BG20" s="53">
        <v>466300</v>
      </c>
      <c r="BH20" s="53">
        <v>462500</v>
      </c>
      <c r="BQ20" s="53"/>
      <c r="BR20" s="53"/>
      <c r="BS20" s="53"/>
      <c r="BT20" s="53"/>
      <c r="BU20" s="53"/>
      <c r="BV20" s="53"/>
      <c r="BW20" s="53"/>
      <c r="BX20" s="53"/>
      <c r="BY20" s="53"/>
      <c r="BZ20" s="53"/>
    </row>
    <row r="21" spans="1:78" x14ac:dyDescent="0.25">
      <c r="A21" s="7"/>
      <c r="B21" s="5"/>
      <c r="C21" s="38" t="s">
        <v>128</v>
      </c>
      <c r="D21" s="38" t="s">
        <v>123</v>
      </c>
      <c r="E21" s="56" t="s">
        <v>138</v>
      </c>
      <c r="F21" s="5"/>
      <c r="G21" s="5"/>
      <c r="H21" s="5"/>
      <c r="I21" s="5"/>
      <c r="J21" s="19">
        <f t="shared" si="16"/>
        <v>157400</v>
      </c>
      <c r="K21" s="19">
        <f t="shared" si="16"/>
        <v>167800</v>
      </c>
      <c r="L21" s="19">
        <f t="shared" si="16"/>
        <v>177600</v>
      </c>
      <c r="M21" s="19">
        <f t="shared" si="16"/>
        <v>186300</v>
      </c>
      <c r="N21" s="19">
        <f t="shared" si="16"/>
        <v>193600</v>
      </c>
      <c r="O21" s="57">
        <f t="shared" ref="O21:O32" si="18">$N21*O$19/$N$19</f>
        <v>200617.05767050199</v>
      </c>
      <c r="P21" s="57">
        <f t="shared" si="17"/>
        <v>207453.30719804514</v>
      </c>
      <c r="Q21" s="52"/>
      <c r="AJ21" s="53">
        <v>153200</v>
      </c>
      <c r="AK21" s="53">
        <v>155300</v>
      </c>
      <c r="AL21" s="53">
        <v>157400</v>
      </c>
      <c r="AM21" s="53">
        <v>159500</v>
      </c>
      <c r="AN21" s="53">
        <v>161600</v>
      </c>
      <c r="AO21" s="53">
        <v>163700</v>
      </c>
      <c r="AP21" s="53">
        <v>165800</v>
      </c>
      <c r="AQ21" s="53">
        <v>167800</v>
      </c>
      <c r="AR21" s="53">
        <v>169900</v>
      </c>
      <c r="AS21" s="53">
        <v>171900</v>
      </c>
      <c r="AT21" s="53">
        <v>173800</v>
      </c>
      <c r="AU21" s="53">
        <v>175800</v>
      </c>
      <c r="AV21" s="53">
        <v>177600</v>
      </c>
      <c r="AW21" s="53">
        <v>179500</v>
      </c>
      <c r="AX21" s="53">
        <v>181200</v>
      </c>
      <c r="AY21" s="53">
        <v>183000</v>
      </c>
      <c r="AZ21" s="53">
        <v>184700</v>
      </c>
      <c r="BA21" s="53">
        <v>186300</v>
      </c>
      <c r="BB21" s="53">
        <v>187900</v>
      </c>
      <c r="BC21" s="53">
        <v>189400</v>
      </c>
      <c r="BD21" s="53">
        <v>190900</v>
      </c>
      <c r="BE21" s="53">
        <v>192300</v>
      </c>
      <c r="BF21" s="53">
        <v>193600</v>
      </c>
      <c r="BG21" s="53">
        <v>194900</v>
      </c>
      <c r="BH21" s="53">
        <v>196200</v>
      </c>
      <c r="BQ21" s="53"/>
      <c r="BR21" s="53"/>
      <c r="BS21" s="53"/>
      <c r="BT21" s="53"/>
      <c r="BU21" s="53"/>
      <c r="BV21" s="53"/>
      <c r="BW21" s="53"/>
      <c r="BX21" s="53"/>
      <c r="BY21" s="53"/>
      <c r="BZ21" s="53"/>
    </row>
    <row r="22" spans="1:78" x14ac:dyDescent="0.25">
      <c r="A22" s="7"/>
      <c r="B22" s="5"/>
      <c r="C22" s="38" t="s">
        <v>129</v>
      </c>
      <c r="D22" s="38" t="s">
        <v>123</v>
      </c>
      <c r="E22" s="56" t="s">
        <v>138</v>
      </c>
      <c r="F22" s="5"/>
      <c r="G22" s="5"/>
      <c r="H22" s="5"/>
      <c r="I22" s="5"/>
      <c r="J22" s="19">
        <f t="shared" si="16"/>
        <v>967100</v>
      </c>
      <c r="K22" s="19">
        <f t="shared" si="16"/>
        <v>983900</v>
      </c>
      <c r="L22" s="19">
        <f t="shared" si="16"/>
        <v>996100</v>
      </c>
      <c r="M22" s="19">
        <f t="shared" si="16"/>
        <v>1001200</v>
      </c>
      <c r="N22" s="19">
        <f t="shared" si="16"/>
        <v>998700</v>
      </c>
      <c r="O22" s="57">
        <f t="shared" si="18"/>
        <v>1034898.0139231939</v>
      </c>
      <c r="P22" s="57">
        <f t="shared" si="17"/>
        <v>1070163.3155923949</v>
      </c>
      <c r="Q22" s="52"/>
      <c r="AJ22" s="53">
        <v>959900</v>
      </c>
      <c r="AK22" s="53">
        <v>963500</v>
      </c>
      <c r="AL22" s="53">
        <v>967100</v>
      </c>
      <c r="AM22" s="53">
        <v>970600</v>
      </c>
      <c r="AN22" s="53">
        <v>974100</v>
      </c>
      <c r="AO22" s="53">
        <v>977500</v>
      </c>
      <c r="AP22" s="53">
        <v>980800</v>
      </c>
      <c r="AQ22" s="53">
        <v>983900</v>
      </c>
      <c r="AR22" s="53">
        <v>986800</v>
      </c>
      <c r="AS22" s="53">
        <v>989500</v>
      </c>
      <c r="AT22" s="53">
        <v>992000</v>
      </c>
      <c r="AU22" s="53">
        <v>994200</v>
      </c>
      <c r="AV22" s="53">
        <v>996100</v>
      </c>
      <c r="AW22" s="53">
        <v>997800</v>
      </c>
      <c r="AX22" s="53">
        <v>999100</v>
      </c>
      <c r="AY22" s="53">
        <v>1000100</v>
      </c>
      <c r="AZ22" s="53">
        <v>1000800</v>
      </c>
      <c r="BA22" s="53">
        <v>1001200</v>
      </c>
      <c r="BB22" s="53">
        <v>1001300</v>
      </c>
      <c r="BC22" s="53">
        <v>1001100</v>
      </c>
      <c r="BD22" s="53">
        <v>1000600</v>
      </c>
      <c r="BE22" s="53">
        <v>999800</v>
      </c>
      <c r="BF22" s="53">
        <v>998700</v>
      </c>
      <c r="BG22" s="53">
        <v>997400</v>
      </c>
      <c r="BH22" s="53">
        <v>995700</v>
      </c>
      <c r="BQ22" s="53"/>
      <c r="BR22" s="53"/>
      <c r="BS22" s="53"/>
      <c r="BT22" s="53"/>
      <c r="BU22" s="53"/>
      <c r="BV22" s="53"/>
      <c r="BW22" s="53"/>
      <c r="BX22" s="53"/>
      <c r="BY22" s="53"/>
      <c r="BZ22" s="53"/>
    </row>
    <row r="23" spans="1:78" x14ac:dyDescent="0.25">
      <c r="A23" s="7"/>
      <c r="B23" s="5"/>
      <c r="C23" s="38" t="s">
        <v>130</v>
      </c>
      <c r="D23" s="38" t="s">
        <v>123</v>
      </c>
      <c r="E23" s="56" t="s">
        <v>138</v>
      </c>
      <c r="F23" s="5"/>
      <c r="G23" s="5"/>
      <c r="H23" s="5"/>
      <c r="I23" s="5"/>
      <c r="J23" s="19">
        <f t="shared" si="16"/>
        <v>775600</v>
      </c>
      <c r="K23" s="19">
        <f t="shared" si="16"/>
        <v>787700</v>
      </c>
      <c r="L23" s="19">
        <f t="shared" si="16"/>
        <v>796600</v>
      </c>
      <c r="M23" s="19">
        <f t="shared" si="16"/>
        <v>800300</v>
      </c>
      <c r="N23" s="19">
        <f t="shared" si="16"/>
        <v>798100</v>
      </c>
      <c r="O23" s="57">
        <f t="shared" si="18"/>
        <v>827027.24032452295</v>
      </c>
      <c r="P23" s="57">
        <f t="shared" si="17"/>
        <v>855209.11402251967</v>
      </c>
      <c r="Q23" s="52"/>
      <c r="AJ23" s="53">
        <v>770600</v>
      </c>
      <c r="AK23" s="53">
        <v>773100</v>
      </c>
      <c r="AL23" s="53">
        <v>775600</v>
      </c>
      <c r="AM23" s="53">
        <v>778100</v>
      </c>
      <c r="AN23" s="53">
        <v>780600</v>
      </c>
      <c r="AO23" s="53">
        <v>783100</v>
      </c>
      <c r="AP23" s="53">
        <v>785500</v>
      </c>
      <c r="AQ23" s="53">
        <v>787700</v>
      </c>
      <c r="AR23" s="53">
        <v>789800</v>
      </c>
      <c r="AS23" s="53">
        <v>791800</v>
      </c>
      <c r="AT23" s="53">
        <v>793600</v>
      </c>
      <c r="AU23" s="53">
        <v>795200</v>
      </c>
      <c r="AV23" s="53">
        <v>796600</v>
      </c>
      <c r="AW23" s="53">
        <v>797800</v>
      </c>
      <c r="AX23" s="53">
        <v>798700</v>
      </c>
      <c r="AY23" s="53">
        <v>799500</v>
      </c>
      <c r="AZ23" s="53">
        <v>800000</v>
      </c>
      <c r="BA23" s="53">
        <v>800300</v>
      </c>
      <c r="BB23" s="53">
        <v>800300</v>
      </c>
      <c r="BC23" s="53">
        <v>800100</v>
      </c>
      <c r="BD23" s="53">
        <v>799700</v>
      </c>
      <c r="BE23" s="53">
        <v>799000</v>
      </c>
      <c r="BF23" s="53">
        <v>798100</v>
      </c>
      <c r="BG23" s="53">
        <v>797000</v>
      </c>
      <c r="BH23" s="53">
        <v>795600</v>
      </c>
      <c r="BQ23" s="53"/>
      <c r="BR23" s="53"/>
      <c r="BS23" s="53"/>
      <c r="BT23" s="53"/>
      <c r="BU23" s="53"/>
      <c r="BV23" s="53"/>
      <c r="BW23" s="53"/>
      <c r="BX23" s="53"/>
      <c r="BY23" s="53"/>
      <c r="BZ23" s="53"/>
    </row>
    <row r="24" spans="1:78" x14ac:dyDescent="0.25">
      <c r="A24" s="7"/>
      <c r="B24" s="5"/>
      <c r="C24" s="38" t="s">
        <v>131</v>
      </c>
      <c r="D24" s="38" t="s">
        <v>123</v>
      </c>
      <c r="E24" s="56" t="s">
        <v>138</v>
      </c>
      <c r="F24" s="5"/>
      <c r="G24" s="5"/>
      <c r="H24" s="5"/>
      <c r="I24" s="5"/>
      <c r="J24" s="19">
        <f t="shared" si="16"/>
        <v>8494500</v>
      </c>
      <c r="K24" s="19">
        <f t="shared" si="16"/>
        <v>8738500</v>
      </c>
      <c r="L24" s="19">
        <f t="shared" si="16"/>
        <v>8958900</v>
      </c>
      <c r="M24" s="19">
        <f t="shared" si="16"/>
        <v>9159100</v>
      </c>
      <c r="N24" s="19">
        <f t="shared" si="16"/>
        <v>9353100</v>
      </c>
      <c r="O24" s="57">
        <f t="shared" si="18"/>
        <v>9692104.3496796079</v>
      </c>
      <c r="P24" s="57">
        <f t="shared" si="17"/>
        <v>10022373.592737788</v>
      </c>
      <c r="Q24" s="52"/>
      <c r="AJ24" s="53">
        <v>8390500</v>
      </c>
      <c r="AK24" s="53">
        <v>8443200</v>
      </c>
      <c r="AL24" s="53">
        <v>8494500</v>
      </c>
      <c r="AM24" s="53">
        <v>8545300</v>
      </c>
      <c r="AN24" s="53">
        <v>8595000</v>
      </c>
      <c r="AO24" s="53">
        <v>8643800</v>
      </c>
      <c r="AP24" s="53">
        <v>8691600</v>
      </c>
      <c r="AQ24" s="53">
        <v>8738500</v>
      </c>
      <c r="AR24" s="53">
        <v>8784500</v>
      </c>
      <c r="AS24" s="53">
        <v>8829500</v>
      </c>
      <c r="AT24" s="53">
        <v>8873600</v>
      </c>
      <c r="AU24" s="53">
        <v>8916700</v>
      </c>
      <c r="AV24" s="53">
        <v>8958900</v>
      </c>
      <c r="AW24" s="53">
        <v>9000300</v>
      </c>
      <c r="AX24" s="53">
        <v>9040800</v>
      </c>
      <c r="AY24" s="53">
        <v>9080700</v>
      </c>
      <c r="AZ24" s="53">
        <v>9120100</v>
      </c>
      <c r="BA24" s="53">
        <v>9159100</v>
      </c>
      <c r="BB24" s="53">
        <v>9197800</v>
      </c>
      <c r="BC24" s="53">
        <v>9236500</v>
      </c>
      <c r="BD24" s="53">
        <v>9275200</v>
      </c>
      <c r="BE24" s="53">
        <v>9314000</v>
      </c>
      <c r="BF24" s="53">
        <v>9353100</v>
      </c>
      <c r="BG24" s="53">
        <v>9392500</v>
      </c>
      <c r="BH24" s="53">
        <v>9432200</v>
      </c>
      <c r="BQ24" s="53"/>
      <c r="BR24" s="53"/>
      <c r="BS24" s="53"/>
      <c r="BT24" s="53"/>
      <c r="BU24" s="53"/>
      <c r="BV24" s="53"/>
      <c r="BW24" s="53"/>
      <c r="BX24" s="53"/>
      <c r="BY24" s="53"/>
      <c r="BZ24" s="53"/>
    </row>
    <row r="25" spans="1:78" x14ac:dyDescent="0.25">
      <c r="A25" s="7"/>
      <c r="B25" s="5"/>
      <c r="C25" s="38" t="s">
        <v>132</v>
      </c>
      <c r="D25" s="38" t="s">
        <v>123</v>
      </c>
      <c r="E25" s="56" t="s">
        <v>138</v>
      </c>
      <c r="F25" s="5"/>
      <c r="G25" s="5"/>
      <c r="H25" s="5"/>
      <c r="I25" s="5"/>
      <c r="J25" s="19">
        <f t="shared" si="16"/>
        <v>14677900</v>
      </c>
      <c r="K25" s="19">
        <f t="shared" si="16"/>
        <v>15561600</v>
      </c>
      <c r="L25" s="19">
        <f t="shared" si="16"/>
        <v>16411599.999999998</v>
      </c>
      <c r="M25" s="19">
        <f t="shared" si="16"/>
        <v>17195100</v>
      </c>
      <c r="N25" s="19">
        <f t="shared" si="16"/>
        <v>17892000</v>
      </c>
      <c r="O25" s="57">
        <f t="shared" si="18"/>
        <v>18540497.912399907</v>
      </c>
      <c r="P25" s="57">
        <f t="shared" si="17"/>
        <v>19172286.014397848</v>
      </c>
      <c r="Q25" s="52"/>
      <c r="AJ25" s="53">
        <v>14322800</v>
      </c>
      <c r="AK25" s="53">
        <v>14501100</v>
      </c>
      <c r="AL25" s="53">
        <v>14677900</v>
      </c>
      <c r="AM25" s="53">
        <v>14856200</v>
      </c>
      <c r="AN25" s="53">
        <v>15033700</v>
      </c>
      <c r="AO25" s="53">
        <v>15210600</v>
      </c>
      <c r="AP25" s="53">
        <v>15386600</v>
      </c>
      <c r="AQ25" s="53">
        <v>15561600</v>
      </c>
      <c r="AR25" s="53">
        <v>15735300</v>
      </c>
      <c r="AS25" s="53">
        <v>15907500</v>
      </c>
      <c r="AT25" s="53">
        <v>16077800</v>
      </c>
      <c r="AU25" s="53">
        <v>16245900</v>
      </c>
      <c r="AV25" s="53">
        <v>16411599.999999998</v>
      </c>
      <c r="AW25" s="53">
        <v>16574500</v>
      </c>
      <c r="AX25" s="53">
        <v>16734500</v>
      </c>
      <c r="AY25" s="53">
        <v>16891400</v>
      </c>
      <c r="AZ25" s="53">
        <v>17044900</v>
      </c>
      <c r="BA25" s="53">
        <v>17195100</v>
      </c>
      <c r="BB25" s="53">
        <v>17341700</v>
      </c>
      <c r="BC25" s="53">
        <v>17484800</v>
      </c>
      <c r="BD25" s="53">
        <v>17624200</v>
      </c>
      <c r="BE25" s="53">
        <v>17759900</v>
      </c>
      <c r="BF25" s="53">
        <v>17892000</v>
      </c>
      <c r="BG25" s="53">
        <v>18020200</v>
      </c>
      <c r="BH25" s="53">
        <v>18144600</v>
      </c>
      <c r="BQ25" s="53"/>
      <c r="BR25" s="53"/>
      <c r="BS25" s="53"/>
      <c r="BT25" s="53"/>
      <c r="BU25" s="53"/>
      <c r="BV25" s="53"/>
      <c r="BW25" s="53"/>
      <c r="BX25" s="53"/>
      <c r="BY25" s="53"/>
      <c r="BZ25" s="53"/>
    </row>
    <row r="26" spans="1:78" x14ac:dyDescent="0.25">
      <c r="A26" s="7"/>
      <c r="B26" s="5"/>
      <c r="C26" s="38" t="s">
        <v>133</v>
      </c>
      <c r="D26" s="38" t="s">
        <v>123</v>
      </c>
      <c r="E26" s="56" t="s">
        <v>138</v>
      </c>
      <c r="F26" s="5"/>
      <c r="G26" s="5"/>
      <c r="H26" s="5"/>
      <c r="I26" s="5"/>
      <c r="J26" s="19">
        <f t="shared" si="16"/>
        <v>1381900</v>
      </c>
      <c r="K26" s="19">
        <f t="shared" si="16"/>
        <v>1457800</v>
      </c>
      <c r="L26" s="19">
        <f t="shared" si="16"/>
        <v>1534800</v>
      </c>
      <c r="M26" s="19">
        <f t="shared" si="16"/>
        <v>1612800</v>
      </c>
      <c r="N26" s="19">
        <f t="shared" si="16"/>
        <v>1692500</v>
      </c>
      <c r="O26" s="57">
        <f t="shared" si="18"/>
        <v>1753844.886917999</v>
      </c>
      <c r="P26" s="57">
        <f t="shared" si="17"/>
        <v>1813609.1034746456</v>
      </c>
      <c r="Q26" s="52"/>
      <c r="AJ26" s="53">
        <v>1352200</v>
      </c>
      <c r="AK26" s="53">
        <v>1367000</v>
      </c>
      <c r="AL26" s="53">
        <v>1381900</v>
      </c>
      <c r="AM26" s="53">
        <v>1397000</v>
      </c>
      <c r="AN26" s="53">
        <v>1412100</v>
      </c>
      <c r="AO26" s="53">
        <v>1427300</v>
      </c>
      <c r="AP26" s="53">
        <v>1442500</v>
      </c>
      <c r="AQ26" s="53">
        <v>1457800</v>
      </c>
      <c r="AR26" s="53">
        <v>1473100</v>
      </c>
      <c r="AS26" s="53">
        <v>1488500</v>
      </c>
      <c r="AT26" s="53">
        <v>1503900</v>
      </c>
      <c r="AU26" s="53">
        <v>1519300</v>
      </c>
      <c r="AV26" s="53">
        <v>1534800</v>
      </c>
      <c r="AW26" s="53">
        <v>1550300</v>
      </c>
      <c r="AX26" s="53">
        <v>1565900</v>
      </c>
      <c r="AY26" s="53">
        <v>1581500</v>
      </c>
      <c r="AZ26" s="53">
        <v>1597100</v>
      </c>
      <c r="BA26" s="53">
        <v>1612800</v>
      </c>
      <c r="BB26" s="53">
        <v>1628600</v>
      </c>
      <c r="BC26" s="53">
        <v>1644500</v>
      </c>
      <c r="BD26" s="53">
        <v>1660400</v>
      </c>
      <c r="BE26" s="53">
        <v>1676400</v>
      </c>
      <c r="BF26" s="53">
        <v>1692500</v>
      </c>
      <c r="BG26" s="53">
        <v>1708700</v>
      </c>
      <c r="BH26" s="53">
        <v>1725000</v>
      </c>
      <c r="BQ26" s="53"/>
      <c r="BR26" s="53"/>
      <c r="BS26" s="53"/>
      <c r="BT26" s="53"/>
      <c r="BU26" s="53"/>
      <c r="BV26" s="53"/>
      <c r="BW26" s="53"/>
      <c r="BX26" s="53"/>
      <c r="BY26" s="53"/>
      <c r="BZ26" s="53"/>
    </row>
    <row r="27" spans="1:78" x14ac:dyDescent="0.25">
      <c r="A27" s="7"/>
      <c r="B27" s="5"/>
      <c r="C27" s="38" t="s">
        <v>134</v>
      </c>
      <c r="D27" s="38" t="s">
        <v>123</v>
      </c>
      <c r="E27" s="56" t="s">
        <v>138</v>
      </c>
      <c r="F27" s="5"/>
      <c r="G27" s="5"/>
      <c r="H27" s="5"/>
      <c r="I27" s="5"/>
      <c r="J27" s="19">
        <f t="shared" si="16"/>
        <v>1195100</v>
      </c>
      <c r="K27" s="19">
        <f t="shared" si="16"/>
        <v>1287000</v>
      </c>
      <c r="L27" s="19">
        <f t="shared" si="16"/>
        <v>1380400</v>
      </c>
      <c r="M27" s="19">
        <f t="shared" si="16"/>
        <v>1468800</v>
      </c>
      <c r="N27" s="19">
        <f t="shared" si="16"/>
        <v>1548700</v>
      </c>
      <c r="O27" s="57">
        <f t="shared" si="18"/>
        <v>1604832.8368507563</v>
      </c>
      <c r="P27" s="57">
        <f t="shared" si="17"/>
        <v>1659519.3019504778</v>
      </c>
      <c r="Q27" s="52"/>
      <c r="AJ27" s="53">
        <v>1162100</v>
      </c>
      <c r="AK27" s="53">
        <v>1178200</v>
      </c>
      <c r="AL27" s="53">
        <v>1195100</v>
      </c>
      <c r="AM27" s="53">
        <v>1212900</v>
      </c>
      <c r="AN27" s="53">
        <v>1231100</v>
      </c>
      <c r="AO27" s="53">
        <v>1249500</v>
      </c>
      <c r="AP27" s="53">
        <v>1268200</v>
      </c>
      <c r="AQ27" s="53">
        <v>1287000</v>
      </c>
      <c r="AR27" s="53">
        <v>1305800</v>
      </c>
      <c r="AS27" s="53">
        <v>1324600</v>
      </c>
      <c r="AT27" s="53">
        <v>1343300</v>
      </c>
      <c r="AU27" s="53">
        <v>1361900</v>
      </c>
      <c r="AV27" s="53">
        <v>1380400</v>
      </c>
      <c r="AW27" s="53">
        <v>1398600</v>
      </c>
      <c r="AX27" s="53">
        <v>1416600</v>
      </c>
      <c r="AY27" s="53">
        <v>1434300</v>
      </c>
      <c r="AZ27" s="53">
        <v>1451700</v>
      </c>
      <c r="BA27" s="53">
        <v>1468800</v>
      </c>
      <c r="BB27" s="53">
        <v>1485600</v>
      </c>
      <c r="BC27" s="53">
        <v>1501900</v>
      </c>
      <c r="BD27" s="53">
        <v>1517900</v>
      </c>
      <c r="BE27" s="53">
        <v>1533500</v>
      </c>
      <c r="BF27" s="53">
        <v>1548700</v>
      </c>
      <c r="BG27" s="53">
        <v>1563400</v>
      </c>
      <c r="BH27" s="53">
        <v>1577500</v>
      </c>
      <c r="BQ27" s="53"/>
      <c r="BR27" s="53"/>
      <c r="BS27" s="53"/>
      <c r="BT27" s="53"/>
      <c r="BU27" s="53"/>
      <c r="BV27" s="53"/>
      <c r="BW27" s="53"/>
      <c r="BX27" s="53"/>
      <c r="BY27" s="53"/>
      <c r="BZ27" s="53"/>
    </row>
    <row r="28" spans="1:78" x14ac:dyDescent="0.25">
      <c r="A28" s="7"/>
      <c r="B28" s="5"/>
      <c r="C28" s="38" t="s">
        <v>5</v>
      </c>
      <c r="D28" s="38" t="s">
        <v>123</v>
      </c>
      <c r="E28" s="56" t="s">
        <v>138</v>
      </c>
      <c r="F28" s="5"/>
      <c r="G28" s="5"/>
      <c r="H28" s="5"/>
      <c r="I28" s="5"/>
      <c r="J28" s="19">
        <f t="shared" si="16"/>
        <v>4472800</v>
      </c>
      <c r="K28" s="19">
        <f t="shared" si="16"/>
        <v>4908500</v>
      </c>
      <c r="L28" s="19">
        <f t="shared" si="16"/>
        <v>5360500</v>
      </c>
      <c r="M28" s="19">
        <f t="shared" si="16"/>
        <v>5830000</v>
      </c>
      <c r="N28" s="19">
        <f t="shared" si="16"/>
        <v>6317800</v>
      </c>
      <c r="O28" s="57">
        <f t="shared" si="18"/>
        <v>6546789.4987122808</v>
      </c>
      <c r="P28" s="57">
        <f t="shared" si="17"/>
        <v>6769878.6374783553</v>
      </c>
      <c r="Q28" s="52"/>
      <c r="AJ28" s="53">
        <v>4307100</v>
      </c>
      <c r="AK28" s="53">
        <v>4389000</v>
      </c>
      <c r="AL28" s="53">
        <v>4472800</v>
      </c>
      <c r="AM28" s="53">
        <v>4558400</v>
      </c>
      <c r="AN28" s="53">
        <v>4644900</v>
      </c>
      <c r="AO28" s="53">
        <v>4732100</v>
      </c>
      <c r="AP28" s="53">
        <v>4820000</v>
      </c>
      <c r="AQ28" s="53">
        <v>4908500</v>
      </c>
      <c r="AR28" s="53">
        <v>4997600</v>
      </c>
      <c r="AS28" s="53">
        <v>5087300</v>
      </c>
      <c r="AT28" s="53">
        <v>5177700</v>
      </c>
      <c r="AU28" s="53">
        <v>5268700</v>
      </c>
      <c r="AV28" s="53">
        <v>5360500</v>
      </c>
      <c r="AW28" s="53">
        <v>5453000</v>
      </c>
      <c r="AX28" s="53">
        <v>5546200</v>
      </c>
      <c r="AY28" s="53">
        <v>5640100</v>
      </c>
      <c r="AZ28" s="53">
        <v>5734700</v>
      </c>
      <c r="BA28" s="53">
        <v>5830000</v>
      </c>
      <c r="BB28" s="53">
        <v>5926100</v>
      </c>
      <c r="BC28" s="53">
        <v>6022900</v>
      </c>
      <c r="BD28" s="53">
        <v>6120500</v>
      </c>
      <c r="BE28" s="53">
        <v>6218800</v>
      </c>
      <c r="BF28" s="53">
        <v>6317800</v>
      </c>
      <c r="BG28" s="53">
        <v>6417600</v>
      </c>
      <c r="BH28" s="53">
        <v>6518100</v>
      </c>
      <c r="BQ28" s="53"/>
      <c r="BR28" s="53"/>
      <c r="BS28" s="53"/>
      <c r="BT28" s="53"/>
      <c r="BU28" s="53"/>
      <c r="BV28" s="53"/>
      <c r="BW28" s="53"/>
      <c r="BX28" s="53"/>
      <c r="BY28" s="53"/>
      <c r="BZ28" s="53"/>
    </row>
    <row r="29" spans="1:78" x14ac:dyDescent="0.25">
      <c r="A29" s="7"/>
      <c r="B29" s="5"/>
      <c r="C29" s="38" t="s">
        <v>81</v>
      </c>
      <c r="D29" s="38" t="s">
        <v>123</v>
      </c>
      <c r="E29" s="56" t="s">
        <v>138</v>
      </c>
      <c r="F29" s="5"/>
      <c r="G29" s="5"/>
      <c r="H29" s="5"/>
      <c r="I29" s="5"/>
      <c r="J29" s="19">
        <f t="shared" si="16"/>
        <v>5103500</v>
      </c>
      <c r="K29" s="19">
        <f t="shared" si="16"/>
        <v>5375800</v>
      </c>
      <c r="L29" s="19">
        <f t="shared" si="16"/>
        <v>5632900</v>
      </c>
      <c r="M29" s="19">
        <f t="shared" si="16"/>
        <v>5872900</v>
      </c>
      <c r="N29" s="19">
        <f t="shared" si="16"/>
        <v>6096400</v>
      </c>
      <c r="O29" s="57">
        <f t="shared" si="18"/>
        <v>6317364.8263556212</v>
      </c>
      <c r="P29" s="57">
        <f t="shared" si="17"/>
        <v>6532636.064060756</v>
      </c>
      <c r="Q29" s="52"/>
      <c r="AJ29" s="53">
        <v>4991700</v>
      </c>
      <c r="AK29" s="53">
        <v>5048000</v>
      </c>
      <c r="AL29" s="53">
        <v>5103500</v>
      </c>
      <c r="AM29" s="53">
        <v>5159100</v>
      </c>
      <c r="AN29" s="53">
        <v>5214100</v>
      </c>
      <c r="AO29" s="53">
        <v>5268600</v>
      </c>
      <c r="AP29" s="53">
        <v>5322500</v>
      </c>
      <c r="AQ29" s="53">
        <v>5375800</v>
      </c>
      <c r="AR29" s="53">
        <v>5428500</v>
      </c>
      <c r="AS29" s="53">
        <v>5480600</v>
      </c>
      <c r="AT29" s="53">
        <v>5532000</v>
      </c>
      <c r="AU29" s="53">
        <v>5582800</v>
      </c>
      <c r="AV29" s="53">
        <v>5632900</v>
      </c>
      <c r="AW29" s="53">
        <v>5682300</v>
      </c>
      <c r="AX29" s="53">
        <v>5731000</v>
      </c>
      <c r="AY29" s="53">
        <v>5779000</v>
      </c>
      <c r="AZ29" s="53">
        <v>5826300</v>
      </c>
      <c r="BA29" s="53">
        <v>5872900</v>
      </c>
      <c r="BB29" s="53">
        <v>5918800</v>
      </c>
      <c r="BC29" s="53">
        <v>5964100</v>
      </c>
      <c r="BD29" s="53">
        <v>6008800</v>
      </c>
      <c r="BE29" s="53">
        <v>6052900</v>
      </c>
      <c r="BF29" s="53">
        <v>6096400</v>
      </c>
      <c r="BG29" s="53">
        <v>6139500</v>
      </c>
      <c r="BH29" s="53">
        <v>6182100</v>
      </c>
      <c r="BQ29" s="53"/>
      <c r="BR29" s="53"/>
      <c r="BS29" s="53"/>
      <c r="BT29" s="53"/>
      <c r="BU29" s="53"/>
      <c r="BV29" s="53"/>
      <c r="BW29" s="53"/>
      <c r="BX29" s="53"/>
      <c r="BY29" s="53"/>
      <c r="BZ29" s="53"/>
    </row>
    <row r="30" spans="1:78" x14ac:dyDescent="0.25">
      <c r="A30" s="7"/>
      <c r="B30" s="5"/>
      <c r="C30" s="38" t="s">
        <v>135</v>
      </c>
      <c r="D30" s="38" t="s">
        <v>123</v>
      </c>
      <c r="E30" s="56" t="s">
        <v>138</v>
      </c>
      <c r="F30" s="5"/>
      <c r="G30" s="5"/>
      <c r="H30" s="5"/>
      <c r="I30" s="5"/>
      <c r="J30" s="19">
        <f t="shared" si="16"/>
        <v>41300</v>
      </c>
      <c r="K30" s="19">
        <f t="shared" si="16"/>
        <v>43500</v>
      </c>
      <c r="L30" s="19">
        <f t="shared" si="16"/>
        <v>45400</v>
      </c>
      <c r="M30" s="19">
        <f t="shared" si="16"/>
        <v>47000</v>
      </c>
      <c r="N30" s="19">
        <f t="shared" si="16"/>
        <v>48300</v>
      </c>
      <c r="O30" s="57">
        <f t="shared" si="18"/>
        <v>50050.63990436594</v>
      </c>
      <c r="P30" s="57">
        <f t="shared" si="17"/>
        <v>51756.171165627995</v>
      </c>
      <c r="Q30" s="52"/>
      <c r="AJ30" s="53">
        <v>40500</v>
      </c>
      <c r="AK30" s="53">
        <v>40900</v>
      </c>
      <c r="AL30" s="53">
        <v>41300</v>
      </c>
      <c r="AM30" s="53">
        <v>41800</v>
      </c>
      <c r="AN30" s="53">
        <v>42200</v>
      </c>
      <c r="AO30" s="53">
        <v>42600</v>
      </c>
      <c r="AP30" s="53">
        <v>43100</v>
      </c>
      <c r="AQ30" s="53">
        <v>43500</v>
      </c>
      <c r="AR30" s="53">
        <v>43900</v>
      </c>
      <c r="AS30" s="53">
        <v>44300</v>
      </c>
      <c r="AT30" s="53">
        <v>44600</v>
      </c>
      <c r="AU30" s="53">
        <v>45000</v>
      </c>
      <c r="AV30" s="53">
        <v>45400</v>
      </c>
      <c r="AW30" s="53">
        <v>45700</v>
      </c>
      <c r="AX30" s="53">
        <v>46000</v>
      </c>
      <c r="AY30" s="53">
        <v>46400</v>
      </c>
      <c r="AZ30" s="53">
        <v>46700</v>
      </c>
      <c r="BA30" s="53">
        <v>47000</v>
      </c>
      <c r="BB30" s="53">
        <v>47300</v>
      </c>
      <c r="BC30" s="53">
        <v>47600</v>
      </c>
      <c r="BD30" s="53">
        <v>47800</v>
      </c>
      <c r="BE30" s="53">
        <v>48100</v>
      </c>
      <c r="BF30" s="53">
        <v>48300</v>
      </c>
      <c r="BG30" s="53">
        <v>48600</v>
      </c>
      <c r="BH30" s="53">
        <v>48800</v>
      </c>
      <c r="BQ30" s="53"/>
      <c r="BR30" s="53"/>
      <c r="BS30" s="53"/>
      <c r="BT30" s="53"/>
      <c r="BU30" s="53"/>
      <c r="BV30" s="53"/>
      <c r="BW30" s="53"/>
      <c r="BX30" s="53"/>
      <c r="BY30" s="53"/>
      <c r="BZ30" s="53"/>
    </row>
    <row r="31" spans="1:78" x14ac:dyDescent="0.25">
      <c r="A31" s="7"/>
      <c r="B31" s="5"/>
      <c r="C31" s="38" t="s">
        <v>137</v>
      </c>
      <c r="D31" s="38" t="s">
        <v>123</v>
      </c>
      <c r="E31" s="56" t="s">
        <v>138</v>
      </c>
      <c r="F31" s="5"/>
      <c r="G31" s="5"/>
      <c r="H31" s="5"/>
      <c r="I31" s="5"/>
      <c r="J31" s="19">
        <f t="shared" si="16"/>
        <v>45100</v>
      </c>
      <c r="K31" s="19">
        <f t="shared" si="16"/>
        <v>46400</v>
      </c>
      <c r="L31" s="19">
        <f t="shared" si="16"/>
        <v>47400</v>
      </c>
      <c r="M31" s="19">
        <f t="shared" si="16"/>
        <v>48200</v>
      </c>
      <c r="N31" s="19">
        <f t="shared" si="16"/>
        <v>48600</v>
      </c>
      <c r="O31" s="57">
        <f t="shared" si="18"/>
        <v>50361.513444144613</v>
      </c>
      <c r="P31" s="57">
        <f t="shared" si="17"/>
        <v>52077.638067277854</v>
      </c>
      <c r="Q31" s="52"/>
      <c r="AJ31" s="53">
        <v>44500</v>
      </c>
      <c r="AK31" s="53">
        <v>44800</v>
      </c>
      <c r="AL31" s="53">
        <v>45100</v>
      </c>
      <c r="AM31" s="53">
        <v>45300</v>
      </c>
      <c r="AN31" s="53">
        <v>45600</v>
      </c>
      <c r="AO31" s="53">
        <v>45900</v>
      </c>
      <c r="AP31" s="53">
        <v>46100</v>
      </c>
      <c r="AQ31" s="53">
        <v>46400</v>
      </c>
      <c r="AR31" s="53">
        <v>46600</v>
      </c>
      <c r="AS31" s="53">
        <v>46800</v>
      </c>
      <c r="AT31" s="53">
        <v>47000</v>
      </c>
      <c r="AU31" s="53">
        <v>47200</v>
      </c>
      <c r="AV31" s="53">
        <v>47400</v>
      </c>
      <c r="AW31" s="53">
        <v>47600</v>
      </c>
      <c r="AX31" s="53">
        <v>47800</v>
      </c>
      <c r="AY31" s="53">
        <v>47900</v>
      </c>
      <c r="AZ31" s="53">
        <v>48100</v>
      </c>
      <c r="BA31" s="53">
        <v>48200</v>
      </c>
      <c r="BB31" s="53">
        <v>48300</v>
      </c>
      <c r="BC31" s="53">
        <v>48400</v>
      </c>
      <c r="BD31" s="53">
        <v>48500</v>
      </c>
      <c r="BE31" s="53">
        <v>48500</v>
      </c>
      <c r="BF31" s="53">
        <v>48600</v>
      </c>
      <c r="BG31" s="53">
        <v>48600</v>
      </c>
      <c r="BH31" s="53">
        <v>48600</v>
      </c>
      <c r="BQ31" s="53"/>
      <c r="BR31" s="53"/>
      <c r="BS31" s="53"/>
      <c r="BT31" s="53"/>
      <c r="BU31" s="53"/>
      <c r="BV31" s="53"/>
      <c r="BW31" s="53"/>
      <c r="BX31" s="53"/>
      <c r="BY31" s="53"/>
      <c r="BZ31" s="53"/>
    </row>
    <row r="32" spans="1:78" x14ac:dyDescent="0.25">
      <c r="A32" s="7"/>
      <c r="B32" s="5"/>
      <c r="C32" s="38" t="s">
        <v>136</v>
      </c>
      <c r="D32" s="38" t="s">
        <v>123</v>
      </c>
      <c r="E32" s="56" t="s">
        <v>138</v>
      </c>
      <c r="F32" s="5"/>
      <c r="G32" s="5"/>
      <c r="H32" s="5"/>
      <c r="I32" s="5"/>
      <c r="J32" s="19">
        <f t="shared" si="16"/>
        <v>39300</v>
      </c>
      <c r="K32" s="19">
        <f t="shared" si="16"/>
        <v>41600</v>
      </c>
      <c r="L32" s="19">
        <f t="shared" si="16"/>
        <v>43900</v>
      </c>
      <c r="M32" s="19">
        <f t="shared" si="16"/>
        <v>46400</v>
      </c>
      <c r="N32" s="19">
        <f t="shared" si="16"/>
        <v>48800</v>
      </c>
      <c r="O32" s="57">
        <f t="shared" si="18"/>
        <v>50568.762470663722</v>
      </c>
      <c r="P32" s="57">
        <f t="shared" si="17"/>
        <v>52291.949335044432</v>
      </c>
      <c r="Q32" s="52"/>
      <c r="AJ32" s="53">
        <v>38400</v>
      </c>
      <c r="AK32" s="53">
        <v>38900</v>
      </c>
      <c r="AL32" s="53">
        <v>39300</v>
      </c>
      <c r="AM32" s="53">
        <v>39800</v>
      </c>
      <c r="AN32" s="53">
        <v>40200</v>
      </c>
      <c r="AO32" s="53">
        <v>40700</v>
      </c>
      <c r="AP32" s="53">
        <v>41200</v>
      </c>
      <c r="AQ32" s="53">
        <v>41600</v>
      </c>
      <c r="AR32" s="53">
        <v>42100</v>
      </c>
      <c r="AS32" s="53">
        <v>42500</v>
      </c>
      <c r="AT32" s="53">
        <v>43000</v>
      </c>
      <c r="AU32" s="53">
        <v>43400</v>
      </c>
      <c r="AV32" s="53">
        <v>43900</v>
      </c>
      <c r="AW32" s="53">
        <v>44400</v>
      </c>
      <c r="AX32" s="53">
        <v>44900</v>
      </c>
      <c r="AY32" s="53">
        <v>45400</v>
      </c>
      <c r="AZ32" s="53">
        <v>45900</v>
      </c>
      <c r="BA32" s="53">
        <v>46400</v>
      </c>
      <c r="BB32" s="53">
        <v>46800</v>
      </c>
      <c r="BC32" s="53">
        <v>47300</v>
      </c>
      <c r="BD32" s="53">
        <v>47800</v>
      </c>
      <c r="BE32" s="53">
        <v>48300</v>
      </c>
      <c r="BF32" s="53">
        <v>48800</v>
      </c>
      <c r="BG32" s="53">
        <v>49300</v>
      </c>
      <c r="BH32" s="53">
        <v>49800</v>
      </c>
      <c r="BQ32" s="53"/>
      <c r="BR32" s="53"/>
      <c r="BS32" s="53"/>
      <c r="BT32" s="53"/>
      <c r="BU32" s="53"/>
      <c r="BV32" s="53"/>
      <c r="BW32" s="53"/>
      <c r="BX32" s="53"/>
      <c r="BY32" s="53"/>
      <c r="BZ32" s="53"/>
    </row>
    <row r="33" spans="1:17" x14ac:dyDescent="0.25">
      <c r="A33" s="7"/>
      <c r="B33" s="5"/>
      <c r="C33" s="5"/>
      <c r="D33" s="5"/>
      <c r="E33" s="16"/>
      <c r="F33" s="5"/>
      <c r="G33" s="5"/>
      <c r="H33" s="5"/>
      <c r="I33" s="5"/>
      <c r="J33" s="47"/>
      <c r="K33" s="47"/>
      <c r="L33" s="47"/>
      <c r="M33" s="47"/>
      <c r="N33" s="47"/>
      <c r="O33" s="47"/>
      <c r="P33" s="47"/>
      <c r="Q33" s="52"/>
    </row>
    <row r="34" spans="1:17" x14ac:dyDescent="0.25">
      <c r="A34" s="7"/>
      <c r="B34" s="5"/>
      <c r="C34" s="5"/>
      <c r="D34" s="5"/>
      <c r="E34" s="16"/>
      <c r="F34" s="5"/>
      <c r="G34" s="5"/>
      <c r="H34" s="5"/>
      <c r="I34" s="5"/>
      <c r="J34" s="47"/>
      <c r="K34" s="47"/>
      <c r="L34" s="47"/>
      <c r="M34" s="47"/>
      <c r="N34" s="47"/>
      <c r="O34" s="47"/>
      <c r="P34" s="47"/>
      <c r="Q34" s="52"/>
    </row>
    <row r="35" spans="1:17" x14ac:dyDescent="0.25">
      <c r="A35" s="7"/>
      <c r="B35" s="5" t="s">
        <v>140</v>
      </c>
      <c r="C35" s="38" t="s">
        <v>64</v>
      </c>
      <c r="D35" s="38" t="s">
        <v>139</v>
      </c>
      <c r="E35" s="18" t="s">
        <v>125</v>
      </c>
      <c r="F35" s="43"/>
      <c r="G35" s="60">
        <f>(G3/F3)^(1/5)-1</f>
        <v>9.9545387219122095E-3</v>
      </c>
      <c r="H35" s="60">
        <f t="shared" ref="H35:P35" si="19">(H3/G3)^(1/5)-1</f>
        <v>1.069276116045037E-2</v>
      </c>
      <c r="I35" s="60">
        <f t="shared" si="19"/>
        <v>9.7932094088573063E-3</v>
      </c>
      <c r="J35" s="60">
        <f t="shared" si="19"/>
        <v>1.1874913081660665E-2</v>
      </c>
      <c r="K35" s="60">
        <f t="shared" si="19"/>
        <v>1.054676367092533E-2</v>
      </c>
      <c r="L35" s="60">
        <f t="shared" si="19"/>
        <v>9.7042163883949151E-3</v>
      </c>
      <c r="M35" s="60">
        <f t="shared" si="19"/>
        <v>8.7612656083213558E-3</v>
      </c>
      <c r="N35" s="60">
        <f t="shared" si="19"/>
        <v>7.8797725083630255E-3</v>
      </c>
      <c r="O35" s="60">
        <f t="shared" si="19"/>
        <v>7.1461588604009307E-3</v>
      </c>
      <c r="P35" s="60">
        <f t="shared" si="19"/>
        <v>6.7241832107722832E-3</v>
      </c>
      <c r="Q35" s="52"/>
    </row>
    <row r="36" spans="1:17" x14ac:dyDescent="0.25">
      <c r="A36" s="7"/>
      <c r="B36" s="5"/>
      <c r="C36" s="38" t="s">
        <v>127</v>
      </c>
      <c r="D36" s="38" t="s">
        <v>139</v>
      </c>
      <c r="E36" s="18" t="s">
        <v>125</v>
      </c>
      <c r="F36" s="43"/>
      <c r="G36" s="60">
        <f t="shared" ref="G36:P36" si="20">(G4/F4)^(1/5)-1</f>
        <v>-5.2189171537836421E-3</v>
      </c>
      <c r="H36" s="60">
        <f t="shared" si="20"/>
        <v>2.9675660871815168E-3</v>
      </c>
      <c r="I36" s="60">
        <f t="shared" si="20"/>
        <v>2.329312834649544E-3</v>
      </c>
      <c r="J36" s="60">
        <f t="shared" si="20"/>
        <v>-2.2126913065653175E-3</v>
      </c>
      <c r="K36" s="60">
        <f t="shared" si="20"/>
        <v>-3.4314723963486671E-3</v>
      </c>
      <c r="L36" s="60">
        <f t="shared" si="20"/>
        <v>-4.4809601548809752E-3</v>
      </c>
      <c r="M36" s="60">
        <f t="shared" si="20"/>
        <v>-5.8856072524747782E-3</v>
      </c>
      <c r="N36" s="60">
        <f t="shared" si="20"/>
        <v>-7.2018818907896298E-3</v>
      </c>
      <c r="O36" s="60">
        <f t="shared" si="20"/>
        <v>7.1461588604009307E-3</v>
      </c>
      <c r="P36" s="60">
        <f t="shared" si="20"/>
        <v>6.7241832107722832E-3</v>
      </c>
      <c r="Q36" s="52"/>
    </row>
    <row r="37" spans="1:17" x14ac:dyDescent="0.25">
      <c r="A37" s="7"/>
      <c r="B37" s="5"/>
      <c r="C37" s="38" t="s">
        <v>128</v>
      </c>
      <c r="D37" s="38" t="s">
        <v>139</v>
      </c>
      <c r="E37" s="18" t="s">
        <v>125</v>
      </c>
      <c r="F37" s="43"/>
      <c r="G37" s="60">
        <f t="shared" ref="G37:P37" si="21">(G5/F5)^(1/5)-1</f>
        <v>2.3252062119700767E-3</v>
      </c>
      <c r="H37" s="60">
        <f t="shared" si="21"/>
        <v>5.147225428461466E-3</v>
      </c>
      <c r="I37" s="60">
        <f t="shared" si="21"/>
        <v>4.0502464677787398E-3</v>
      </c>
      <c r="J37" s="60">
        <f t="shared" si="21"/>
        <v>1.7184491309354177E-2</v>
      </c>
      <c r="K37" s="60">
        <f t="shared" si="21"/>
        <v>1.2878717066848067E-2</v>
      </c>
      <c r="L37" s="60">
        <f t="shared" si="21"/>
        <v>1.1416888135353132E-2</v>
      </c>
      <c r="M37" s="60">
        <f t="shared" si="21"/>
        <v>9.6107791580339885E-3</v>
      </c>
      <c r="N37" s="60">
        <f t="shared" si="21"/>
        <v>7.7168016660342786E-3</v>
      </c>
      <c r="O37" s="60">
        <f t="shared" si="21"/>
        <v>7.1461588604009307E-3</v>
      </c>
      <c r="P37" s="60">
        <f t="shared" si="21"/>
        <v>6.7241832107722832E-3</v>
      </c>
      <c r="Q37" s="52"/>
    </row>
    <row r="38" spans="1:17" x14ac:dyDescent="0.25">
      <c r="A38" s="7"/>
      <c r="B38" s="5"/>
      <c r="C38" s="38" t="s">
        <v>129</v>
      </c>
      <c r="D38" s="38" t="s">
        <v>139</v>
      </c>
      <c r="E38" s="18" t="s">
        <v>125</v>
      </c>
      <c r="F38" s="43"/>
      <c r="G38" s="60">
        <f t="shared" ref="G38:P38" si="22">(G6/F6)^(1/5)-1</f>
        <v>8.7764162153214365E-4</v>
      </c>
      <c r="H38" s="60">
        <f t="shared" si="22"/>
        <v>8.8995609612352311E-4</v>
      </c>
      <c r="I38" s="60">
        <f t="shared" si="22"/>
        <v>-1.1878218937966256E-3</v>
      </c>
      <c r="J38" s="60">
        <f t="shared" si="22"/>
        <v>6.4458226834105403E-3</v>
      </c>
      <c r="K38" s="60">
        <f t="shared" si="22"/>
        <v>3.4504116425735365E-3</v>
      </c>
      <c r="L38" s="60">
        <f t="shared" si="22"/>
        <v>2.4677174707286031E-3</v>
      </c>
      <c r="M38" s="60">
        <f t="shared" si="22"/>
        <v>1.021902868589164E-3</v>
      </c>
      <c r="N38" s="60">
        <f t="shared" si="22"/>
        <v>-4.9990026990875958E-4</v>
      </c>
      <c r="O38" s="60">
        <f t="shared" si="22"/>
        <v>7.1461588604009307E-3</v>
      </c>
      <c r="P38" s="60">
        <f t="shared" si="22"/>
        <v>6.7241832107722832E-3</v>
      </c>
      <c r="Q38" s="52"/>
    </row>
    <row r="39" spans="1:17" x14ac:dyDescent="0.25">
      <c r="A39" s="7"/>
      <c r="B39" s="5"/>
      <c r="C39" s="38" t="s">
        <v>130</v>
      </c>
      <c r="D39" s="38" t="s">
        <v>139</v>
      </c>
      <c r="E39" s="18" t="s">
        <v>125</v>
      </c>
      <c r="F39" s="43"/>
      <c r="G39" s="60">
        <f t="shared" ref="G39:P39" si="23">(G7/F7)^(1/5)-1</f>
        <v>-6.5640928967547474E-4</v>
      </c>
      <c r="H39" s="60">
        <f t="shared" si="23"/>
        <v>1.3273860347549071E-3</v>
      </c>
      <c r="I39" s="60">
        <f t="shared" si="23"/>
        <v>1.5375567539832602E-3</v>
      </c>
      <c r="J39" s="60">
        <f t="shared" si="23"/>
        <v>4.3782237953629011E-3</v>
      </c>
      <c r="K39" s="60">
        <f t="shared" si="23"/>
        <v>3.1008744636937813E-3</v>
      </c>
      <c r="L39" s="60">
        <f t="shared" si="23"/>
        <v>2.2495993678550708E-3</v>
      </c>
      <c r="M39" s="60">
        <f t="shared" si="23"/>
        <v>9.2722693444224902E-4</v>
      </c>
      <c r="N39" s="60">
        <f t="shared" si="23"/>
        <v>-5.5039937287038043E-4</v>
      </c>
      <c r="O39" s="60">
        <f t="shared" si="23"/>
        <v>7.1461588604009307E-3</v>
      </c>
      <c r="P39" s="60">
        <f t="shared" si="23"/>
        <v>6.7241832107722832E-3</v>
      </c>
      <c r="Q39" s="52"/>
    </row>
    <row r="40" spans="1:17" x14ac:dyDescent="0.25">
      <c r="A40" s="7"/>
      <c r="B40" s="5"/>
      <c r="C40" s="38" t="s">
        <v>131</v>
      </c>
      <c r="D40" s="38" t="s">
        <v>139</v>
      </c>
      <c r="E40" s="18" t="s">
        <v>125</v>
      </c>
      <c r="F40" s="43"/>
      <c r="G40" s="60">
        <f t="shared" ref="G40:P40" si="24">(G8/F8)^(1/5)-1</f>
        <v>6.0305757544720784E-3</v>
      </c>
      <c r="H40" s="60">
        <f t="shared" si="24"/>
        <v>9.0097493833043441E-3</v>
      </c>
      <c r="I40" s="60">
        <f t="shared" si="24"/>
        <v>6.1305284421402373E-3</v>
      </c>
      <c r="J40" s="60">
        <f t="shared" si="24"/>
        <v>7.690401767234345E-3</v>
      </c>
      <c r="K40" s="60">
        <f t="shared" si="24"/>
        <v>5.680001380246269E-3</v>
      </c>
      <c r="L40" s="60">
        <f t="shared" si="24"/>
        <v>4.9942099732189771E-3</v>
      </c>
      <c r="M40" s="60">
        <f t="shared" si="24"/>
        <v>4.4298768213724138E-3</v>
      </c>
      <c r="N40" s="60">
        <f t="shared" si="24"/>
        <v>4.2007823676668554E-3</v>
      </c>
      <c r="O40" s="60">
        <f t="shared" si="24"/>
        <v>7.1461588604009307E-3</v>
      </c>
      <c r="P40" s="60">
        <f t="shared" si="24"/>
        <v>6.7241832107722832E-3</v>
      </c>
      <c r="Q40" s="52"/>
    </row>
    <row r="41" spans="1:17" x14ac:dyDescent="0.25">
      <c r="A41" s="7"/>
      <c r="B41" s="5"/>
      <c r="C41" s="38" t="s">
        <v>132</v>
      </c>
      <c r="D41" s="38" t="s">
        <v>139</v>
      </c>
      <c r="E41" s="18" t="s">
        <v>125</v>
      </c>
      <c r="F41" s="43"/>
      <c r="G41" s="60">
        <f t="shared" ref="G41:P41" si="25">(G9/F9)^(1/5)-1</f>
        <v>1.4069951710261597E-2</v>
      </c>
      <c r="H41" s="60">
        <f t="shared" si="25"/>
        <v>9.5090450166854801E-3</v>
      </c>
      <c r="I41" s="60">
        <f t="shared" si="25"/>
        <v>8.551478269280377E-3</v>
      </c>
      <c r="J41" s="60">
        <f t="shared" si="25"/>
        <v>1.377961592086363E-2</v>
      </c>
      <c r="K41" s="60">
        <f t="shared" si="25"/>
        <v>1.1761302560298281E-2</v>
      </c>
      <c r="L41" s="60">
        <f t="shared" si="25"/>
        <v>1.0693179850291612E-2</v>
      </c>
      <c r="M41" s="60">
        <f t="shared" si="25"/>
        <v>9.3708455208736385E-3</v>
      </c>
      <c r="N41" s="60">
        <f t="shared" si="25"/>
        <v>7.9774972183463966E-3</v>
      </c>
      <c r="O41" s="60">
        <f t="shared" si="25"/>
        <v>7.1461588604009307E-3</v>
      </c>
      <c r="P41" s="60">
        <f t="shared" si="25"/>
        <v>6.7241832107722832E-3</v>
      </c>
      <c r="Q41" s="52"/>
    </row>
    <row r="42" spans="1:17" x14ac:dyDescent="0.25">
      <c r="A42" s="7"/>
      <c r="B42" s="5"/>
      <c r="C42" s="38" t="s">
        <v>133</v>
      </c>
      <c r="D42" s="38" t="s">
        <v>139</v>
      </c>
      <c r="E42" s="18" t="s">
        <v>125</v>
      </c>
      <c r="F42" s="43"/>
      <c r="G42" s="60">
        <f t="shared" ref="G42:P42" si="26">(G10/F10)^(1/5)-1</f>
        <v>5.338093533967081E-3</v>
      </c>
      <c r="H42" s="60">
        <f t="shared" si="26"/>
        <v>7.1147564544709052E-3</v>
      </c>
      <c r="I42" s="60">
        <f t="shared" si="26"/>
        <v>1.14403636533007E-2</v>
      </c>
      <c r="J42" s="60">
        <f t="shared" si="26"/>
        <v>1.3508886965546418E-2</v>
      </c>
      <c r="K42" s="60">
        <f t="shared" si="26"/>
        <v>1.075120045736111E-2</v>
      </c>
      <c r="L42" s="60">
        <f t="shared" si="26"/>
        <v>1.0347494746893116E-2</v>
      </c>
      <c r="M42" s="60">
        <f t="shared" si="26"/>
        <v>9.9636538321570267E-3</v>
      </c>
      <c r="N42" s="60">
        <f t="shared" si="26"/>
        <v>9.6936675386265492E-3</v>
      </c>
      <c r="O42" s="60">
        <f t="shared" si="26"/>
        <v>7.1461588604009307E-3</v>
      </c>
      <c r="P42" s="60">
        <f t="shared" si="26"/>
        <v>6.7241832107722832E-3</v>
      </c>
      <c r="Q42" s="52"/>
    </row>
    <row r="43" spans="1:17" x14ac:dyDescent="0.25">
      <c r="A43" s="7"/>
      <c r="B43" s="5"/>
      <c r="C43" s="38" t="s">
        <v>134</v>
      </c>
      <c r="D43" s="38" t="s">
        <v>139</v>
      </c>
      <c r="E43" s="18" t="s">
        <v>125</v>
      </c>
      <c r="F43" s="43"/>
      <c r="G43" s="60">
        <f t="shared" ref="G43:P43" si="27">(G11/F11)^(1/5)-1</f>
        <v>-2.8076004725260395E-3</v>
      </c>
      <c r="H43" s="60">
        <f t="shared" si="27"/>
        <v>1.1401451378031835E-2</v>
      </c>
      <c r="I43" s="60">
        <f t="shared" si="27"/>
        <v>1.2887983164340922E-2</v>
      </c>
      <c r="J43" s="60">
        <f t="shared" si="27"/>
        <v>1.2890000636277321E-2</v>
      </c>
      <c r="K43" s="60">
        <f t="shared" si="27"/>
        <v>1.4927126073860153E-2</v>
      </c>
      <c r="L43" s="60">
        <f t="shared" si="27"/>
        <v>1.4110503179086908E-2</v>
      </c>
      <c r="M43" s="60">
        <f t="shared" si="27"/>
        <v>1.2491865334220531E-2</v>
      </c>
      <c r="N43" s="60">
        <f t="shared" si="27"/>
        <v>1.0650341074533554E-2</v>
      </c>
      <c r="O43" s="60">
        <f t="shared" si="27"/>
        <v>7.1461588604009307E-3</v>
      </c>
      <c r="P43" s="60">
        <f t="shared" si="27"/>
        <v>6.7241832107722832E-3</v>
      </c>
      <c r="Q43" s="52"/>
    </row>
    <row r="44" spans="1:17" x14ac:dyDescent="0.25">
      <c r="A44" s="7"/>
      <c r="B44" s="5"/>
      <c r="C44" s="38" t="s">
        <v>5</v>
      </c>
      <c r="D44" s="38" t="s">
        <v>139</v>
      </c>
      <c r="E44" s="18" t="s">
        <v>125</v>
      </c>
      <c r="F44" s="43"/>
      <c r="G44" s="60">
        <f t="shared" ref="G44:P44" si="28">(G12/F12)^(1/5)-1</f>
        <v>2.0300616049666598E-2</v>
      </c>
      <c r="H44" s="60">
        <f t="shared" si="28"/>
        <v>2.3567236532474389E-2</v>
      </c>
      <c r="I44" s="60">
        <f t="shared" si="28"/>
        <v>2.1184007253333803E-2</v>
      </c>
      <c r="J44" s="60">
        <f t="shared" si="28"/>
        <v>1.5363753015578352E-2</v>
      </c>
      <c r="K44" s="60">
        <f t="shared" si="28"/>
        <v>1.8764641082132716E-2</v>
      </c>
      <c r="L44" s="60">
        <f t="shared" si="28"/>
        <v>1.7773879984306573E-2</v>
      </c>
      <c r="M44" s="60">
        <f t="shared" si="28"/>
        <v>1.693372644913671E-2</v>
      </c>
      <c r="N44" s="60">
        <f t="shared" si="28"/>
        <v>1.6200639198488354E-2</v>
      </c>
      <c r="O44" s="60">
        <f t="shared" si="28"/>
        <v>7.1461588604009307E-3</v>
      </c>
      <c r="P44" s="60">
        <f t="shared" si="28"/>
        <v>6.7241832107722832E-3</v>
      </c>
      <c r="Q44" s="52"/>
    </row>
    <row r="45" spans="1:17" x14ac:dyDescent="0.25">
      <c r="A45" s="7"/>
      <c r="B45" s="5"/>
      <c r="C45" s="38" t="s">
        <v>81</v>
      </c>
      <c r="D45" s="38" t="s">
        <v>139</v>
      </c>
      <c r="E45" s="18" t="s">
        <v>125</v>
      </c>
      <c r="F45" s="43"/>
      <c r="G45" s="60">
        <f t="shared" ref="G45:P45" si="29">(G13/F13)^(1/5)-1</f>
        <v>7.6475717673321064E-3</v>
      </c>
      <c r="H45" s="60">
        <f t="shared" si="29"/>
        <v>1.2526816395749707E-2</v>
      </c>
      <c r="I45" s="60">
        <f t="shared" si="29"/>
        <v>1.3549599164150106E-2</v>
      </c>
      <c r="J45" s="60">
        <f t="shared" si="29"/>
        <v>1.3336542117141637E-2</v>
      </c>
      <c r="K45" s="60">
        <f t="shared" si="29"/>
        <v>1.0450392130632036E-2</v>
      </c>
      <c r="L45" s="60">
        <f t="shared" si="29"/>
        <v>9.3871872537927281E-3</v>
      </c>
      <c r="M45" s="60">
        <f t="shared" si="29"/>
        <v>8.3797435527874775E-3</v>
      </c>
      <c r="N45" s="60">
        <f t="shared" si="29"/>
        <v>7.4979466190987498E-3</v>
      </c>
      <c r="O45" s="60">
        <f t="shared" si="29"/>
        <v>7.1461588604009307E-3</v>
      </c>
      <c r="P45" s="60">
        <f t="shared" si="29"/>
        <v>6.7241832107722832E-3</v>
      </c>
      <c r="Q45" s="52"/>
    </row>
    <row r="46" spans="1:17" x14ac:dyDescent="0.25">
      <c r="A46" s="7"/>
      <c r="B46" s="5"/>
      <c r="C46" s="38" t="s">
        <v>135</v>
      </c>
      <c r="D46" s="38" t="s">
        <v>139</v>
      </c>
      <c r="E46" s="18" t="s">
        <v>125</v>
      </c>
      <c r="F46" s="43"/>
      <c r="G46" s="60">
        <f t="shared" ref="G46:P46" si="30">(G14/F14)^(1/5)-1</f>
        <v>9.4860860000329783E-3</v>
      </c>
      <c r="H46" s="60">
        <f t="shared" si="30"/>
        <v>1.6346031075593404E-2</v>
      </c>
      <c r="I46" s="60">
        <f t="shared" si="30"/>
        <v>1.7278930866397202E-2</v>
      </c>
      <c r="J46" s="60">
        <f t="shared" si="30"/>
        <v>1.8461890330144337E-2</v>
      </c>
      <c r="K46" s="60">
        <f t="shared" si="30"/>
        <v>1.043374344876602E-2</v>
      </c>
      <c r="L46" s="60">
        <f t="shared" si="30"/>
        <v>8.5868910387139064E-3</v>
      </c>
      <c r="M46" s="60">
        <f t="shared" si="30"/>
        <v>6.9511471803411773E-3</v>
      </c>
      <c r="N46" s="60">
        <f t="shared" si="30"/>
        <v>5.4717071957588459E-3</v>
      </c>
      <c r="O46" s="60">
        <f t="shared" si="30"/>
        <v>7.1461588604009307E-3</v>
      </c>
      <c r="P46" s="60">
        <f t="shared" si="30"/>
        <v>6.7241832107722832E-3</v>
      </c>
      <c r="Q46" s="52"/>
    </row>
    <row r="47" spans="1:17" x14ac:dyDescent="0.25">
      <c r="A47" s="7"/>
      <c r="B47" s="5"/>
      <c r="C47" s="38" t="s">
        <v>137</v>
      </c>
      <c r="D47" s="38" t="s">
        <v>139</v>
      </c>
      <c r="E47" s="18" t="s">
        <v>125</v>
      </c>
      <c r="F47" s="43"/>
      <c r="G47" s="60">
        <f t="shared" ref="G47:P47" si="31">(G15/F15)^(1/5)-1</f>
        <v>1.4027761729257904E-2</v>
      </c>
      <c r="H47" s="60">
        <f t="shared" si="31"/>
        <v>-5.3051651404789624E-4</v>
      </c>
      <c r="I47" s="60">
        <f t="shared" si="31"/>
        <v>4.3605573447920154E-3</v>
      </c>
      <c r="J47" s="60">
        <f t="shared" si="31"/>
        <v>3.8716161230409885E-3</v>
      </c>
      <c r="K47" s="60">
        <f t="shared" si="31"/>
        <v>5.6996239451236885E-3</v>
      </c>
      <c r="L47" s="60">
        <f t="shared" si="31"/>
        <v>4.2736600436747985E-3</v>
      </c>
      <c r="M47" s="60">
        <f t="shared" si="31"/>
        <v>3.3529671317917842E-3</v>
      </c>
      <c r="N47" s="60">
        <f t="shared" si="31"/>
        <v>1.6542687653957611E-3</v>
      </c>
      <c r="O47" s="60">
        <f t="shared" si="31"/>
        <v>7.1461588604009307E-3</v>
      </c>
      <c r="P47" s="60">
        <f t="shared" si="31"/>
        <v>6.7241832107722832E-3</v>
      </c>
      <c r="Q47" s="52"/>
    </row>
    <row r="48" spans="1:17" x14ac:dyDescent="0.25">
      <c r="A48" s="7"/>
      <c r="B48" s="5"/>
      <c r="C48" s="38" t="s">
        <v>136</v>
      </c>
      <c r="D48" s="38" t="s">
        <v>139</v>
      </c>
      <c r="E48" s="18" t="s">
        <v>125</v>
      </c>
      <c r="F48" s="43"/>
      <c r="G48" s="60">
        <f t="shared" ref="G48:P48" si="32">(G16/F16)^(1/5)-1</f>
        <v>1.98587606594538E-2</v>
      </c>
      <c r="H48" s="60">
        <f t="shared" si="32"/>
        <v>1.9117182726834603E-2</v>
      </c>
      <c r="I48" s="60">
        <f t="shared" si="32"/>
        <v>1.8135628661466674E-2</v>
      </c>
      <c r="J48" s="60">
        <f t="shared" si="32"/>
        <v>1.4958998278574498E-2</v>
      </c>
      <c r="K48" s="60">
        <f t="shared" si="32"/>
        <v>1.1440072476652574E-2</v>
      </c>
      <c r="L48" s="60">
        <f t="shared" si="32"/>
        <v>1.0820958175685957E-2</v>
      </c>
      <c r="M48" s="60">
        <f t="shared" si="32"/>
        <v>1.1138605257920542E-2</v>
      </c>
      <c r="N48" s="60">
        <f t="shared" si="32"/>
        <v>1.013720758985226E-2</v>
      </c>
      <c r="O48" s="60">
        <f t="shared" si="32"/>
        <v>7.1461588604009307E-3</v>
      </c>
      <c r="P48" s="60">
        <f t="shared" si="32"/>
        <v>6.7241832107722832E-3</v>
      </c>
      <c r="Q48" s="52"/>
    </row>
    <row r="49" spans="1:68" x14ac:dyDescent="0.25">
      <c r="A49" s="7"/>
      <c r="B49" s="38"/>
      <c r="C49" s="38"/>
      <c r="D49" s="38"/>
      <c r="E49" s="18"/>
      <c r="F49" s="43"/>
      <c r="G49" s="43"/>
      <c r="H49" s="43"/>
      <c r="I49" s="43"/>
      <c r="J49" s="19"/>
      <c r="K49" s="19"/>
      <c r="L49" s="19"/>
      <c r="M49" s="19"/>
      <c r="N49" s="19"/>
      <c r="O49" s="19"/>
      <c r="P49" s="19"/>
      <c r="Q49" s="52"/>
    </row>
    <row r="50" spans="1:68" s="67" customFormat="1" ht="15.75" thickBot="1" x14ac:dyDescent="0.3">
      <c r="A50" s="61"/>
      <c r="B50" s="62"/>
      <c r="C50" s="62"/>
      <c r="D50" s="62"/>
      <c r="E50" s="63"/>
      <c r="F50" s="64"/>
      <c r="G50" s="64"/>
      <c r="H50" s="64"/>
      <c r="I50" s="64"/>
      <c r="J50" s="65"/>
      <c r="K50" s="65"/>
      <c r="L50" s="65"/>
      <c r="M50" s="65"/>
      <c r="N50" s="65"/>
      <c r="O50" s="65"/>
      <c r="P50" s="65"/>
      <c r="Q50" s="61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</row>
    <row r="51" spans="1:68" x14ac:dyDescent="0.25">
      <c r="A51" s="7"/>
      <c r="B51" s="38"/>
      <c r="C51" s="38"/>
      <c r="D51" s="38"/>
      <c r="E51" s="18"/>
      <c r="F51" s="43"/>
      <c r="G51" s="43"/>
      <c r="H51" s="43"/>
      <c r="I51" s="43"/>
      <c r="J51" s="19"/>
      <c r="K51" s="19"/>
      <c r="L51" s="19"/>
      <c r="M51" s="19"/>
      <c r="N51" s="19"/>
      <c r="O51" s="19"/>
      <c r="P51" s="19"/>
      <c r="Q51" s="52"/>
    </row>
    <row r="52" spans="1:68" x14ac:dyDescent="0.25">
      <c r="A52" s="7"/>
      <c r="B52" s="38" t="s">
        <v>55</v>
      </c>
      <c r="C52" s="38" t="s">
        <v>64</v>
      </c>
      <c r="D52" s="38" t="s">
        <v>142</v>
      </c>
      <c r="E52" s="40" t="s">
        <v>124</v>
      </c>
      <c r="F52" s="19">
        <f t="shared" ref="F52:J65" si="33">INDEX($R52:$BZ52,MATCH(F$1,$R$1:$BZ$1,0))</f>
        <v>1459303</v>
      </c>
      <c r="G52" s="19">
        <f t="shared" si="33"/>
        <v>1650884</v>
      </c>
      <c r="H52" s="19">
        <f t="shared" si="33"/>
        <v>1739847</v>
      </c>
      <c r="I52" s="19">
        <f t="shared" si="33"/>
        <v>1932903</v>
      </c>
      <c r="J52" s="57">
        <f>J$69*$I52/$I$69</f>
        <v>2141643.4253889425</v>
      </c>
      <c r="K52" s="57">
        <f t="shared" ref="K52:P52" si="34">K$69*$I52/$I$69</f>
        <v>2316572.3239389705</v>
      </c>
      <c r="L52" s="57">
        <f t="shared" si="34"/>
        <v>2525561.0785171753</v>
      </c>
      <c r="M52" s="57">
        <f t="shared" si="34"/>
        <v>2770764.330310679</v>
      </c>
      <c r="N52" s="57">
        <f t="shared" si="34"/>
        <v>3048468.9778990773</v>
      </c>
      <c r="O52" s="57">
        <f t="shared" si="34"/>
        <v>3358311.465306255</v>
      </c>
      <c r="P52" s="57">
        <f t="shared" si="34"/>
        <v>3698121.897248189</v>
      </c>
      <c r="Q52" s="52"/>
      <c r="R52" s="53">
        <v>1459303</v>
      </c>
      <c r="S52" s="53">
        <v>1480882</v>
      </c>
      <c r="T52" s="53">
        <v>1523798</v>
      </c>
      <c r="U52" s="53">
        <v>1552248</v>
      </c>
      <c r="V52" s="53">
        <v>1599109</v>
      </c>
      <c r="W52" s="53">
        <v>1650884</v>
      </c>
      <c r="X52" s="53">
        <v>1690842</v>
      </c>
      <c r="Y52" s="53">
        <v>1728715</v>
      </c>
      <c r="Z52" s="53">
        <v>1745965</v>
      </c>
      <c r="AA52" s="53">
        <v>1690588</v>
      </c>
      <c r="AB52" s="53">
        <v>1739847</v>
      </c>
      <c r="AC52" s="53">
        <v>1794205</v>
      </c>
      <c r="AD52" s="53">
        <v>1822826</v>
      </c>
      <c r="AE52" s="53">
        <v>1866725</v>
      </c>
      <c r="AF52" s="53">
        <v>1921118</v>
      </c>
      <c r="AG52" s="53">
        <v>1932903</v>
      </c>
      <c r="AH52" s="53">
        <v>1948574</v>
      </c>
      <c r="AI52" s="53">
        <v>2016000</v>
      </c>
    </row>
    <row r="53" spans="1:68" x14ac:dyDescent="0.25">
      <c r="A53" s="7"/>
      <c r="B53" s="38"/>
      <c r="C53" s="38" t="s">
        <v>127</v>
      </c>
      <c r="D53" s="38" t="s">
        <v>142</v>
      </c>
      <c r="E53" s="40" t="s">
        <v>124</v>
      </c>
      <c r="F53" s="19">
        <f t="shared" si="33"/>
        <v>24966</v>
      </c>
      <c r="G53" s="19">
        <f t="shared" si="33"/>
        <v>30675</v>
      </c>
      <c r="H53" s="19">
        <f t="shared" si="33"/>
        <v>31709</v>
      </c>
      <c r="I53" s="19">
        <f t="shared" si="33"/>
        <v>32777</v>
      </c>
      <c r="J53" s="57">
        <f>$I53/SUM($I$53:$I$65)*J$52</f>
        <v>36329.493481584082</v>
      </c>
      <c r="K53" s="57">
        <f t="shared" ref="K53:P65" si="35">$I53/SUM($I$53:$I$65)*K$52</f>
        <v>39296.877409401008</v>
      </c>
      <c r="L53" s="57">
        <f t="shared" si="35"/>
        <v>42842.031335197222</v>
      </c>
      <c r="M53" s="57">
        <f t="shared" si="35"/>
        <v>47001.505238317914</v>
      </c>
      <c r="N53" s="57">
        <f t="shared" si="35"/>
        <v>51712.312399195354</v>
      </c>
      <c r="O53" s="57">
        <f t="shared" si="35"/>
        <v>56968.285682671616</v>
      </c>
      <c r="P53" s="57">
        <f t="shared" si="35"/>
        <v>62732.616348485775</v>
      </c>
      <c r="Q53" s="52"/>
      <c r="R53" s="53">
        <v>24966</v>
      </c>
      <c r="S53" s="53">
        <v>25392</v>
      </c>
      <c r="T53" s="53">
        <v>28283</v>
      </c>
      <c r="U53" s="53">
        <v>30138</v>
      </c>
      <c r="V53" s="53">
        <v>29901</v>
      </c>
      <c r="W53" s="53">
        <v>30675</v>
      </c>
      <c r="X53" s="53">
        <v>31308</v>
      </c>
      <c r="Y53" s="53">
        <v>33976</v>
      </c>
      <c r="Z53" s="53">
        <v>33515</v>
      </c>
      <c r="AA53" s="53">
        <v>30298</v>
      </c>
      <c r="AB53" s="53">
        <v>31709</v>
      </c>
      <c r="AC53" s="53">
        <v>32998</v>
      </c>
      <c r="AD53" s="53">
        <v>32034</v>
      </c>
      <c r="AE53" s="53">
        <v>33546</v>
      </c>
      <c r="AF53" s="53">
        <v>33278</v>
      </c>
      <c r="AG53" s="53">
        <v>32777</v>
      </c>
      <c r="AH53" s="53">
        <v>34182</v>
      </c>
      <c r="AI53" s="53">
        <v>34531</v>
      </c>
    </row>
    <row r="54" spans="1:68" x14ac:dyDescent="0.25">
      <c r="A54" s="7"/>
      <c r="B54" s="38"/>
      <c r="C54" s="38" t="s">
        <v>128</v>
      </c>
      <c r="D54" s="38" t="s">
        <v>142</v>
      </c>
      <c r="E54" s="40" t="s">
        <v>124</v>
      </c>
      <c r="F54" s="19">
        <f t="shared" si="33"/>
        <v>4547</v>
      </c>
      <c r="G54" s="19">
        <f t="shared" si="33"/>
        <v>5096</v>
      </c>
      <c r="H54" s="19">
        <f t="shared" si="33"/>
        <v>5416</v>
      </c>
      <c r="I54" s="19">
        <f t="shared" si="33"/>
        <v>5846</v>
      </c>
      <c r="J54" s="57">
        <f t="shared" ref="J54:P65" si="36">$I54/SUM($I$53:$I$65)*J$52</f>
        <v>6479.6112790475208</v>
      </c>
      <c r="K54" s="57">
        <f t="shared" si="35"/>
        <v>7008.8643053164815</v>
      </c>
      <c r="L54" s="57">
        <f t="shared" si="35"/>
        <v>7641.1665248669187</v>
      </c>
      <c r="M54" s="57">
        <f t="shared" si="35"/>
        <v>8383.0368741253496</v>
      </c>
      <c r="N54" s="57">
        <f t="shared" si="35"/>
        <v>9223.2412449490821</v>
      </c>
      <c r="O54" s="57">
        <f t="shared" si="35"/>
        <v>10160.67968700303</v>
      </c>
      <c r="P54" s="57">
        <f t="shared" si="35"/>
        <v>11188.787112098358</v>
      </c>
      <c r="Q54" s="52"/>
      <c r="R54" s="53">
        <v>4547</v>
      </c>
      <c r="S54" s="53">
        <v>4481</v>
      </c>
      <c r="T54" s="53">
        <v>4663</v>
      </c>
      <c r="U54" s="53">
        <v>4784</v>
      </c>
      <c r="V54" s="53">
        <v>4939</v>
      </c>
      <c r="W54" s="53">
        <v>5096</v>
      </c>
      <c r="X54" s="53">
        <v>5234</v>
      </c>
      <c r="Y54" s="53">
        <v>5226</v>
      </c>
      <c r="Z54" s="53">
        <v>5240</v>
      </c>
      <c r="AA54" s="53">
        <v>5303</v>
      </c>
      <c r="AB54" s="53">
        <v>5416</v>
      </c>
      <c r="AC54" s="53">
        <v>5525</v>
      </c>
      <c r="AD54" s="53">
        <v>5572</v>
      </c>
      <c r="AE54" s="53">
        <v>5717</v>
      </c>
      <c r="AF54" s="53">
        <v>5735</v>
      </c>
      <c r="AG54" s="53">
        <v>5846</v>
      </c>
      <c r="AH54" s="53">
        <v>5944</v>
      </c>
      <c r="AI54" s="53">
        <v>6151</v>
      </c>
    </row>
    <row r="55" spans="1:68" x14ac:dyDescent="0.25">
      <c r="A55" s="7"/>
      <c r="B55" s="38"/>
      <c r="C55" s="38" t="s">
        <v>129</v>
      </c>
      <c r="D55" s="38" t="s">
        <v>142</v>
      </c>
      <c r="E55" s="40" t="s">
        <v>124</v>
      </c>
      <c r="F55" s="19">
        <f t="shared" si="33"/>
        <v>32641</v>
      </c>
      <c r="G55" s="19">
        <f t="shared" si="33"/>
        <v>35996</v>
      </c>
      <c r="H55" s="19">
        <f t="shared" si="33"/>
        <v>38443</v>
      </c>
      <c r="I55" s="19">
        <f t="shared" si="33"/>
        <v>38279</v>
      </c>
      <c r="J55" s="57">
        <f t="shared" si="36"/>
        <v>42427.820757896006</v>
      </c>
      <c r="K55" s="57">
        <f t="shared" si="35"/>
        <v>45893.314530141906</v>
      </c>
      <c r="L55" s="57">
        <f t="shared" si="35"/>
        <v>50033.563702596781</v>
      </c>
      <c r="M55" s="57">
        <f t="shared" si="35"/>
        <v>54891.253592994224</v>
      </c>
      <c r="N55" s="57">
        <f t="shared" si="35"/>
        <v>60392.8244295939</v>
      </c>
      <c r="O55" s="57">
        <f t="shared" si="35"/>
        <v>66531.073851999477</v>
      </c>
      <c r="P55" s="57">
        <f t="shared" si="35"/>
        <v>73263.014345537638</v>
      </c>
      <c r="Q55" s="52"/>
      <c r="R55" s="53">
        <v>32641</v>
      </c>
      <c r="S55" s="53">
        <v>33660</v>
      </c>
      <c r="T55" s="53">
        <v>34864</v>
      </c>
      <c r="U55" s="53">
        <v>35289</v>
      </c>
      <c r="V55" s="53">
        <v>35586</v>
      </c>
      <c r="W55" s="53">
        <v>35996</v>
      </c>
      <c r="X55" s="53">
        <v>36113</v>
      </c>
      <c r="Y55" s="53">
        <v>36436</v>
      </c>
      <c r="Z55" s="53">
        <v>37137</v>
      </c>
      <c r="AA55" s="53">
        <v>37295</v>
      </c>
      <c r="AB55" s="53">
        <v>38443</v>
      </c>
      <c r="AC55" s="53">
        <v>38670</v>
      </c>
      <c r="AD55" s="53">
        <v>37835</v>
      </c>
      <c r="AE55" s="53">
        <v>37674</v>
      </c>
      <c r="AF55" s="53">
        <v>37947</v>
      </c>
      <c r="AG55" s="53">
        <v>38279</v>
      </c>
      <c r="AH55" s="53">
        <v>38778</v>
      </c>
      <c r="AI55" s="53">
        <v>39360</v>
      </c>
    </row>
    <row r="56" spans="1:68" x14ac:dyDescent="0.25">
      <c r="A56" s="7"/>
      <c r="B56" s="38"/>
      <c r="C56" s="38" t="s">
        <v>130</v>
      </c>
      <c r="D56" s="38" t="s">
        <v>142</v>
      </c>
      <c r="E56" s="40" t="s">
        <v>124</v>
      </c>
      <c r="F56" s="19">
        <f t="shared" si="33"/>
        <v>27011</v>
      </c>
      <c r="G56" s="19">
        <f t="shared" si="33"/>
        <v>30221</v>
      </c>
      <c r="H56" s="19">
        <f t="shared" si="33"/>
        <v>31836</v>
      </c>
      <c r="I56" s="19">
        <f t="shared" si="33"/>
        <v>31882</v>
      </c>
      <c r="J56" s="57">
        <f t="shared" si="36"/>
        <v>35337.490044234182</v>
      </c>
      <c r="K56" s="57">
        <f t="shared" si="35"/>
        <v>38223.847379763945</v>
      </c>
      <c r="L56" s="57">
        <f t="shared" si="35"/>
        <v>41672.198280158584</v>
      </c>
      <c r="M56" s="57">
        <f t="shared" si="35"/>
        <v>45718.094700797868</v>
      </c>
      <c r="N56" s="57">
        <f t="shared" si="35"/>
        <v>50300.26982064089</v>
      </c>
      <c r="O56" s="57">
        <f t="shared" si="35"/>
        <v>55412.724902673719</v>
      </c>
      <c r="P56" s="57">
        <f t="shared" si="35"/>
        <v>61019.656296257235</v>
      </c>
      <c r="Q56" s="52"/>
      <c r="R56" s="53">
        <v>27011</v>
      </c>
      <c r="S56" s="53">
        <v>27561</v>
      </c>
      <c r="T56" s="53">
        <v>28649</v>
      </c>
      <c r="U56" s="53">
        <v>29349</v>
      </c>
      <c r="V56" s="53">
        <v>30072</v>
      </c>
      <c r="W56" s="53">
        <v>30221</v>
      </c>
      <c r="X56" s="53">
        <v>30599</v>
      </c>
      <c r="Y56" s="53">
        <v>30983</v>
      </c>
      <c r="Z56" s="53">
        <v>31275</v>
      </c>
      <c r="AA56" s="53">
        <v>31227</v>
      </c>
      <c r="AB56" s="53">
        <v>31836</v>
      </c>
      <c r="AC56" s="53">
        <v>32008</v>
      </c>
      <c r="AD56" s="53">
        <v>31723</v>
      </c>
      <c r="AE56" s="53">
        <v>31643</v>
      </c>
      <c r="AF56" s="53">
        <v>31709</v>
      </c>
      <c r="AG56" s="53">
        <v>31882</v>
      </c>
      <c r="AH56" s="53">
        <v>32069</v>
      </c>
      <c r="AI56" s="53">
        <v>32608</v>
      </c>
    </row>
    <row r="57" spans="1:68" x14ac:dyDescent="0.25">
      <c r="A57" s="7"/>
      <c r="B57" s="38"/>
      <c r="C57" s="38" t="s">
        <v>131</v>
      </c>
      <c r="D57" s="38" t="s">
        <v>142</v>
      </c>
      <c r="E57" s="40" t="s">
        <v>124</v>
      </c>
      <c r="F57" s="19">
        <f t="shared" si="33"/>
        <v>294335</v>
      </c>
      <c r="G57" s="19">
        <f t="shared" si="33"/>
        <v>323424</v>
      </c>
      <c r="H57" s="19">
        <f t="shared" si="33"/>
        <v>342996</v>
      </c>
      <c r="I57" s="19">
        <f t="shared" si="33"/>
        <v>367812</v>
      </c>
      <c r="J57" s="57">
        <f t="shared" si="36"/>
        <v>407676.83608775685</v>
      </c>
      <c r="K57" s="57">
        <f t="shared" si="35"/>
        <v>440975.77794510184</v>
      </c>
      <c r="L57" s="57">
        <f t="shared" si="35"/>
        <v>480758.25211158925</v>
      </c>
      <c r="M57" s="57">
        <f t="shared" si="35"/>
        <v>527434.40963834978</v>
      </c>
      <c r="N57" s="57">
        <f t="shared" si="35"/>
        <v>580297.43564611906</v>
      </c>
      <c r="O57" s="57">
        <f t="shared" si="35"/>
        <v>639278.12470680091</v>
      </c>
      <c r="P57" s="57">
        <f t="shared" si="35"/>
        <v>703963.42204500875</v>
      </c>
      <c r="Q57" s="52"/>
      <c r="R57" s="53">
        <v>294335</v>
      </c>
      <c r="S57" s="53">
        <v>299187</v>
      </c>
      <c r="T57" s="53">
        <v>307772</v>
      </c>
      <c r="U57" s="53">
        <v>311268</v>
      </c>
      <c r="V57" s="53">
        <v>318850</v>
      </c>
      <c r="W57" s="53">
        <v>323424</v>
      </c>
      <c r="X57" s="53">
        <v>327491</v>
      </c>
      <c r="Y57" s="53">
        <v>333711</v>
      </c>
      <c r="Z57" s="53">
        <v>340158</v>
      </c>
      <c r="AA57" s="53">
        <v>338182</v>
      </c>
      <c r="AB57" s="53">
        <v>342996</v>
      </c>
      <c r="AC57" s="53">
        <v>350583</v>
      </c>
      <c r="AD57" s="53">
        <v>354049</v>
      </c>
      <c r="AE57" s="53">
        <v>358453</v>
      </c>
      <c r="AF57" s="53">
        <v>364157</v>
      </c>
      <c r="AG57" s="53">
        <v>367812</v>
      </c>
      <c r="AH57" s="53">
        <v>371936</v>
      </c>
      <c r="AI57" s="53">
        <v>382478</v>
      </c>
    </row>
    <row r="58" spans="1:68" x14ac:dyDescent="0.25">
      <c r="A58" s="7"/>
      <c r="B58" s="38"/>
      <c r="C58" s="38" t="s">
        <v>132</v>
      </c>
      <c r="D58" s="38" t="s">
        <v>142</v>
      </c>
      <c r="E58" s="40" t="s">
        <v>124</v>
      </c>
      <c r="F58" s="19">
        <f t="shared" si="33"/>
        <v>575390</v>
      </c>
      <c r="G58" s="19">
        <f t="shared" si="33"/>
        <v>645906</v>
      </c>
      <c r="H58" s="19">
        <f t="shared" si="33"/>
        <v>656803</v>
      </c>
      <c r="I58" s="19">
        <f t="shared" si="33"/>
        <v>722653</v>
      </c>
      <c r="J58" s="57">
        <f t="shared" si="36"/>
        <v>800976.82682817779</v>
      </c>
      <c r="K58" s="57">
        <f t="shared" si="35"/>
        <v>866400.41341598879</v>
      </c>
      <c r="L58" s="57">
        <f t="shared" si="35"/>
        <v>944562.4209193727</v>
      </c>
      <c r="M58" s="57">
        <f t="shared" si="35"/>
        <v>1036268.6873413112</v>
      </c>
      <c r="N58" s="57">
        <f t="shared" si="35"/>
        <v>1140130.5089610312</v>
      </c>
      <c r="O58" s="57">
        <f t="shared" si="35"/>
        <v>1256011.9154724255</v>
      </c>
      <c r="P58" s="57">
        <f t="shared" si="35"/>
        <v>1383101.363824703</v>
      </c>
      <c r="Q58" s="52"/>
      <c r="R58" s="53">
        <v>575390</v>
      </c>
      <c r="S58" s="53">
        <v>584145</v>
      </c>
      <c r="T58" s="53">
        <v>603328</v>
      </c>
      <c r="U58" s="53">
        <v>610627</v>
      </c>
      <c r="V58" s="53">
        <v>626495</v>
      </c>
      <c r="W58" s="53">
        <v>645906</v>
      </c>
      <c r="X58" s="53">
        <v>656283</v>
      </c>
      <c r="Y58" s="53">
        <v>662132</v>
      </c>
      <c r="Z58" s="53">
        <v>662169</v>
      </c>
      <c r="AA58" s="53">
        <v>637620</v>
      </c>
      <c r="AB58" s="53">
        <v>656803</v>
      </c>
      <c r="AC58" s="53">
        <v>672653</v>
      </c>
      <c r="AD58" s="53">
        <v>680096</v>
      </c>
      <c r="AE58" s="53">
        <v>688834</v>
      </c>
      <c r="AF58" s="53">
        <v>706541</v>
      </c>
      <c r="AG58" s="53">
        <v>722653</v>
      </c>
      <c r="AH58" s="53">
        <v>737256</v>
      </c>
      <c r="AI58" s="53">
        <v>759808</v>
      </c>
    </row>
    <row r="59" spans="1:68" x14ac:dyDescent="0.25">
      <c r="A59" s="7"/>
      <c r="B59" s="38"/>
      <c r="C59" s="38" t="s">
        <v>133</v>
      </c>
      <c r="D59" s="38" t="s">
        <v>142</v>
      </c>
      <c r="E59" s="40" t="s">
        <v>124</v>
      </c>
      <c r="F59" s="19">
        <f t="shared" si="33"/>
        <v>46947</v>
      </c>
      <c r="G59" s="19">
        <f t="shared" si="33"/>
        <v>51205</v>
      </c>
      <c r="H59" s="19">
        <f t="shared" si="33"/>
        <v>56641</v>
      </c>
      <c r="I59" s="19">
        <f t="shared" si="33"/>
        <v>63310</v>
      </c>
      <c r="J59" s="57">
        <f t="shared" si="36"/>
        <v>70171.773875555678</v>
      </c>
      <c r="K59" s="57">
        <f t="shared" si="35"/>
        <v>75903.386789186872</v>
      </c>
      <c r="L59" s="57">
        <f t="shared" si="35"/>
        <v>82750.984038543393</v>
      </c>
      <c r="M59" s="57">
        <f t="shared" si="35"/>
        <v>90785.163274183345</v>
      </c>
      <c r="N59" s="57">
        <f t="shared" si="35"/>
        <v>99884.263294171484</v>
      </c>
      <c r="O59" s="57">
        <f t="shared" si="35"/>
        <v>110036.37204655522</v>
      </c>
      <c r="P59" s="57">
        <f t="shared" si="35"/>
        <v>121170.39207440079</v>
      </c>
      <c r="Q59" s="52"/>
      <c r="R59" s="53">
        <v>46947</v>
      </c>
      <c r="S59" s="53">
        <v>47374</v>
      </c>
      <c r="T59" s="53">
        <v>48393</v>
      </c>
      <c r="U59" s="53">
        <v>49121</v>
      </c>
      <c r="V59" s="53">
        <v>50039</v>
      </c>
      <c r="W59" s="53">
        <v>51205</v>
      </c>
      <c r="X59" s="53">
        <v>53330</v>
      </c>
      <c r="Y59" s="53">
        <v>54114</v>
      </c>
      <c r="Z59" s="53">
        <v>56171</v>
      </c>
      <c r="AA59" s="53">
        <v>54952</v>
      </c>
      <c r="AB59" s="53">
        <v>56641</v>
      </c>
      <c r="AC59" s="53">
        <v>58242</v>
      </c>
      <c r="AD59" s="53">
        <v>59782</v>
      </c>
      <c r="AE59" s="53">
        <v>61155</v>
      </c>
      <c r="AF59" s="53">
        <v>62487</v>
      </c>
      <c r="AG59" s="53">
        <v>63310</v>
      </c>
      <c r="AH59" s="53">
        <v>64146</v>
      </c>
      <c r="AI59" s="53">
        <v>66489</v>
      </c>
    </row>
    <row r="60" spans="1:68" x14ac:dyDescent="0.25">
      <c r="A60" s="7"/>
      <c r="B60" s="38"/>
      <c r="C60" s="38" t="s">
        <v>134</v>
      </c>
      <c r="D60" s="38" t="s">
        <v>142</v>
      </c>
      <c r="E60" s="40" t="s">
        <v>124</v>
      </c>
      <c r="F60" s="19">
        <f t="shared" si="33"/>
        <v>63257</v>
      </c>
      <c r="G60" s="19">
        <f t="shared" si="33"/>
        <v>70293</v>
      </c>
      <c r="H60" s="19">
        <f t="shared" si="33"/>
        <v>74199</v>
      </c>
      <c r="I60" s="19">
        <f t="shared" si="33"/>
        <v>82793</v>
      </c>
      <c r="J60" s="57">
        <f t="shared" si="36"/>
        <v>91766.414065374847</v>
      </c>
      <c r="K60" s="57">
        <f t="shared" si="35"/>
        <v>99261.87178071629</v>
      </c>
      <c r="L60" s="57">
        <f t="shared" si="35"/>
        <v>108216.74650928956</v>
      </c>
      <c r="M60" s="57">
        <f t="shared" si="35"/>
        <v>118723.3616010024</v>
      </c>
      <c r="N60" s="57">
        <f t="shared" si="35"/>
        <v>130622.61587291643</v>
      </c>
      <c r="O60" s="57">
        <f t="shared" si="35"/>
        <v>143898.93146186142</v>
      </c>
      <c r="P60" s="57">
        <f t="shared" si="35"/>
        <v>158459.33140129308</v>
      </c>
      <c r="Q60" s="52"/>
      <c r="R60" s="53">
        <v>63257</v>
      </c>
      <c r="S60" s="53">
        <v>61834</v>
      </c>
      <c r="T60" s="53">
        <v>61856</v>
      </c>
      <c r="U60" s="53">
        <v>64989</v>
      </c>
      <c r="V60" s="53">
        <v>68181</v>
      </c>
      <c r="W60" s="53">
        <v>70293</v>
      </c>
      <c r="X60" s="53">
        <v>68205</v>
      </c>
      <c r="Y60" s="53">
        <v>70671</v>
      </c>
      <c r="Z60" s="53">
        <v>73059</v>
      </c>
      <c r="AA60" s="53">
        <v>71130</v>
      </c>
      <c r="AB60" s="53">
        <v>74199</v>
      </c>
      <c r="AC60" s="53">
        <v>77129</v>
      </c>
      <c r="AD60" s="53">
        <v>77958</v>
      </c>
      <c r="AE60" s="53">
        <v>82323</v>
      </c>
      <c r="AF60" s="53">
        <v>83677</v>
      </c>
      <c r="AG60" s="53">
        <v>82793</v>
      </c>
      <c r="AH60" s="53">
        <v>81835</v>
      </c>
      <c r="AI60" s="53">
        <v>84223</v>
      </c>
    </row>
    <row r="61" spans="1:68" x14ac:dyDescent="0.25">
      <c r="A61" s="7"/>
      <c r="B61" s="15"/>
      <c r="C61" s="38" t="s">
        <v>5</v>
      </c>
      <c r="D61" s="38" t="s">
        <v>142</v>
      </c>
      <c r="E61" s="40" t="s">
        <v>124</v>
      </c>
      <c r="F61" s="19">
        <f t="shared" si="33"/>
        <v>217724</v>
      </c>
      <c r="G61" s="19">
        <f t="shared" si="33"/>
        <v>263911</v>
      </c>
      <c r="H61" s="19">
        <f t="shared" si="33"/>
        <v>283544</v>
      </c>
      <c r="I61" s="19">
        <f t="shared" si="33"/>
        <v>337590</v>
      </c>
      <c r="J61" s="57">
        <f t="shared" si="36"/>
        <v>374179.26303346775</v>
      </c>
      <c r="K61" s="57">
        <f t="shared" si="35"/>
        <v>404742.13151416194</v>
      </c>
      <c r="L61" s="57">
        <f t="shared" si="35"/>
        <v>441255.80005641858</v>
      </c>
      <c r="M61" s="57">
        <f t="shared" si="35"/>
        <v>484096.7188395444</v>
      </c>
      <c r="N61" s="57">
        <f t="shared" si="35"/>
        <v>532616.14982592559</v>
      </c>
      <c r="O61" s="57">
        <f t="shared" si="35"/>
        <v>586750.57398825744</v>
      </c>
      <c r="P61" s="57">
        <f t="shared" si="35"/>
        <v>646120.87601322006</v>
      </c>
      <c r="Q61" s="52"/>
      <c r="R61" s="53">
        <v>217724</v>
      </c>
      <c r="S61" s="53">
        <v>223717</v>
      </c>
      <c r="T61" s="53">
        <v>228975</v>
      </c>
      <c r="U61" s="53">
        <v>237326</v>
      </c>
      <c r="V61" s="53">
        <v>250886</v>
      </c>
      <c r="W61" s="53">
        <v>263911</v>
      </c>
      <c r="X61" s="53">
        <v>281029</v>
      </c>
      <c r="Y61" s="53">
        <v>284721</v>
      </c>
      <c r="Z61" s="53">
        <v>288433</v>
      </c>
      <c r="AA61" s="53">
        <v>271625</v>
      </c>
      <c r="AB61" s="53">
        <v>283544</v>
      </c>
      <c r="AC61" s="53">
        <v>300516</v>
      </c>
      <c r="AD61" s="53">
        <v>312486</v>
      </c>
      <c r="AE61" s="53">
        <v>330595</v>
      </c>
      <c r="AF61" s="53">
        <v>349946</v>
      </c>
      <c r="AG61" s="53">
        <v>337590</v>
      </c>
      <c r="AH61" s="53">
        <v>324642</v>
      </c>
      <c r="AI61" s="53">
        <v>342361</v>
      </c>
    </row>
    <row r="62" spans="1:68" x14ac:dyDescent="0.25">
      <c r="A62" s="7"/>
      <c r="B62" s="15"/>
      <c r="C62" s="38" t="s">
        <v>81</v>
      </c>
      <c r="D62" s="38" t="s">
        <v>142</v>
      </c>
      <c r="E62" s="40" t="s">
        <v>124</v>
      </c>
      <c r="F62" s="19">
        <f t="shared" si="33"/>
        <v>164117</v>
      </c>
      <c r="G62" s="19">
        <f t="shared" si="33"/>
        <v>191715</v>
      </c>
      <c r="H62" s="19">
        <f t="shared" si="33"/>
        <v>208500</v>
      </c>
      <c r="I62" s="19">
        <f t="shared" si="33"/>
        <v>239696</v>
      </c>
      <c r="J62" s="57">
        <f t="shared" si="36"/>
        <v>265675.14627823717</v>
      </c>
      <c r="K62" s="57">
        <f t="shared" si="35"/>
        <v>287375.42568031803</v>
      </c>
      <c r="L62" s="57">
        <f t="shared" si="35"/>
        <v>313300.89827993512</v>
      </c>
      <c r="M62" s="57">
        <f t="shared" si="35"/>
        <v>343718.85162168142</v>
      </c>
      <c r="N62" s="57">
        <f t="shared" si="35"/>
        <v>378168.66805496329</v>
      </c>
      <c r="O62" s="57">
        <f t="shared" si="35"/>
        <v>416605.24773449847</v>
      </c>
      <c r="P62" s="57">
        <f t="shared" si="35"/>
        <v>458759.41081449331</v>
      </c>
      <c r="Q62" s="52"/>
      <c r="R62" s="53">
        <v>164117</v>
      </c>
      <c r="S62" s="53">
        <v>166728</v>
      </c>
      <c r="T62" s="53">
        <v>172134</v>
      </c>
      <c r="U62" s="53">
        <v>176096</v>
      </c>
      <c r="V62" s="53">
        <v>183030</v>
      </c>
      <c r="W62" s="53">
        <v>191715</v>
      </c>
      <c r="X62" s="53">
        <v>200462</v>
      </c>
      <c r="Y62" s="53">
        <v>206871</v>
      </c>
      <c r="Z62" s="53">
        <v>208881</v>
      </c>
      <c r="AA62" s="53">
        <v>203259</v>
      </c>
      <c r="AB62" s="53">
        <v>208500</v>
      </c>
      <c r="AC62" s="53">
        <v>216411</v>
      </c>
      <c r="AD62" s="53">
        <v>221415</v>
      </c>
      <c r="AE62" s="53">
        <v>226476</v>
      </c>
      <c r="AF62" s="53">
        <v>235155</v>
      </c>
      <c r="AG62" s="53">
        <v>239696</v>
      </c>
      <c r="AH62" s="53">
        <v>247245</v>
      </c>
      <c r="AI62" s="53">
        <v>256856</v>
      </c>
    </row>
    <row r="63" spans="1:68" x14ac:dyDescent="0.25">
      <c r="A63" s="7"/>
      <c r="B63" s="38"/>
      <c r="C63" s="38" t="s">
        <v>135</v>
      </c>
      <c r="D63" s="38" t="s">
        <v>142</v>
      </c>
      <c r="E63" s="40" t="s">
        <v>124</v>
      </c>
      <c r="F63" s="19">
        <f t="shared" si="33"/>
        <v>1505</v>
      </c>
      <c r="G63" s="19">
        <f t="shared" si="33"/>
        <v>1655</v>
      </c>
      <c r="H63" s="19">
        <f t="shared" si="33"/>
        <v>2327</v>
      </c>
      <c r="I63" s="19">
        <f t="shared" si="33"/>
        <v>2431</v>
      </c>
      <c r="J63" s="57">
        <f t="shared" si="36"/>
        <v>2694.4808449135344</v>
      </c>
      <c r="K63" s="57">
        <f t="shared" si="35"/>
        <v>2914.5653654164157</v>
      </c>
      <c r="L63" s="57">
        <f t="shared" si="35"/>
        <v>3177.5018511719945</v>
      </c>
      <c r="M63" s="57">
        <f t="shared" si="35"/>
        <v>3486.0011359902028</v>
      </c>
      <c r="N63" s="57">
        <f t="shared" si="35"/>
        <v>3835.3916295708555</v>
      </c>
      <c r="O63" s="57">
        <f t="shared" si="35"/>
        <v>4225.2159286870283</v>
      </c>
      <c r="P63" s="57">
        <f t="shared" si="35"/>
        <v>4652.7440077849997</v>
      </c>
      <c r="Q63" s="52"/>
      <c r="R63" s="53">
        <v>1505</v>
      </c>
      <c r="S63" s="53">
        <v>1552</v>
      </c>
      <c r="T63" s="53">
        <v>1557</v>
      </c>
      <c r="U63" s="53">
        <v>1548</v>
      </c>
      <c r="V63" s="53">
        <v>1625</v>
      </c>
      <c r="W63" s="53">
        <v>1655</v>
      </c>
      <c r="X63" s="53">
        <v>1764</v>
      </c>
      <c r="Y63" s="53">
        <v>1907</v>
      </c>
      <c r="Z63" s="53">
        <v>2101</v>
      </c>
      <c r="AA63" s="53">
        <v>2247</v>
      </c>
      <c r="AB63" s="53">
        <v>2327</v>
      </c>
      <c r="AC63" s="53">
        <v>2433</v>
      </c>
      <c r="AD63" s="53">
        <v>2554</v>
      </c>
      <c r="AE63" s="53">
        <v>2614</v>
      </c>
      <c r="AF63" s="53">
        <v>2642</v>
      </c>
      <c r="AG63" s="53">
        <v>2431</v>
      </c>
      <c r="AH63" s="53">
        <v>2605</v>
      </c>
      <c r="AI63" s="53">
        <v>2663</v>
      </c>
    </row>
    <row r="64" spans="1:68" x14ac:dyDescent="0.25">
      <c r="A64" s="7"/>
      <c r="B64" s="38"/>
      <c r="C64" s="38" t="s">
        <v>137</v>
      </c>
      <c r="D64" s="38" t="s">
        <v>142</v>
      </c>
      <c r="E64" s="40" t="s">
        <v>124</v>
      </c>
      <c r="F64" s="19">
        <f t="shared" si="33"/>
        <v>3337</v>
      </c>
      <c r="G64" s="19">
        <f t="shared" si="33"/>
        <v>5086</v>
      </c>
      <c r="H64" s="19">
        <f t="shared" si="33"/>
        <v>4789</v>
      </c>
      <c r="I64" s="19">
        <f t="shared" si="33"/>
        <v>4809</v>
      </c>
      <c r="J64" s="57">
        <f t="shared" si="36"/>
        <v>5330.2173521962923</v>
      </c>
      <c r="K64" s="57">
        <f t="shared" si="35"/>
        <v>5765.5881704185695</v>
      </c>
      <c r="L64" s="57">
        <f t="shared" si="35"/>
        <v>6285.7286722690751</v>
      </c>
      <c r="M64" s="57">
        <f t="shared" si="35"/>
        <v>6896.0014245071507</v>
      </c>
      <c r="N64" s="57">
        <f t="shared" si="35"/>
        <v>7587.1650952720047</v>
      </c>
      <c r="O64" s="57">
        <f t="shared" si="35"/>
        <v>8358.3148502903805</v>
      </c>
      <c r="P64" s="57">
        <f t="shared" si="35"/>
        <v>9204.0501577285322</v>
      </c>
      <c r="Q64" s="52"/>
      <c r="R64" s="53">
        <v>3337</v>
      </c>
      <c r="S64" s="53">
        <v>4045</v>
      </c>
      <c r="T64" s="53">
        <v>4382</v>
      </c>
      <c r="U64" s="53">
        <v>4962</v>
      </c>
      <c r="V64" s="53">
        <v>5084</v>
      </c>
      <c r="W64" s="53">
        <v>5086</v>
      </c>
      <c r="X64" s="53">
        <v>5034</v>
      </c>
      <c r="Y64" s="53">
        <v>5751</v>
      </c>
      <c r="Z64" s="53">
        <v>5299</v>
      </c>
      <c r="AA64" s="53">
        <v>4707</v>
      </c>
      <c r="AB64" s="53">
        <v>4789</v>
      </c>
      <c r="AC64" s="53">
        <v>4386</v>
      </c>
      <c r="AD64" s="53">
        <v>4392</v>
      </c>
      <c r="AE64" s="53">
        <v>4553</v>
      </c>
      <c r="AF64" s="53">
        <v>4777</v>
      </c>
      <c r="AG64" s="53">
        <v>4809</v>
      </c>
      <c r="AH64" s="53">
        <v>4727</v>
      </c>
      <c r="AI64" s="53">
        <v>4911</v>
      </c>
    </row>
    <row r="65" spans="1:78" x14ac:dyDescent="0.25">
      <c r="A65" s="7"/>
      <c r="B65" s="38"/>
      <c r="C65" s="38" t="s">
        <v>136</v>
      </c>
      <c r="D65" s="38" t="s">
        <v>142</v>
      </c>
      <c r="E65" s="40" t="s">
        <v>124</v>
      </c>
      <c r="F65" s="19">
        <f t="shared" si="33"/>
        <v>1374</v>
      </c>
      <c r="G65" s="19">
        <f t="shared" si="33"/>
        <v>1561</v>
      </c>
      <c r="H65" s="19">
        <f t="shared" si="33"/>
        <v>2153</v>
      </c>
      <c r="I65" s="19">
        <f t="shared" si="33"/>
        <v>2344</v>
      </c>
      <c r="J65" s="57">
        <f t="shared" si="36"/>
        <v>2598.0514605007502</v>
      </c>
      <c r="K65" s="57">
        <f t="shared" si="35"/>
        <v>2810.259653038288</v>
      </c>
      <c r="L65" s="57">
        <f t="shared" si="35"/>
        <v>3063.7862357660033</v>
      </c>
      <c r="M65" s="57">
        <f t="shared" si="35"/>
        <v>3361.2450278737283</v>
      </c>
      <c r="N65" s="57">
        <f t="shared" si="35"/>
        <v>3698.1316247281302</v>
      </c>
      <c r="O65" s="57">
        <f t="shared" si="35"/>
        <v>4074.0049925308072</v>
      </c>
      <c r="P65" s="57">
        <f t="shared" si="35"/>
        <v>4486.232807177309</v>
      </c>
      <c r="Q65" s="52"/>
      <c r="R65" s="53">
        <v>1374</v>
      </c>
      <c r="S65" s="53">
        <v>1458</v>
      </c>
      <c r="T65" s="53">
        <v>1493</v>
      </c>
      <c r="U65" s="53">
        <v>1491</v>
      </c>
      <c r="V65" s="53">
        <v>1579</v>
      </c>
      <c r="W65" s="53">
        <v>1561</v>
      </c>
      <c r="X65" s="53">
        <v>1592</v>
      </c>
      <c r="Y65" s="53">
        <v>1801</v>
      </c>
      <c r="Z65" s="53">
        <v>2058</v>
      </c>
      <c r="AA65" s="53">
        <v>1936</v>
      </c>
      <c r="AB65" s="53">
        <v>2153</v>
      </c>
      <c r="AC65" s="53">
        <v>2212</v>
      </c>
      <c r="AD65" s="53">
        <v>2198</v>
      </c>
      <c r="AE65" s="53">
        <v>2441</v>
      </c>
      <c r="AF65" s="53">
        <v>2379</v>
      </c>
      <c r="AG65" s="53">
        <v>2344</v>
      </c>
      <c r="AH65" s="53">
        <v>2476</v>
      </c>
      <c r="AI65" s="53">
        <v>2802</v>
      </c>
    </row>
    <row r="66" spans="1:78" x14ac:dyDescent="0.25">
      <c r="A66" s="7"/>
      <c r="B66" s="38"/>
      <c r="C66" s="38"/>
      <c r="D66" s="38"/>
      <c r="E66" s="18"/>
      <c r="F66" s="43"/>
      <c r="G66" s="43"/>
      <c r="H66" s="43"/>
      <c r="I66" s="43"/>
      <c r="Q66" s="52"/>
    </row>
    <row r="67" spans="1:78" x14ac:dyDescent="0.25">
      <c r="A67" s="7"/>
      <c r="B67" s="38"/>
      <c r="C67" s="38"/>
      <c r="D67" s="38"/>
      <c r="E67" s="18"/>
      <c r="F67" s="43"/>
      <c r="G67" s="43"/>
      <c r="H67" s="43"/>
      <c r="I67" s="43"/>
      <c r="Q67" s="52"/>
    </row>
    <row r="68" spans="1:78" x14ac:dyDescent="0.25">
      <c r="A68" s="7"/>
      <c r="B68" s="38" t="s">
        <v>55</v>
      </c>
      <c r="C68" s="38" t="s">
        <v>64</v>
      </c>
      <c r="D68" s="38" t="s">
        <v>144</v>
      </c>
      <c r="E68" s="56" t="s">
        <v>143</v>
      </c>
      <c r="F68" s="19">
        <f t="shared" ref="F68:P68" si="37">INDEX($R68:$BZ68,MATCH(F$1,$R$1:$BZ$1,0))</f>
        <v>1132705.89645008</v>
      </c>
      <c r="G68" s="19">
        <f t="shared" si="37"/>
        <v>1286063.4678481901</v>
      </c>
      <c r="H68" s="19">
        <f t="shared" si="37"/>
        <v>1361085.7914598</v>
      </c>
      <c r="I68" s="19">
        <f t="shared" si="37"/>
        <v>1520564.3540934401</v>
      </c>
      <c r="J68" s="19">
        <f t="shared" si="37"/>
        <v>1684775</v>
      </c>
      <c r="K68" s="19">
        <f t="shared" si="37"/>
        <v>1822387</v>
      </c>
      <c r="L68" s="19">
        <f t="shared" si="37"/>
        <v>1986793</v>
      </c>
      <c r="M68" s="19">
        <f t="shared" si="37"/>
        <v>2179688</v>
      </c>
      <c r="N68" s="19">
        <f t="shared" si="37"/>
        <v>2398151</v>
      </c>
      <c r="O68" s="19">
        <f t="shared" si="37"/>
        <v>2641896</v>
      </c>
      <c r="P68" s="19">
        <f t="shared" si="37"/>
        <v>2909216</v>
      </c>
      <c r="Q68" s="52"/>
      <c r="R68" s="53">
        <v>1132705.89645008</v>
      </c>
      <c r="S68" s="53">
        <v>1152763.6406050599</v>
      </c>
      <c r="T68" s="53">
        <v>1187462.2410732401</v>
      </c>
      <c r="U68" s="53">
        <v>1208863.5600324799</v>
      </c>
      <c r="V68" s="53">
        <v>1246168.8411499001</v>
      </c>
      <c r="W68" s="53">
        <v>1286063.4678481901</v>
      </c>
      <c r="X68" s="53">
        <v>1319802.0051478599</v>
      </c>
      <c r="Y68" s="53">
        <v>1347026.40898272</v>
      </c>
      <c r="Z68" s="53">
        <v>1360501.5354522199</v>
      </c>
      <c r="AA68" s="53">
        <v>1320372.56431132</v>
      </c>
      <c r="AB68" s="53">
        <v>1361085.7914598</v>
      </c>
      <c r="AC68" s="53">
        <v>1403840.49042381</v>
      </c>
      <c r="AD68" s="53">
        <v>1428344.7866189501</v>
      </c>
      <c r="AE68" s="53">
        <v>1463696.5553417699</v>
      </c>
      <c r="AF68" s="53">
        <v>1505495.47140106</v>
      </c>
      <c r="AG68" s="53">
        <v>1520564.3540934401</v>
      </c>
      <c r="AH68" s="53">
        <v>1542066.2592517899</v>
      </c>
      <c r="AI68" s="53">
        <v>1588338.69301313</v>
      </c>
      <c r="AJ68" s="53">
        <v>1621635.5389815201</v>
      </c>
      <c r="AK68" s="53">
        <v>1657928.8942838099</v>
      </c>
      <c r="AL68" s="53">
        <v>1684775</v>
      </c>
      <c r="AM68" s="53">
        <v>1710503</v>
      </c>
      <c r="AN68" s="53">
        <v>1736864</v>
      </c>
      <c r="AO68" s="53">
        <v>1764255</v>
      </c>
      <c r="AP68" s="53">
        <v>1792774</v>
      </c>
      <c r="AQ68" s="53">
        <v>1822387</v>
      </c>
      <c r="AR68" s="53">
        <v>1852965</v>
      </c>
      <c r="AS68" s="53">
        <v>1884677</v>
      </c>
      <c r="AT68" s="53">
        <v>1917532</v>
      </c>
      <c r="AU68" s="53">
        <v>1951559</v>
      </c>
      <c r="AV68" s="53">
        <v>1986793</v>
      </c>
      <c r="AW68" s="53">
        <v>2023273</v>
      </c>
      <c r="AX68" s="53">
        <v>2060808</v>
      </c>
      <c r="AY68" s="53">
        <v>2099401</v>
      </c>
      <c r="AZ68" s="53">
        <v>2139034</v>
      </c>
      <c r="BA68" s="53">
        <v>2179688</v>
      </c>
      <c r="BB68" s="53">
        <v>2221353</v>
      </c>
      <c r="BC68" s="53">
        <v>2264030</v>
      </c>
      <c r="BD68" s="53">
        <v>2307720</v>
      </c>
      <c r="BE68" s="53">
        <v>2352425</v>
      </c>
      <c r="BF68" s="53">
        <v>2398151</v>
      </c>
      <c r="BG68" s="53">
        <v>2444905</v>
      </c>
      <c r="BH68" s="53">
        <v>2492690</v>
      </c>
      <c r="BI68" s="53">
        <v>2541479</v>
      </c>
      <c r="BJ68" s="53">
        <v>2591227</v>
      </c>
      <c r="BK68" s="53">
        <v>2641896</v>
      </c>
      <c r="BL68" s="53">
        <v>2693479</v>
      </c>
      <c r="BM68" s="53">
        <v>2745988</v>
      </c>
      <c r="BN68" s="53">
        <v>2799434</v>
      </c>
      <c r="BO68" s="53">
        <v>2853831</v>
      </c>
      <c r="BP68" s="53">
        <v>2909216</v>
      </c>
      <c r="BQ68">
        <v>2965657</v>
      </c>
      <c r="BR68">
        <v>3023227</v>
      </c>
      <c r="BS68">
        <v>3081985</v>
      </c>
      <c r="BT68">
        <v>3141981</v>
      </c>
      <c r="BU68">
        <v>3203277</v>
      </c>
      <c r="BV68">
        <v>3265966</v>
      </c>
      <c r="BW68">
        <v>3330145</v>
      </c>
      <c r="BX68">
        <v>3395881</v>
      </c>
      <c r="BY68">
        <v>3463205</v>
      </c>
      <c r="BZ68">
        <v>3532133</v>
      </c>
    </row>
    <row r="69" spans="1:78" x14ac:dyDescent="0.25">
      <c r="A69" s="7"/>
      <c r="B69" s="15"/>
      <c r="C69" s="15"/>
      <c r="D69" s="38" t="s">
        <v>145</v>
      </c>
      <c r="E69" s="11" t="s">
        <v>125</v>
      </c>
      <c r="F69" s="70">
        <f>F68*F72</f>
        <v>1390475.7773052247</v>
      </c>
      <c r="G69" s="70">
        <f t="shared" ref="G69:I69" si="38">G68*G72</f>
        <v>1560823.2113731487</v>
      </c>
      <c r="H69" s="70">
        <f t="shared" si="38"/>
        <v>1662703.763933083</v>
      </c>
      <c r="I69" s="70">
        <f t="shared" si="38"/>
        <v>1897670.3961660294</v>
      </c>
      <c r="J69" s="71">
        <f t="shared" ref="J69" si="39">J68*J72</f>
        <v>2102605.9390999996</v>
      </c>
      <c r="K69" s="71">
        <f t="shared" ref="K69" si="40">K68*K72</f>
        <v>2274346.2655479996</v>
      </c>
      <c r="L69" s="71">
        <f t="shared" ref="L69" si="41">L68*L72</f>
        <v>2479525.6111719999</v>
      </c>
      <c r="M69" s="71">
        <f t="shared" ref="M69" si="42">M68*M72</f>
        <v>2720259.3427519999</v>
      </c>
      <c r="N69" s="71">
        <f t="shared" ref="N69" si="43">N68*N72</f>
        <v>2992902.0406039995</v>
      </c>
      <c r="O69" s="71">
        <f t="shared" ref="O69" si="44">O68*O72</f>
        <v>3297096.7755839997</v>
      </c>
      <c r="P69" s="71">
        <f t="shared" ref="P69" si="45">P68*P72</f>
        <v>3630713.2048639995</v>
      </c>
      <c r="Q69" s="52"/>
    </row>
    <row r="70" spans="1:78" x14ac:dyDescent="0.25">
      <c r="A70" s="7"/>
      <c r="B70" s="15"/>
      <c r="C70" s="15"/>
      <c r="D70" s="15"/>
      <c r="E70" s="11"/>
      <c r="F70" s="69">
        <f>F52/F69</f>
        <v>1.0494990447285346</v>
      </c>
      <c r="G70" s="69">
        <f t="shared" ref="G70:I70" si="46">G52/G69</f>
        <v>1.0577008260580771</v>
      </c>
      <c r="H70" s="69">
        <f t="shared" si="46"/>
        <v>1.0463962599594028</v>
      </c>
      <c r="I70" s="69">
        <f t="shared" si="46"/>
        <v>1.0185662399040176</v>
      </c>
      <c r="J70" s="42"/>
      <c r="K70" s="42"/>
      <c r="L70" s="42"/>
      <c r="M70" s="42"/>
      <c r="N70" s="42"/>
      <c r="O70" s="42"/>
      <c r="P70" s="42"/>
      <c r="Q70" s="52"/>
    </row>
    <row r="71" spans="1:78" x14ac:dyDescent="0.25">
      <c r="A71" s="7"/>
      <c r="B71" s="38"/>
      <c r="C71" s="38"/>
      <c r="D71" s="38"/>
      <c r="E71" s="18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52"/>
    </row>
    <row r="72" spans="1:78" x14ac:dyDescent="0.25">
      <c r="A72" s="7"/>
      <c r="B72" s="38" t="s">
        <v>146</v>
      </c>
      <c r="C72" s="38" t="s">
        <v>64</v>
      </c>
      <c r="D72" s="38" t="s">
        <v>147</v>
      </c>
      <c r="E72" s="56" t="s">
        <v>148</v>
      </c>
      <c r="F72" s="47">
        <f t="shared" ref="F72:J72" si="47">INDEX($R72:$BZ72,MATCH(F$1,$R$1:$BZ$1,0))</f>
        <v>1.2275700000000001</v>
      </c>
      <c r="G72" s="47">
        <f t="shared" si="47"/>
        <v>1.2136439999999999</v>
      </c>
      <c r="H72" s="47">
        <f t="shared" si="47"/>
        <v>1.2216009999999999</v>
      </c>
      <c r="I72" s="47">
        <f t="shared" si="47"/>
        <v>1.2480039999999999</v>
      </c>
      <c r="J72" s="68">
        <f>I72</f>
        <v>1.2480039999999999</v>
      </c>
      <c r="K72" s="68">
        <f t="shared" ref="K72:P72" si="48">J72</f>
        <v>1.2480039999999999</v>
      </c>
      <c r="L72" s="68">
        <f t="shared" si="48"/>
        <v>1.2480039999999999</v>
      </c>
      <c r="M72" s="68">
        <f t="shared" si="48"/>
        <v>1.2480039999999999</v>
      </c>
      <c r="N72" s="68">
        <f t="shared" si="48"/>
        <v>1.2480039999999999</v>
      </c>
      <c r="O72" s="68">
        <f t="shared" si="48"/>
        <v>1.2480039999999999</v>
      </c>
      <c r="P72" s="68">
        <f t="shared" si="48"/>
        <v>1.2480039999999999</v>
      </c>
      <c r="Q72" s="52"/>
      <c r="R72" s="55">
        <v>1.2275700000000001</v>
      </c>
      <c r="S72" s="55">
        <v>1.221141</v>
      </c>
      <c r="T72" s="55">
        <v>1.229333</v>
      </c>
      <c r="U72" s="55">
        <v>1.2261249999999999</v>
      </c>
      <c r="V72" s="55">
        <v>1.2331460000000001</v>
      </c>
      <c r="W72" s="55">
        <v>1.2136439999999999</v>
      </c>
      <c r="X72" s="55">
        <v>1.2056549999999999</v>
      </c>
      <c r="Y72" s="55">
        <v>1.2130810000000001</v>
      </c>
      <c r="Z72" s="55">
        <v>1.2343900000000001</v>
      </c>
      <c r="AA72" s="55">
        <v>1.2013100000000001</v>
      </c>
      <c r="AB72" s="55">
        <v>1.2216009999999999</v>
      </c>
      <c r="AC72" s="55">
        <v>1.2399039999999999</v>
      </c>
      <c r="AD72" s="55">
        <v>1.244607</v>
      </c>
      <c r="AE72" s="55">
        <v>1.224</v>
      </c>
      <c r="AF72" s="55">
        <v>1.2303580000000001</v>
      </c>
      <c r="AG72" s="55">
        <v>1.2480039999999999</v>
      </c>
      <c r="AH72" s="55">
        <v>1.2451639999999999</v>
      </c>
      <c r="AI72" s="55">
        <v>1.252006</v>
      </c>
      <c r="AJ72" s="55">
        <v>1.244715</v>
      </c>
    </row>
    <row r="73" spans="1:78" x14ac:dyDescent="0.25">
      <c r="A73" s="7"/>
      <c r="B73" s="38"/>
      <c r="C73" s="38"/>
      <c r="D73" s="38"/>
      <c r="E73" s="18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52"/>
    </row>
    <row r="74" spans="1:78" x14ac:dyDescent="0.25">
      <c r="A74" s="7"/>
      <c r="B74" s="38" t="s">
        <v>165</v>
      </c>
      <c r="C74" s="38" t="s">
        <v>64</v>
      </c>
      <c r="D74" s="95"/>
      <c r="E74" s="91"/>
      <c r="F74" s="96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52"/>
    </row>
    <row r="75" spans="1:78" x14ac:dyDescent="0.25">
      <c r="A75" s="7"/>
      <c r="B75" s="38"/>
      <c r="C75" s="38"/>
      <c r="D75" s="38"/>
      <c r="E75" s="18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52"/>
    </row>
    <row r="76" spans="1:78" x14ac:dyDescent="0.25">
      <c r="A76" s="7"/>
      <c r="B76" s="38"/>
      <c r="C76" s="38"/>
      <c r="D76" s="38"/>
      <c r="E76" s="18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52"/>
    </row>
    <row r="77" spans="1:78" x14ac:dyDescent="0.25">
      <c r="A77" s="7"/>
      <c r="B77" s="38"/>
      <c r="C77" s="38"/>
      <c r="D77" s="38"/>
      <c r="E77" s="18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52"/>
    </row>
    <row r="78" spans="1:78" x14ac:dyDescent="0.25">
      <c r="A78" s="7"/>
      <c r="B78" s="38"/>
      <c r="C78" s="38"/>
      <c r="D78" s="38"/>
      <c r="E78" s="18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52"/>
    </row>
    <row r="79" spans="1:78" x14ac:dyDescent="0.25">
      <c r="A79" s="7"/>
      <c r="B79" s="38"/>
      <c r="C79" s="38"/>
      <c r="D79" s="38"/>
      <c r="E79" s="18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52"/>
    </row>
    <row r="80" spans="1:78" x14ac:dyDescent="0.25">
      <c r="A80" s="7"/>
      <c r="B80" s="38"/>
      <c r="C80" s="38"/>
      <c r="D80" s="38"/>
      <c r="E80" s="18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52"/>
    </row>
    <row r="81" spans="1:17" x14ac:dyDescent="0.25">
      <c r="A81" s="7"/>
      <c r="B81" s="38"/>
      <c r="C81" s="38"/>
      <c r="D81" s="38"/>
      <c r="E81" s="18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52"/>
    </row>
    <row r="82" spans="1:17" x14ac:dyDescent="0.25">
      <c r="A82" s="7"/>
      <c r="B82" s="38"/>
      <c r="C82" s="38"/>
      <c r="D82" s="38"/>
      <c r="E82" s="18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52"/>
    </row>
    <row r="83" spans="1:17" x14ac:dyDescent="0.25">
      <c r="A83" s="7"/>
      <c r="B83" s="38"/>
      <c r="C83" s="38"/>
      <c r="D83" s="38"/>
      <c r="E83" s="18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52"/>
    </row>
    <row r="84" spans="1:17" x14ac:dyDescent="0.25">
      <c r="A84" s="7"/>
      <c r="B84" s="38"/>
      <c r="C84" s="38"/>
      <c r="D84" s="38"/>
      <c r="E84" s="18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52"/>
    </row>
    <row r="85" spans="1:17" x14ac:dyDescent="0.25">
      <c r="A85" s="7"/>
      <c r="B85" s="38"/>
      <c r="C85" s="38"/>
      <c r="D85" s="38"/>
      <c r="E85" s="18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52"/>
    </row>
    <row r="86" spans="1:17" x14ac:dyDescent="0.25">
      <c r="A86" s="7"/>
      <c r="B86" s="38"/>
      <c r="C86" s="38"/>
      <c r="D86" s="38"/>
      <c r="E86" s="18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52"/>
    </row>
    <row r="87" spans="1:17" x14ac:dyDescent="0.25">
      <c r="A87" s="7"/>
      <c r="B87" s="38"/>
      <c r="C87" s="38"/>
      <c r="D87" s="38"/>
      <c r="E87" s="18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52"/>
    </row>
    <row r="88" spans="1:17" x14ac:dyDescent="0.25">
      <c r="A88" s="7"/>
      <c r="B88" s="38"/>
      <c r="C88" s="38"/>
      <c r="D88" s="38"/>
      <c r="E88" s="18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52"/>
    </row>
    <row r="89" spans="1:17" x14ac:dyDescent="0.25">
      <c r="A89" s="7"/>
      <c r="B89" s="38"/>
      <c r="C89" s="38"/>
      <c r="D89" s="38"/>
      <c r="E89" s="18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52"/>
    </row>
    <row r="90" spans="1:17" x14ac:dyDescent="0.25">
      <c r="A90" s="7"/>
      <c r="B90" s="38"/>
      <c r="C90" s="38"/>
      <c r="D90" s="38"/>
      <c r="E90" s="18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52"/>
    </row>
    <row r="91" spans="1:17" x14ac:dyDescent="0.25">
      <c r="A91" s="7"/>
      <c r="B91" s="38"/>
      <c r="C91" s="38"/>
      <c r="D91" s="38"/>
      <c r="E91" s="18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52"/>
    </row>
    <row r="92" spans="1:17" x14ac:dyDescent="0.25">
      <c r="A92" s="7"/>
      <c r="B92" s="38"/>
      <c r="C92" s="38"/>
      <c r="D92" s="38"/>
      <c r="E92" s="18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52"/>
    </row>
    <row r="93" spans="1:17" x14ac:dyDescent="0.25">
      <c r="A93" s="7"/>
      <c r="B93" s="38"/>
      <c r="C93" s="38"/>
      <c r="D93" s="38"/>
      <c r="E93" s="18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52"/>
    </row>
    <row r="94" spans="1:17" x14ac:dyDescent="0.25">
      <c r="A94" s="7"/>
      <c r="B94" s="38"/>
      <c r="C94" s="38"/>
      <c r="D94" s="38"/>
      <c r="E94" s="18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52"/>
    </row>
    <row r="95" spans="1:17" x14ac:dyDescent="0.25">
      <c r="A95" s="7"/>
      <c r="B95" s="38"/>
      <c r="C95" s="38"/>
      <c r="D95" s="38"/>
      <c r="E95" s="18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52"/>
    </row>
    <row r="96" spans="1:17" x14ac:dyDescent="0.25">
      <c r="A96" s="7"/>
      <c r="B96" s="38"/>
      <c r="C96" s="38"/>
      <c r="D96" s="38"/>
      <c r="E96" s="18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52"/>
    </row>
    <row r="97" spans="1:17" x14ac:dyDescent="0.25">
      <c r="A97" s="7"/>
      <c r="B97" s="38"/>
      <c r="C97" s="38"/>
      <c r="D97" s="38"/>
      <c r="E97" s="18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52"/>
    </row>
    <row r="98" spans="1:17" x14ac:dyDescent="0.25">
      <c r="A98" s="7"/>
      <c r="B98" s="38"/>
      <c r="C98" s="38"/>
      <c r="D98" s="38"/>
      <c r="E98" s="18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52"/>
    </row>
    <row r="99" spans="1:17" x14ac:dyDescent="0.25">
      <c r="A99" s="7"/>
      <c r="B99" s="38"/>
      <c r="C99" s="38"/>
      <c r="D99" s="38"/>
      <c r="E99" s="18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52"/>
    </row>
    <row r="100" spans="1:17" x14ac:dyDescent="0.25">
      <c r="A100" s="7"/>
      <c r="B100" s="38"/>
      <c r="C100" s="38"/>
      <c r="D100" s="38"/>
      <c r="E100" s="18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52"/>
    </row>
    <row r="101" spans="1:17" x14ac:dyDescent="0.25">
      <c r="A101" s="7"/>
      <c r="B101" s="38"/>
      <c r="C101" s="38"/>
      <c r="D101" s="38"/>
      <c r="E101" s="18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52"/>
    </row>
    <row r="102" spans="1:17" x14ac:dyDescent="0.25">
      <c r="A102" s="7"/>
      <c r="B102" s="38"/>
      <c r="C102" s="38"/>
      <c r="D102" s="38"/>
      <c r="E102" s="18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52"/>
    </row>
    <row r="103" spans="1:17" x14ac:dyDescent="0.25">
      <c r="A103" s="7"/>
      <c r="B103" s="38"/>
      <c r="C103" s="38"/>
      <c r="D103" s="38"/>
      <c r="E103" s="18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52"/>
    </row>
    <row r="104" spans="1:17" x14ac:dyDescent="0.25">
      <c r="A104" s="7"/>
      <c r="B104" s="38"/>
      <c r="C104" s="38"/>
      <c r="D104" s="38"/>
      <c r="E104" s="18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52"/>
    </row>
    <row r="105" spans="1:17" x14ac:dyDescent="0.25">
      <c r="A105" s="7"/>
      <c r="B105" s="38"/>
      <c r="C105" s="38"/>
      <c r="D105" s="38"/>
      <c r="E105" s="18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52"/>
    </row>
    <row r="106" spans="1:17" x14ac:dyDescent="0.25">
      <c r="A106" s="7"/>
      <c r="B106" s="38"/>
      <c r="C106" s="38"/>
      <c r="D106" s="38"/>
      <c r="E106" s="18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52"/>
    </row>
    <row r="107" spans="1:17" x14ac:dyDescent="0.25">
      <c r="A107" s="7"/>
      <c r="B107" s="38"/>
      <c r="C107" s="38"/>
      <c r="D107" s="38"/>
      <c r="E107" s="18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52"/>
    </row>
    <row r="108" spans="1:17" x14ac:dyDescent="0.25">
      <c r="A108" s="7"/>
      <c r="B108" s="38"/>
      <c r="C108" s="38"/>
      <c r="D108" s="38"/>
      <c r="E108" s="18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52"/>
    </row>
    <row r="109" spans="1:17" x14ac:dyDescent="0.25">
      <c r="A109" s="7"/>
      <c r="B109" s="38"/>
      <c r="C109" s="38"/>
      <c r="D109" s="38"/>
      <c r="E109" s="18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52"/>
    </row>
    <row r="110" spans="1:17" x14ac:dyDescent="0.25">
      <c r="A110" s="7"/>
      <c r="B110" s="38"/>
      <c r="C110" s="38"/>
      <c r="D110" s="38"/>
      <c r="E110" s="18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52"/>
    </row>
    <row r="111" spans="1:17" x14ac:dyDescent="0.25">
      <c r="A111" s="7"/>
      <c r="B111" s="38"/>
      <c r="C111" s="38"/>
      <c r="D111" s="38"/>
      <c r="E111" s="18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52"/>
    </row>
    <row r="112" spans="1:17" x14ac:dyDescent="0.25">
      <c r="A112" s="7"/>
      <c r="B112" s="38"/>
      <c r="C112" s="38"/>
      <c r="D112" s="38"/>
      <c r="E112" s="18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52"/>
    </row>
    <row r="113" spans="1:17" x14ac:dyDescent="0.25">
      <c r="A113" s="7"/>
      <c r="B113" s="38"/>
      <c r="C113" s="38"/>
      <c r="D113" s="38"/>
      <c r="E113" s="18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52"/>
    </row>
    <row r="114" spans="1:17" x14ac:dyDescent="0.25">
      <c r="A114" s="7"/>
      <c r="B114" s="38"/>
      <c r="C114" s="38"/>
      <c r="D114" s="38"/>
      <c r="E114" s="18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52"/>
    </row>
    <row r="115" spans="1:17" x14ac:dyDescent="0.25">
      <c r="A115" s="7"/>
      <c r="B115" s="38"/>
      <c r="C115" s="38"/>
      <c r="D115" s="38"/>
      <c r="E115" s="18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52"/>
    </row>
    <row r="116" spans="1:17" x14ac:dyDescent="0.25">
      <c r="A116" s="7"/>
      <c r="B116" s="38"/>
      <c r="C116" s="38"/>
      <c r="D116" s="38"/>
      <c r="E116" s="18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52"/>
    </row>
    <row r="117" spans="1:17" x14ac:dyDescent="0.25">
      <c r="A117" s="7"/>
      <c r="B117" s="38"/>
      <c r="C117" s="38"/>
      <c r="D117" s="38"/>
      <c r="E117" s="18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52"/>
    </row>
    <row r="118" spans="1:17" x14ac:dyDescent="0.25">
      <c r="A118" s="7"/>
      <c r="B118" s="38"/>
      <c r="C118" s="38"/>
      <c r="D118" s="38"/>
      <c r="E118" s="18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52"/>
    </row>
    <row r="119" spans="1:17" x14ac:dyDescent="0.25">
      <c r="A119" s="7"/>
      <c r="B119" s="38"/>
      <c r="C119" s="38"/>
      <c r="D119" s="38"/>
      <c r="E119" s="18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52"/>
    </row>
    <row r="120" spans="1:17" x14ac:dyDescent="0.25">
      <c r="A120" s="7"/>
      <c r="B120" s="38"/>
      <c r="C120" s="38"/>
      <c r="D120" s="38"/>
      <c r="E120" s="18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52"/>
    </row>
    <row r="121" spans="1:17" x14ac:dyDescent="0.25">
      <c r="A121" s="7"/>
      <c r="B121" s="38"/>
      <c r="C121" s="38"/>
      <c r="D121" s="38"/>
      <c r="E121" s="18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52"/>
    </row>
    <row r="122" spans="1:17" x14ac:dyDescent="0.25">
      <c r="A122" s="7"/>
      <c r="B122" s="38"/>
      <c r="C122" s="38"/>
      <c r="D122" s="38"/>
      <c r="E122" s="18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52"/>
    </row>
    <row r="123" spans="1:17" x14ac:dyDescent="0.25">
      <c r="A123" s="7"/>
      <c r="B123" s="38"/>
      <c r="C123" s="38"/>
      <c r="D123" s="38"/>
      <c r="E123" s="18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52"/>
    </row>
    <row r="124" spans="1:17" x14ac:dyDescent="0.25">
      <c r="A124" s="7"/>
      <c r="B124" s="38"/>
      <c r="C124" s="38"/>
      <c r="D124" s="38"/>
      <c r="E124" s="18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52"/>
    </row>
    <row r="125" spans="1:17" x14ac:dyDescent="0.25">
      <c r="A125" s="7"/>
      <c r="B125" s="38"/>
      <c r="C125" s="38"/>
      <c r="D125" s="38"/>
      <c r="E125" s="18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52"/>
    </row>
    <row r="126" spans="1:17" x14ac:dyDescent="0.25">
      <c r="A126" s="7"/>
      <c r="B126" s="38"/>
      <c r="C126" s="38"/>
      <c r="D126" s="38"/>
      <c r="E126" s="18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52"/>
    </row>
    <row r="127" spans="1:17" x14ac:dyDescent="0.25">
      <c r="A127" s="7"/>
      <c r="B127" s="38"/>
      <c r="C127" s="38"/>
      <c r="D127" s="38"/>
      <c r="E127" s="18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52"/>
    </row>
    <row r="128" spans="1:17" x14ac:dyDescent="0.25">
      <c r="A128" s="7"/>
      <c r="B128" s="38"/>
      <c r="C128" s="38"/>
      <c r="D128" s="38"/>
      <c r="E128" s="18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52"/>
    </row>
    <row r="129" spans="1:17" x14ac:dyDescent="0.25">
      <c r="A129" s="7"/>
      <c r="B129" s="38"/>
      <c r="C129" s="38"/>
      <c r="D129" s="38"/>
      <c r="E129" s="18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52"/>
    </row>
    <row r="130" spans="1:17" x14ac:dyDescent="0.25">
      <c r="A130" s="7"/>
      <c r="B130" s="38"/>
      <c r="C130" s="38"/>
      <c r="D130" s="38"/>
      <c r="E130" s="18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52"/>
    </row>
    <row r="131" spans="1:17" x14ac:dyDescent="0.25">
      <c r="A131" s="7"/>
      <c r="B131" s="38"/>
      <c r="C131" s="38"/>
      <c r="D131" s="38"/>
      <c r="E131" s="18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52"/>
    </row>
    <row r="132" spans="1:17" x14ac:dyDescent="0.25">
      <c r="A132" s="7"/>
      <c r="B132" s="38"/>
      <c r="C132" s="38"/>
      <c r="D132" s="38"/>
      <c r="E132" s="18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52"/>
    </row>
    <row r="133" spans="1:17" x14ac:dyDescent="0.25">
      <c r="A133" s="7"/>
      <c r="B133" s="38"/>
      <c r="C133" s="38"/>
      <c r="D133" s="38"/>
      <c r="E133" s="18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52"/>
    </row>
    <row r="134" spans="1:17" x14ac:dyDescent="0.25">
      <c r="A134" s="7"/>
      <c r="B134" s="38"/>
      <c r="C134" s="38"/>
      <c r="D134" s="38"/>
      <c r="E134" s="18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52"/>
    </row>
    <row r="135" spans="1:17" x14ac:dyDescent="0.25">
      <c r="A135" s="7"/>
      <c r="B135" s="38"/>
      <c r="C135" s="38"/>
      <c r="D135" s="38"/>
      <c r="E135" s="18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52"/>
    </row>
    <row r="136" spans="1:17" x14ac:dyDescent="0.25">
      <c r="A136" s="7"/>
      <c r="B136" s="38"/>
      <c r="C136" s="38"/>
      <c r="D136" s="38"/>
      <c r="E136" s="18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52"/>
    </row>
    <row r="137" spans="1:17" x14ac:dyDescent="0.25">
      <c r="A137" s="7"/>
      <c r="B137" s="15"/>
      <c r="C137" s="15"/>
      <c r="D137" s="15"/>
      <c r="E137" s="11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52"/>
    </row>
    <row r="138" spans="1:17" x14ac:dyDescent="0.25">
      <c r="A138" s="7"/>
      <c r="B138" s="15"/>
      <c r="C138" s="15"/>
      <c r="D138" s="15"/>
      <c r="E138" s="11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52"/>
    </row>
    <row r="139" spans="1:17" x14ac:dyDescent="0.25">
      <c r="A139" s="7"/>
      <c r="B139" s="38"/>
      <c r="C139" s="38"/>
      <c r="D139" s="38"/>
      <c r="E139" s="18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52"/>
    </row>
    <row r="140" spans="1:17" x14ac:dyDescent="0.25">
      <c r="A140" s="7"/>
      <c r="B140" s="38"/>
      <c r="C140" s="38"/>
      <c r="D140" s="38"/>
      <c r="E140" s="18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52"/>
    </row>
    <row r="141" spans="1:17" x14ac:dyDescent="0.25">
      <c r="A141" s="7"/>
      <c r="B141" s="38"/>
      <c r="C141" s="38"/>
      <c r="D141" s="38"/>
      <c r="E141" s="18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52"/>
    </row>
    <row r="142" spans="1:17" x14ac:dyDescent="0.25">
      <c r="A142" s="7"/>
      <c r="B142" s="38"/>
      <c r="C142" s="38"/>
      <c r="D142" s="38"/>
      <c r="E142" s="18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52"/>
    </row>
    <row r="143" spans="1:17" x14ac:dyDescent="0.25">
      <c r="A143" s="7"/>
      <c r="B143" s="38"/>
      <c r="C143" s="38"/>
      <c r="D143" s="38"/>
      <c r="E143" s="18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52"/>
    </row>
    <row r="144" spans="1:17" x14ac:dyDescent="0.25">
      <c r="A144" s="7"/>
      <c r="B144" s="38"/>
      <c r="C144" s="38"/>
      <c r="D144" s="38"/>
      <c r="E144" s="18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52"/>
    </row>
    <row r="145" spans="1:17" x14ac:dyDescent="0.25">
      <c r="A145" s="7"/>
      <c r="B145" s="38"/>
      <c r="C145" s="38"/>
      <c r="D145" s="38"/>
      <c r="E145" s="18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52"/>
    </row>
    <row r="146" spans="1:17" x14ac:dyDescent="0.25">
      <c r="A146" s="7"/>
      <c r="B146" s="38"/>
      <c r="C146" s="38"/>
      <c r="D146" s="38"/>
      <c r="E146" s="18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52"/>
    </row>
    <row r="147" spans="1:17" x14ac:dyDescent="0.25">
      <c r="A147" s="7"/>
      <c r="B147" s="38"/>
      <c r="C147" s="38"/>
      <c r="D147" s="38"/>
      <c r="E147" s="18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52"/>
    </row>
    <row r="148" spans="1:17" x14ac:dyDescent="0.25">
      <c r="A148" s="7"/>
      <c r="B148" s="38"/>
      <c r="C148" s="38"/>
      <c r="D148" s="38"/>
      <c r="E148" s="18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52"/>
    </row>
    <row r="149" spans="1:17" x14ac:dyDescent="0.25">
      <c r="A149" s="7"/>
      <c r="B149" s="38"/>
      <c r="C149" s="38"/>
      <c r="D149" s="38"/>
      <c r="E149" s="18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52"/>
    </row>
    <row r="150" spans="1:17" x14ac:dyDescent="0.25">
      <c r="A150" s="7"/>
      <c r="B150" s="38"/>
      <c r="C150" s="38"/>
      <c r="D150" s="38"/>
      <c r="E150" s="18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52"/>
    </row>
    <row r="151" spans="1:17" x14ac:dyDescent="0.25">
      <c r="A151" s="7"/>
      <c r="B151" s="38"/>
      <c r="C151" s="38"/>
      <c r="D151" s="38"/>
      <c r="E151" s="18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52"/>
    </row>
    <row r="152" spans="1:17" x14ac:dyDescent="0.25">
      <c r="A152" s="7"/>
      <c r="B152" s="38"/>
      <c r="C152" s="38"/>
      <c r="D152" s="38"/>
      <c r="E152" s="18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52"/>
    </row>
    <row r="153" spans="1:17" x14ac:dyDescent="0.25">
      <c r="A153" s="7"/>
      <c r="B153" s="38"/>
      <c r="C153" s="38"/>
      <c r="D153" s="38"/>
      <c r="E153" s="18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52"/>
    </row>
    <row r="154" spans="1:17" x14ac:dyDescent="0.25">
      <c r="A154" s="7"/>
      <c r="B154" s="38"/>
      <c r="C154" s="38"/>
      <c r="D154" s="38"/>
      <c r="E154" s="18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52"/>
    </row>
    <row r="155" spans="1:17" x14ac:dyDescent="0.25">
      <c r="A155" s="7"/>
      <c r="B155" s="38"/>
      <c r="C155" s="38"/>
      <c r="D155" s="38"/>
      <c r="E155" s="18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52"/>
    </row>
    <row r="156" spans="1:17" x14ac:dyDescent="0.25">
      <c r="A156" s="7"/>
      <c r="B156" s="38"/>
      <c r="C156" s="38"/>
      <c r="D156" s="38"/>
      <c r="E156" s="18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52"/>
    </row>
    <row r="157" spans="1:17" x14ac:dyDescent="0.25">
      <c r="A157" s="7"/>
      <c r="B157" s="38"/>
      <c r="C157" s="38"/>
      <c r="D157" s="38"/>
      <c r="E157" s="18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52"/>
    </row>
    <row r="158" spans="1:17" x14ac:dyDescent="0.25">
      <c r="A158" s="7"/>
      <c r="B158" s="38"/>
      <c r="C158" s="38"/>
      <c r="D158" s="38"/>
      <c r="E158" s="18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52"/>
    </row>
    <row r="159" spans="1:17" x14ac:dyDescent="0.25">
      <c r="A159" s="7"/>
      <c r="B159" s="38"/>
      <c r="C159" s="38"/>
      <c r="D159" s="38"/>
      <c r="E159" s="18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52"/>
    </row>
    <row r="160" spans="1:17" x14ac:dyDescent="0.25">
      <c r="A160" s="7"/>
      <c r="B160" s="38"/>
      <c r="C160" s="38"/>
      <c r="D160" s="38"/>
      <c r="E160" s="18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52"/>
    </row>
    <row r="161" spans="1:17" x14ac:dyDescent="0.25">
      <c r="A161" s="7"/>
      <c r="B161" s="38"/>
      <c r="C161" s="38"/>
      <c r="D161" s="38"/>
      <c r="E161" s="18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52"/>
    </row>
    <row r="162" spans="1:17" x14ac:dyDescent="0.25">
      <c r="A162" s="7"/>
      <c r="B162" s="38"/>
      <c r="C162" s="38"/>
      <c r="D162" s="38"/>
      <c r="E162" s="18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52"/>
    </row>
    <row r="163" spans="1:17" x14ac:dyDescent="0.25">
      <c r="A163" s="7"/>
      <c r="B163" s="38"/>
      <c r="C163" s="38"/>
      <c r="D163" s="38"/>
      <c r="E163" s="18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52"/>
    </row>
    <row r="164" spans="1:17" x14ac:dyDescent="0.25">
      <c r="A164" s="7"/>
      <c r="B164" s="38"/>
      <c r="C164" s="38"/>
      <c r="D164" s="38"/>
      <c r="E164" s="18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52"/>
    </row>
    <row r="165" spans="1:17" x14ac:dyDescent="0.25">
      <c r="A165" s="7"/>
      <c r="B165" s="15"/>
      <c r="C165" s="15"/>
      <c r="D165" s="15"/>
      <c r="E165" s="11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52"/>
    </row>
    <row r="166" spans="1:17" x14ac:dyDescent="0.25">
      <c r="A166" s="7"/>
      <c r="B166" s="15"/>
      <c r="C166" s="15"/>
      <c r="D166" s="15"/>
      <c r="E166" s="11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52"/>
    </row>
    <row r="167" spans="1:17" x14ac:dyDescent="0.25">
      <c r="A167" s="7"/>
      <c r="B167" s="38"/>
      <c r="C167" s="38"/>
      <c r="D167" s="38"/>
      <c r="E167" s="18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52"/>
    </row>
    <row r="168" spans="1:17" x14ac:dyDescent="0.25">
      <c r="A168" s="7"/>
      <c r="B168" s="38"/>
      <c r="C168" s="38"/>
      <c r="D168" s="38"/>
      <c r="E168" s="18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52"/>
    </row>
    <row r="169" spans="1:17" x14ac:dyDescent="0.25">
      <c r="A169" s="7"/>
      <c r="B169" s="38"/>
      <c r="C169" s="38"/>
      <c r="D169" s="38"/>
      <c r="E169" s="18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52"/>
    </row>
    <row r="170" spans="1:17" x14ac:dyDescent="0.25">
      <c r="A170" s="7"/>
      <c r="B170" s="38"/>
      <c r="C170" s="38"/>
      <c r="D170" s="38"/>
      <c r="E170" s="18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52"/>
    </row>
    <row r="171" spans="1:17" x14ac:dyDescent="0.25">
      <c r="A171" s="7"/>
      <c r="B171" s="38"/>
      <c r="C171" s="38"/>
      <c r="D171" s="38"/>
      <c r="E171" s="18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52"/>
    </row>
    <row r="172" spans="1:17" x14ac:dyDescent="0.25">
      <c r="A172" s="7"/>
      <c r="B172" s="38"/>
      <c r="C172" s="38"/>
      <c r="D172" s="38"/>
      <c r="E172" s="18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52"/>
    </row>
    <row r="173" spans="1:17" x14ac:dyDescent="0.25">
      <c r="A173" s="7"/>
      <c r="B173" s="38"/>
      <c r="C173" s="38"/>
      <c r="D173" s="38"/>
      <c r="E173" s="18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52"/>
    </row>
    <row r="174" spans="1:17" x14ac:dyDescent="0.25">
      <c r="A174" s="7"/>
      <c r="B174" s="38"/>
      <c r="C174" s="38"/>
      <c r="D174" s="38"/>
      <c r="E174" s="18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52"/>
    </row>
    <row r="175" spans="1:17" x14ac:dyDescent="0.25">
      <c r="A175" s="7"/>
      <c r="B175" s="38"/>
      <c r="C175" s="38"/>
      <c r="D175" s="38"/>
      <c r="E175" s="18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52"/>
    </row>
    <row r="176" spans="1:17" x14ac:dyDescent="0.25">
      <c r="A176" s="7"/>
      <c r="B176" s="38"/>
      <c r="C176" s="38"/>
      <c r="D176" s="38"/>
      <c r="E176" s="18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52"/>
    </row>
    <row r="177" spans="1:17" x14ac:dyDescent="0.25">
      <c r="A177" s="7"/>
      <c r="B177" s="38"/>
      <c r="C177" s="38"/>
      <c r="D177" s="38"/>
      <c r="E177" s="18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52"/>
    </row>
    <row r="178" spans="1:17" x14ac:dyDescent="0.25">
      <c r="A178" s="7"/>
      <c r="B178" s="38"/>
      <c r="C178" s="38"/>
      <c r="D178" s="38"/>
      <c r="E178" s="18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52"/>
    </row>
    <row r="179" spans="1:17" x14ac:dyDescent="0.25">
      <c r="A179" s="7"/>
      <c r="B179" s="38"/>
      <c r="C179" s="38"/>
      <c r="D179" s="38"/>
      <c r="E179" s="18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52"/>
    </row>
    <row r="180" spans="1:17" x14ac:dyDescent="0.25">
      <c r="A180" s="7"/>
      <c r="B180" s="38"/>
      <c r="C180" s="38"/>
      <c r="D180" s="38"/>
      <c r="E180" s="18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52"/>
    </row>
    <row r="181" spans="1:17" x14ac:dyDescent="0.25">
      <c r="A181" s="7"/>
      <c r="B181" s="38"/>
      <c r="C181" s="38"/>
      <c r="D181" s="38"/>
      <c r="E181" s="18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52"/>
    </row>
    <row r="182" spans="1:17" x14ac:dyDescent="0.25">
      <c r="A182" s="7"/>
      <c r="B182" s="38"/>
      <c r="C182" s="38"/>
      <c r="D182" s="38"/>
      <c r="E182" s="18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52"/>
    </row>
    <row r="183" spans="1:17" x14ac:dyDescent="0.25">
      <c r="A183" s="7"/>
      <c r="B183" s="38"/>
      <c r="C183" s="38"/>
      <c r="D183" s="38"/>
      <c r="E183" s="18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52"/>
    </row>
    <row r="184" spans="1:17" x14ac:dyDescent="0.25">
      <c r="A184" s="7"/>
      <c r="B184" s="38"/>
      <c r="C184" s="38"/>
      <c r="D184" s="38"/>
      <c r="E184" s="18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52"/>
    </row>
    <row r="185" spans="1:17" x14ac:dyDescent="0.25">
      <c r="A185" s="7"/>
      <c r="B185" s="38"/>
      <c r="C185" s="38"/>
      <c r="D185" s="38"/>
      <c r="E185" s="18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52"/>
    </row>
    <row r="186" spans="1:17" x14ac:dyDescent="0.25">
      <c r="A186" s="7"/>
      <c r="B186" s="38"/>
      <c r="C186" s="38"/>
      <c r="D186" s="38"/>
      <c r="E186" s="18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52"/>
    </row>
    <row r="187" spans="1:17" x14ac:dyDescent="0.25">
      <c r="A187" s="7"/>
      <c r="B187" s="38"/>
      <c r="C187" s="38"/>
      <c r="D187" s="38"/>
      <c r="E187" s="18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52"/>
    </row>
    <row r="188" spans="1:17" x14ac:dyDescent="0.25">
      <c r="A188" s="7"/>
      <c r="B188" s="38"/>
      <c r="C188" s="38"/>
      <c r="D188" s="38"/>
      <c r="E188" s="18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52"/>
    </row>
    <row r="189" spans="1:17" x14ac:dyDescent="0.25">
      <c r="A189" s="7"/>
      <c r="B189" s="38"/>
      <c r="C189" s="38"/>
      <c r="D189" s="38"/>
      <c r="E189" s="18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52"/>
    </row>
    <row r="190" spans="1:17" x14ac:dyDescent="0.25">
      <c r="A190" s="7"/>
      <c r="B190" s="38"/>
      <c r="C190" s="38"/>
      <c r="D190" s="38"/>
      <c r="E190" s="18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52"/>
    </row>
    <row r="191" spans="1:17" x14ac:dyDescent="0.25">
      <c r="A191" s="7"/>
      <c r="B191" s="38"/>
      <c r="C191" s="38"/>
      <c r="D191" s="38"/>
      <c r="E191" s="18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52"/>
    </row>
    <row r="192" spans="1:17" x14ac:dyDescent="0.25">
      <c r="A192" s="7"/>
      <c r="B192" s="38"/>
      <c r="C192" s="38"/>
      <c r="D192" s="38"/>
      <c r="E192" s="18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52"/>
    </row>
    <row r="193" spans="1:17" x14ac:dyDescent="0.25">
      <c r="A193" s="7"/>
      <c r="B193" s="38"/>
      <c r="C193" s="38"/>
      <c r="D193" s="38"/>
      <c r="E193" s="18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52"/>
    </row>
    <row r="194" spans="1:17" x14ac:dyDescent="0.25">
      <c r="A194" s="7"/>
      <c r="B194" s="38"/>
      <c r="C194" s="38"/>
      <c r="D194" s="38"/>
      <c r="E194" s="18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52"/>
    </row>
    <row r="195" spans="1:17" x14ac:dyDescent="0.25">
      <c r="A195" s="7"/>
      <c r="B195" s="38"/>
      <c r="C195" s="38"/>
      <c r="D195" s="38"/>
      <c r="E195" s="18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52"/>
    </row>
    <row r="196" spans="1:17" x14ac:dyDescent="0.25">
      <c r="A196" s="7"/>
      <c r="B196" s="38"/>
      <c r="C196" s="38"/>
      <c r="D196" s="38"/>
      <c r="E196" s="18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52"/>
    </row>
    <row r="197" spans="1:17" x14ac:dyDescent="0.25">
      <c r="A197" s="7"/>
      <c r="B197" s="38"/>
      <c r="C197" s="38"/>
      <c r="D197" s="38"/>
      <c r="E197" s="18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52"/>
    </row>
    <row r="198" spans="1:17" x14ac:dyDescent="0.25">
      <c r="A198" s="7"/>
      <c r="B198" s="38"/>
      <c r="C198" s="38"/>
      <c r="D198" s="38"/>
      <c r="E198" s="18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52"/>
    </row>
    <row r="199" spans="1:17" x14ac:dyDescent="0.25">
      <c r="A199" s="7"/>
      <c r="B199" s="38"/>
      <c r="C199" s="38"/>
      <c r="D199" s="38"/>
      <c r="E199" s="18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52"/>
    </row>
    <row r="200" spans="1:17" x14ac:dyDescent="0.25">
      <c r="A200" s="7"/>
      <c r="B200" s="38"/>
      <c r="C200" s="38"/>
      <c r="D200" s="38"/>
      <c r="E200" s="18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52"/>
    </row>
    <row r="201" spans="1:17" x14ac:dyDescent="0.25">
      <c r="A201" s="7"/>
      <c r="B201" s="38"/>
      <c r="C201" s="38"/>
      <c r="D201" s="38"/>
      <c r="E201" s="18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52"/>
    </row>
    <row r="202" spans="1:17" x14ac:dyDescent="0.25">
      <c r="A202" s="7"/>
      <c r="B202" s="38"/>
      <c r="C202" s="38"/>
      <c r="D202" s="38"/>
      <c r="E202" s="18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52"/>
    </row>
    <row r="203" spans="1:17" x14ac:dyDescent="0.25">
      <c r="A203" s="7"/>
      <c r="B203" s="38"/>
      <c r="C203" s="38"/>
      <c r="D203" s="38"/>
      <c r="E203" s="18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52"/>
    </row>
    <row r="204" spans="1:17" x14ac:dyDescent="0.25">
      <c r="A204" s="7"/>
      <c r="B204" s="38"/>
      <c r="C204" s="38"/>
      <c r="D204" s="38"/>
      <c r="E204" s="18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52"/>
    </row>
    <row r="205" spans="1:17" x14ac:dyDescent="0.25">
      <c r="A205" s="7"/>
      <c r="B205" s="38"/>
      <c r="C205" s="38"/>
      <c r="D205" s="38"/>
      <c r="E205" s="18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52"/>
    </row>
    <row r="206" spans="1:17" x14ac:dyDescent="0.25">
      <c r="A206" s="7"/>
      <c r="B206" s="38"/>
      <c r="C206" s="38"/>
      <c r="D206" s="38"/>
      <c r="E206" s="18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52"/>
    </row>
    <row r="207" spans="1:17" x14ac:dyDescent="0.25">
      <c r="A207" s="7"/>
      <c r="B207" s="38"/>
      <c r="C207" s="38"/>
      <c r="D207" s="38"/>
      <c r="E207" s="18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52"/>
    </row>
    <row r="208" spans="1:17" x14ac:dyDescent="0.25">
      <c r="A208" s="7"/>
      <c r="B208" s="38"/>
      <c r="C208" s="38"/>
      <c r="D208" s="38"/>
      <c r="E208" s="18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52"/>
    </row>
    <row r="209" spans="1:17" x14ac:dyDescent="0.25">
      <c r="A209" s="7"/>
      <c r="B209" s="38"/>
      <c r="C209" s="38"/>
      <c r="D209" s="38"/>
      <c r="E209" s="18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52"/>
    </row>
    <row r="210" spans="1:17" x14ac:dyDescent="0.25">
      <c r="A210" s="7"/>
      <c r="B210" s="38"/>
      <c r="C210" s="38"/>
      <c r="D210" s="38"/>
      <c r="E210" s="18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52"/>
    </row>
    <row r="211" spans="1:17" x14ac:dyDescent="0.25">
      <c r="A211" s="7"/>
      <c r="B211" s="38"/>
      <c r="C211" s="38"/>
      <c r="D211" s="38"/>
      <c r="E211" s="18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52"/>
    </row>
    <row r="212" spans="1:17" x14ac:dyDescent="0.25">
      <c r="A212" s="7"/>
      <c r="B212" s="38"/>
      <c r="C212" s="38"/>
      <c r="D212" s="38"/>
      <c r="E212" s="18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52"/>
    </row>
    <row r="213" spans="1:17" x14ac:dyDescent="0.25">
      <c r="A213" s="7"/>
      <c r="B213" s="38"/>
      <c r="C213" s="38"/>
      <c r="D213" s="38"/>
      <c r="E213" s="18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52"/>
    </row>
    <row r="214" spans="1:17" x14ac:dyDescent="0.25">
      <c r="A214" s="7"/>
      <c r="B214" s="38"/>
      <c r="C214" s="38"/>
      <c r="D214" s="38"/>
      <c r="E214" s="18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52"/>
    </row>
    <row r="215" spans="1:17" x14ac:dyDescent="0.25">
      <c r="A215" s="7"/>
      <c r="B215" s="38"/>
      <c r="C215" s="38"/>
      <c r="D215" s="38"/>
      <c r="E215" s="18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52"/>
    </row>
    <row r="216" spans="1:17" x14ac:dyDescent="0.25">
      <c r="A216" s="7"/>
      <c r="B216" s="38"/>
      <c r="C216" s="38"/>
      <c r="D216" s="38"/>
      <c r="E216" s="18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52"/>
    </row>
    <row r="217" spans="1:17" x14ac:dyDescent="0.25">
      <c r="A217" s="7"/>
      <c r="B217" s="38"/>
      <c r="C217" s="38"/>
      <c r="D217" s="38"/>
      <c r="E217" s="18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52"/>
    </row>
    <row r="218" spans="1:17" x14ac:dyDescent="0.25">
      <c r="A218" s="7"/>
      <c r="B218" s="38"/>
      <c r="C218" s="38"/>
      <c r="D218" s="38"/>
      <c r="E218" s="18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52"/>
    </row>
    <row r="219" spans="1:17" x14ac:dyDescent="0.25">
      <c r="A219" s="7"/>
      <c r="B219" s="38"/>
      <c r="C219" s="38"/>
      <c r="D219" s="38"/>
      <c r="E219" s="18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52"/>
    </row>
    <row r="220" spans="1:17" x14ac:dyDescent="0.25">
      <c r="A220" s="7"/>
      <c r="B220" s="38"/>
      <c r="C220" s="38"/>
      <c r="D220" s="38"/>
      <c r="E220" s="18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52"/>
    </row>
    <row r="221" spans="1:17" x14ac:dyDescent="0.25">
      <c r="A221" s="7"/>
      <c r="B221" s="38"/>
      <c r="C221" s="38"/>
      <c r="D221" s="38"/>
      <c r="E221" s="18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52"/>
    </row>
    <row r="222" spans="1:17" x14ac:dyDescent="0.25">
      <c r="A222" s="7"/>
      <c r="B222" s="38"/>
      <c r="C222" s="38"/>
      <c r="D222" s="38"/>
      <c r="E222" s="18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52"/>
    </row>
    <row r="223" spans="1:17" x14ac:dyDescent="0.25">
      <c r="A223" s="7"/>
      <c r="B223" s="15"/>
      <c r="C223" s="15"/>
      <c r="D223" s="15"/>
      <c r="E223" s="11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52"/>
    </row>
    <row r="224" spans="1:17" x14ac:dyDescent="0.25">
      <c r="A224" s="7"/>
      <c r="B224" s="15"/>
      <c r="C224" s="15"/>
      <c r="D224" s="15"/>
      <c r="E224" s="11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52"/>
    </row>
    <row r="225" spans="1:17" x14ac:dyDescent="0.25">
      <c r="A225" s="7"/>
      <c r="B225" s="15"/>
      <c r="C225" s="15"/>
      <c r="D225" s="15"/>
      <c r="E225" s="11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52"/>
    </row>
    <row r="226" spans="1:17" x14ac:dyDescent="0.25">
      <c r="A226" s="7"/>
      <c r="B226" s="15"/>
      <c r="C226" s="15"/>
      <c r="D226" s="15"/>
      <c r="E226" s="11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52"/>
    </row>
    <row r="227" spans="1:17" x14ac:dyDescent="0.25">
      <c r="A227" s="7"/>
      <c r="B227" s="15"/>
      <c r="C227" s="15"/>
      <c r="D227" s="15"/>
      <c r="E227" s="11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52"/>
    </row>
    <row r="228" spans="1:17" x14ac:dyDescent="0.25">
      <c r="A228" s="7"/>
      <c r="B228" s="15"/>
      <c r="C228" s="15"/>
      <c r="D228" s="15"/>
      <c r="E228" s="11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52"/>
    </row>
    <row r="229" spans="1:17" x14ac:dyDescent="0.25">
      <c r="A229" s="7"/>
      <c r="B229" s="15"/>
      <c r="C229" s="15"/>
      <c r="D229" s="15"/>
      <c r="E229" s="11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52"/>
    </row>
    <row r="230" spans="1:17" x14ac:dyDescent="0.25">
      <c r="A230" s="7"/>
      <c r="B230" s="15"/>
      <c r="C230" s="15"/>
      <c r="D230" s="15"/>
      <c r="E230" s="11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52"/>
    </row>
    <row r="231" spans="1:17" x14ac:dyDescent="0.25">
      <c r="A231" s="7"/>
      <c r="B231" s="15"/>
      <c r="C231" s="15"/>
      <c r="D231" s="15"/>
      <c r="E231" s="11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52"/>
    </row>
    <row r="232" spans="1:17" x14ac:dyDescent="0.25">
      <c r="A232" s="7"/>
      <c r="B232" s="15"/>
      <c r="C232" s="15"/>
      <c r="D232" s="15"/>
      <c r="E232" s="11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52"/>
    </row>
    <row r="233" spans="1:17" x14ac:dyDescent="0.25">
      <c r="A233" s="7"/>
      <c r="B233" s="15"/>
      <c r="C233" s="15"/>
      <c r="D233" s="15"/>
      <c r="E233" s="11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52"/>
    </row>
    <row r="234" spans="1:17" x14ac:dyDescent="0.25">
      <c r="A234" s="7"/>
      <c r="B234" s="15"/>
      <c r="C234" s="15"/>
      <c r="D234" s="15"/>
      <c r="E234" s="11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52"/>
    </row>
    <row r="235" spans="1:17" x14ac:dyDescent="0.25">
      <c r="A235" s="7"/>
      <c r="B235" s="15"/>
      <c r="C235" s="15"/>
      <c r="D235" s="15"/>
      <c r="E235" s="11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52"/>
    </row>
    <row r="236" spans="1:17" x14ac:dyDescent="0.25">
      <c r="A236" s="7"/>
      <c r="B236" s="15"/>
      <c r="C236" s="15"/>
      <c r="D236" s="15"/>
      <c r="E236" s="11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52"/>
    </row>
    <row r="237" spans="1:17" x14ac:dyDescent="0.25">
      <c r="A237" s="7"/>
      <c r="B237" s="15"/>
      <c r="C237" s="15"/>
      <c r="D237" s="15"/>
      <c r="E237" s="11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52"/>
    </row>
    <row r="238" spans="1:17" x14ac:dyDescent="0.25">
      <c r="A238" s="7"/>
      <c r="B238" s="15"/>
      <c r="C238" s="15"/>
      <c r="D238" s="15"/>
      <c r="E238" s="11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52"/>
    </row>
    <row r="239" spans="1:17" x14ac:dyDescent="0.25">
      <c r="A239" s="7"/>
      <c r="B239" s="15"/>
      <c r="C239" s="15"/>
      <c r="D239" s="15"/>
      <c r="E239" s="11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52"/>
    </row>
    <row r="240" spans="1:17" x14ac:dyDescent="0.25">
      <c r="A240" s="7"/>
      <c r="B240" s="15"/>
      <c r="C240" s="15"/>
      <c r="D240" s="15"/>
      <c r="E240" s="11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52"/>
    </row>
    <row r="241" spans="1:17" x14ac:dyDescent="0.25">
      <c r="A241" s="7"/>
      <c r="B241" s="15"/>
      <c r="C241" s="15"/>
      <c r="D241" s="15"/>
      <c r="E241" s="11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52"/>
    </row>
    <row r="242" spans="1:17" x14ac:dyDescent="0.25">
      <c r="A242" s="7"/>
      <c r="B242" s="15"/>
      <c r="C242" s="15"/>
      <c r="D242" s="15"/>
      <c r="E242" s="11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52"/>
    </row>
    <row r="243" spans="1:17" x14ac:dyDescent="0.25">
      <c r="A243" s="7"/>
      <c r="B243" s="15"/>
      <c r="C243" s="15"/>
      <c r="D243" s="15"/>
      <c r="E243" s="11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52"/>
    </row>
    <row r="244" spans="1:17" x14ac:dyDescent="0.25">
      <c r="A244" s="7"/>
      <c r="B244" s="15"/>
      <c r="C244" s="15"/>
      <c r="D244" s="15"/>
      <c r="E244" s="11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52"/>
    </row>
    <row r="245" spans="1:17" x14ac:dyDescent="0.25">
      <c r="A245" s="7"/>
      <c r="B245" s="15"/>
      <c r="C245" s="15"/>
      <c r="D245" s="15"/>
      <c r="E245" s="11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52"/>
    </row>
    <row r="246" spans="1:17" x14ac:dyDescent="0.25">
      <c r="A246" s="7"/>
      <c r="B246" s="15"/>
      <c r="C246" s="15"/>
      <c r="D246" s="15"/>
      <c r="E246" s="11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52"/>
    </row>
    <row r="247" spans="1:17" x14ac:dyDescent="0.25">
      <c r="A247" s="7"/>
      <c r="B247" s="15"/>
      <c r="C247" s="15"/>
      <c r="D247" s="15"/>
      <c r="E247" s="11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52"/>
    </row>
    <row r="248" spans="1:17" x14ac:dyDescent="0.25">
      <c r="A248" s="7"/>
      <c r="B248" s="15"/>
      <c r="C248" s="15"/>
      <c r="D248" s="15"/>
      <c r="E248" s="11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52"/>
    </row>
    <row r="249" spans="1:17" x14ac:dyDescent="0.25">
      <c r="A249" s="7"/>
      <c r="B249" s="15"/>
      <c r="C249" s="15"/>
      <c r="D249" s="15"/>
      <c r="E249" s="11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52"/>
    </row>
    <row r="250" spans="1:17" x14ac:dyDescent="0.25">
      <c r="A250" s="7"/>
      <c r="B250" s="15"/>
      <c r="C250" s="15"/>
      <c r="D250" s="15"/>
      <c r="E250" s="11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52"/>
    </row>
    <row r="251" spans="1:17" x14ac:dyDescent="0.25">
      <c r="A251" s="7"/>
      <c r="B251" s="15"/>
      <c r="C251" s="15"/>
      <c r="D251" s="15"/>
      <c r="E251" s="11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52"/>
    </row>
    <row r="252" spans="1:17" x14ac:dyDescent="0.25">
      <c r="A252" s="7"/>
      <c r="B252" s="15"/>
      <c r="C252" s="15"/>
      <c r="D252" s="15"/>
      <c r="E252" s="11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52"/>
    </row>
    <row r="253" spans="1:17" x14ac:dyDescent="0.25">
      <c r="A253" s="7"/>
      <c r="B253" s="15"/>
      <c r="C253" s="15"/>
      <c r="D253" s="15"/>
      <c r="E253" s="11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52"/>
    </row>
    <row r="254" spans="1:17" x14ac:dyDescent="0.25">
      <c r="A254" s="7"/>
      <c r="B254" s="15"/>
      <c r="C254" s="15"/>
      <c r="D254" s="15"/>
      <c r="E254" s="11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52"/>
    </row>
    <row r="255" spans="1:17" x14ac:dyDescent="0.25">
      <c r="A255" s="7"/>
      <c r="B255" s="15"/>
      <c r="C255" s="15"/>
      <c r="D255" s="15"/>
      <c r="E255" s="11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52"/>
    </row>
    <row r="256" spans="1:17" x14ac:dyDescent="0.25">
      <c r="A256" s="7"/>
      <c r="B256" s="15"/>
      <c r="C256" s="15"/>
      <c r="D256" s="15"/>
      <c r="E256" s="11"/>
      <c r="F256" s="45"/>
      <c r="G256" s="45"/>
      <c r="H256" s="45"/>
      <c r="I256" s="45"/>
      <c r="J256" s="42"/>
      <c r="K256" s="42"/>
      <c r="L256" s="42"/>
      <c r="M256" s="42"/>
      <c r="N256" s="42"/>
      <c r="O256" s="42"/>
      <c r="P256" s="42"/>
      <c r="Q256" s="52"/>
    </row>
    <row r="257" spans="1:17" x14ac:dyDescent="0.25">
      <c r="A257" s="7"/>
      <c r="B257" s="15"/>
      <c r="C257" s="15"/>
      <c r="D257" s="15"/>
      <c r="E257" s="11"/>
      <c r="F257" s="45"/>
      <c r="G257" s="45"/>
      <c r="H257" s="45"/>
      <c r="I257" s="45"/>
      <c r="J257" s="42"/>
      <c r="K257" s="42"/>
      <c r="L257" s="42"/>
      <c r="M257" s="42"/>
      <c r="N257" s="42"/>
      <c r="O257" s="42"/>
      <c r="P257" s="42"/>
      <c r="Q257" s="52"/>
    </row>
    <row r="258" spans="1:17" x14ac:dyDescent="0.25">
      <c r="A258" s="7"/>
      <c r="B258" s="15"/>
      <c r="C258" s="15"/>
      <c r="D258" s="15"/>
      <c r="E258" s="11"/>
      <c r="F258" s="45"/>
      <c r="G258" s="45"/>
      <c r="H258" s="45"/>
      <c r="I258" s="45"/>
      <c r="J258" s="42"/>
      <c r="K258" s="42"/>
      <c r="L258" s="42"/>
      <c r="M258" s="42"/>
      <c r="N258" s="42"/>
      <c r="O258" s="42"/>
      <c r="P258" s="42"/>
      <c r="Q258" s="52"/>
    </row>
    <row r="259" spans="1:17" x14ac:dyDescent="0.25">
      <c r="A259" s="7"/>
      <c r="B259" s="15"/>
      <c r="C259" s="15"/>
      <c r="D259" s="15"/>
      <c r="E259" s="11"/>
      <c r="F259" s="45"/>
      <c r="G259" s="45"/>
      <c r="H259" s="45"/>
      <c r="I259" s="45"/>
      <c r="J259" s="42"/>
      <c r="K259" s="42"/>
      <c r="L259" s="42"/>
      <c r="M259" s="42"/>
      <c r="N259" s="42"/>
      <c r="O259" s="42"/>
      <c r="P259" s="42"/>
      <c r="Q259" s="52"/>
    </row>
    <row r="260" spans="1:17" x14ac:dyDescent="0.25">
      <c r="A260" s="7"/>
      <c r="B260" s="15"/>
      <c r="C260" s="15"/>
      <c r="D260" s="15"/>
      <c r="E260" s="11"/>
      <c r="F260" s="45"/>
      <c r="G260" s="45"/>
      <c r="H260" s="45"/>
      <c r="I260" s="45"/>
      <c r="J260" s="42"/>
      <c r="K260" s="42"/>
      <c r="L260" s="42"/>
      <c r="M260" s="42"/>
      <c r="N260" s="42"/>
      <c r="O260" s="42"/>
      <c r="P260" s="42"/>
      <c r="Q260" s="52"/>
    </row>
    <row r="261" spans="1:17" x14ac:dyDescent="0.25">
      <c r="A261" s="7"/>
      <c r="B261" s="15"/>
      <c r="C261" s="15"/>
      <c r="D261" s="15"/>
      <c r="E261" s="11"/>
      <c r="F261" s="45"/>
      <c r="G261" s="45"/>
      <c r="H261" s="45"/>
      <c r="I261" s="45"/>
      <c r="J261" s="42"/>
      <c r="K261" s="42"/>
      <c r="L261" s="42"/>
      <c r="M261" s="42"/>
      <c r="N261" s="42"/>
      <c r="O261" s="42"/>
      <c r="P261" s="42"/>
      <c r="Q261" s="52"/>
    </row>
    <row r="262" spans="1:17" x14ac:dyDescent="0.25">
      <c r="A262" s="7"/>
      <c r="B262" s="15"/>
      <c r="C262" s="15"/>
      <c r="D262" s="15"/>
      <c r="E262" s="11"/>
      <c r="F262" s="45"/>
      <c r="G262" s="45"/>
      <c r="H262" s="45"/>
      <c r="I262" s="45"/>
      <c r="J262" s="42"/>
      <c r="K262" s="42"/>
      <c r="L262" s="42"/>
      <c r="M262" s="42"/>
      <c r="N262" s="42"/>
      <c r="O262" s="42"/>
      <c r="P262" s="42"/>
      <c r="Q262" s="52"/>
    </row>
    <row r="263" spans="1:17" x14ac:dyDescent="0.25">
      <c r="A263" s="7"/>
      <c r="B263" s="15"/>
      <c r="C263" s="15"/>
      <c r="D263" s="15"/>
      <c r="E263" s="11"/>
      <c r="F263" s="45"/>
      <c r="G263" s="45"/>
      <c r="H263" s="45"/>
      <c r="I263" s="45"/>
      <c r="J263" s="42"/>
      <c r="K263" s="42"/>
      <c r="L263" s="42"/>
      <c r="M263" s="42"/>
      <c r="N263" s="42"/>
      <c r="O263" s="42"/>
      <c r="P263" s="42"/>
      <c r="Q263" s="52"/>
    </row>
    <row r="264" spans="1:17" x14ac:dyDescent="0.25">
      <c r="A264" s="7"/>
      <c r="B264" s="15"/>
      <c r="C264" s="15"/>
      <c r="D264" s="15"/>
      <c r="E264" s="11"/>
      <c r="F264" s="45"/>
      <c r="G264" s="45"/>
      <c r="H264" s="45"/>
      <c r="I264" s="45"/>
      <c r="J264" s="42"/>
      <c r="K264" s="42"/>
      <c r="L264" s="42"/>
      <c r="M264" s="42"/>
      <c r="N264" s="42"/>
      <c r="O264" s="42"/>
      <c r="P264" s="42"/>
      <c r="Q264" s="52"/>
    </row>
    <row r="265" spans="1:17" x14ac:dyDescent="0.25">
      <c r="A265" s="7"/>
      <c r="B265" s="15"/>
      <c r="C265" s="15"/>
      <c r="D265" s="15"/>
      <c r="E265" s="11"/>
      <c r="F265" s="45"/>
      <c r="G265" s="45"/>
      <c r="H265" s="45"/>
      <c r="I265" s="45"/>
      <c r="J265" s="42"/>
      <c r="K265" s="42"/>
      <c r="L265" s="42"/>
      <c r="M265" s="42"/>
      <c r="N265" s="42"/>
      <c r="O265" s="42"/>
      <c r="P265" s="42"/>
      <c r="Q265" s="52"/>
    </row>
    <row r="266" spans="1:17" x14ac:dyDescent="0.25">
      <c r="A266" s="7"/>
      <c r="B266" s="15"/>
      <c r="C266" s="15"/>
      <c r="D266" s="15"/>
      <c r="E266" s="11"/>
      <c r="F266" s="45"/>
      <c r="G266" s="45"/>
      <c r="H266" s="45"/>
      <c r="I266" s="45"/>
      <c r="J266" s="42"/>
      <c r="K266" s="42"/>
      <c r="L266" s="42"/>
      <c r="M266" s="42"/>
      <c r="N266" s="42"/>
      <c r="O266" s="42"/>
      <c r="P266" s="42"/>
      <c r="Q266" s="52"/>
    </row>
    <row r="267" spans="1:17" x14ac:dyDescent="0.25">
      <c r="A267" s="7"/>
      <c r="B267" s="15"/>
      <c r="C267" s="15"/>
      <c r="D267" s="15"/>
      <c r="E267" s="11"/>
      <c r="F267" s="45"/>
      <c r="G267" s="45"/>
      <c r="H267" s="45"/>
      <c r="I267" s="45"/>
      <c r="J267" s="42"/>
      <c r="K267" s="42"/>
      <c r="L267" s="42"/>
      <c r="M267" s="42"/>
      <c r="N267" s="42"/>
      <c r="O267" s="42"/>
      <c r="P267" s="42"/>
      <c r="Q267" s="52"/>
    </row>
    <row r="268" spans="1:17" x14ac:dyDescent="0.25">
      <c r="A268" s="7"/>
      <c r="B268" s="15"/>
      <c r="C268" s="15"/>
      <c r="D268" s="15"/>
      <c r="E268" s="11"/>
      <c r="F268" s="45"/>
      <c r="G268" s="45"/>
      <c r="H268" s="45"/>
      <c r="I268" s="45"/>
      <c r="J268" s="42"/>
      <c r="K268" s="42"/>
      <c r="L268" s="42"/>
      <c r="M268" s="42"/>
      <c r="N268" s="42"/>
      <c r="O268" s="42"/>
      <c r="P268" s="42"/>
      <c r="Q268" s="52"/>
    </row>
    <row r="269" spans="1:17" x14ac:dyDescent="0.25">
      <c r="A269" s="7"/>
      <c r="B269" s="15"/>
      <c r="C269" s="15"/>
      <c r="D269" s="15"/>
      <c r="E269" s="11"/>
      <c r="F269" s="45"/>
      <c r="G269" s="45"/>
      <c r="H269" s="45"/>
      <c r="I269" s="45"/>
      <c r="J269" s="42"/>
      <c r="K269" s="42"/>
      <c r="L269" s="42"/>
      <c r="M269" s="42"/>
      <c r="N269" s="42"/>
      <c r="O269" s="42"/>
      <c r="P269" s="42"/>
      <c r="Q269" s="52"/>
    </row>
    <row r="270" spans="1:17" x14ac:dyDescent="0.25">
      <c r="A270" s="7"/>
      <c r="B270" s="15"/>
      <c r="C270" s="15"/>
      <c r="D270" s="15"/>
      <c r="E270" s="11"/>
      <c r="F270" s="45"/>
      <c r="G270" s="45"/>
      <c r="H270" s="45"/>
      <c r="I270" s="45"/>
      <c r="J270" s="42"/>
      <c r="K270" s="42"/>
      <c r="L270" s="42"/>
      <c r="M270" s="42"/>
      <c r="N270" s="42"/>
      <c r="O270" s="42"/>
      <c r="P270" s="42"/>
      <c r="Q270" s="52"/>
    </row>
    <row r="271" spans="1:17" x14ac:dyDescent="0.25">
      <c r="A271" s="7"/>
      <c r="B271" s="15"/>
      <c r="C271" s="15"/>
      <c r="D271" s="15"/>
      <c r="E271" s="11"/>
      <c r="F271" s="45"/>
      <c r="G271" s="45"/>
      <c r="H271" s="45"/>
      <c r="I271" s="45"/>
      <c r="J271" s="42"/>
      <c r="K271" s="42"/>
      <c r="L271" s="42"/>
      <c r="M271" s="42"/>
      <c r="N271" s="42"/>
      <c r="O271" s="42"/>
      <c r="P271" s="42"/>
      <c r="Q271" s="52"/>
    </row>
    <row r="272" spans="1:17" x14ac:dyDescent="0.25">
      <c r="A272" s="7"/>
      <c r="B272" s="15"/>
      <c r="C272" s="15"/>
      <c r="D272" s="15"/>
      <c r="E272" s="11"/>
      <c r="F272" s="45"/>
      <c r="G272" s="45"/>
      <c r="H272" s="45"/>
      <c r="I272" s="45"/>
      <c r="J272" s="42"/>
      <c r="K272" s="42"/>
      <c r="L272" s="42"/>
      <c r="M272" s="42"/>
      <c r="N272" s="42"/>
      <c r="O272" s="42"/>
      <c r="P272" s="42"/>
      <c r="Q272" s="52"/>
    </row>
    <row r="273" spans="1:17" x14ac:dyDescent="0.25">
      <c r="A273" s="7"/>
      <c r="B273" s="15"/>
      <c r="C273" s="15"/>
      <c r="D273" s="15"/>
      <c r="E273" s="11"/>
      <c r="F273" s="45"/>
      <c r="G273" s="45"/>
      <c r="H273" s="45"/>
      <c r="I273" s="45"/>
      <c r="J273" s="42"/>
      <c r="K273" s="42"/>
      <c r="L273" s="42"/>
      <c r="M273" s="42"/>
      <c r="N273" s="42"/>
      <c r="O273" s="42"/>
      <c r="P273" s="42"/>
      <c r="Q273" s="52"/>
    </row>
    <row r="274" spans="1:17" x14ac:dyDescent="0.25">
      <c r="A274" s="7"/>
      <c r="B274" s="15"/>
      <c r="C274" s="15"/>
      <c r="D274" s="15"/>
      <c r="E274" s="11"/>
      <c r="F274" s="45"/>
      <c r="G274" s="45"/>
      <c r="H274" s="45"/>
      <c r="I274" s="45"/>
      <c r="J274" s="42"/>
      <c r="K274" s="42"/>
      <c r="L274" s="42"/>
      <c r="M274" s="42"/>
      <c r="N274" s="42"/>
      <c r="O274" s="42"/>
      <c r="P274" s="42"/>
      <c r="Q274" s="52"/>
    </row>
    <row r="275" spans="1:17" x14ac:dyDescent="0.25">
      <c r="A275" s="7"/>
      <c r="B275" s="15"/>
      <c r="C275" s="15"/>
      <c r="D275" s="15"/>
      <c r="E275" s="11"/>
      <c r="F275" s="45"/>
      <c r="G275" s="45"/>
      <c r="H275" s="45"/>
      <c r="I275" s="45"/>
      <c r="J275" s="42"/>
      <c r="K275" s="42"/>
      <c r="L275" s="42"/>
      <c r="M275" s="42"/>
      <c r="N275" s="42"/>
      <c r="O275" s="42"/>
      <c r="P275" s="42"/>
      <c r="Q275" s="52"/>
    </row>
    <row r="276" spans="1:17" x14ac:dyDescent="0.25">
      <c r="A276" s="7"/>
      <c r="B276" s="15"/>
      <c r="C276" s="15"/>
      <c r="D276" s="15"/>
      <c r="E276" s="11"/>
      <c r="F276" s="45"/>
      <c r="G276" s="45"/>
      <c r="H276" s="45"/>
      <c r="I276" s="45"/>
      <c r="J276" s="42"/>
      <c r="K276" s="42"/>
      <c r="L276" s="42"/>
      <c r="M276" s="42"/>
      <c r="N276" s="42"/>
      <c r="O276" s="42"/>
      <c r="P276" s="42"/>
      <c r="Q276" s="52"/>
    </row>
    <row r="277" spans="1:17" x14ac:dyDescent="0.25">
      <c r="A277" s="7"/>
      <c r="B277" s="15"/>
      <c r="C277" s="15"/>
      <c r="D277" s="15"/>
      <c r="E277" s="11"/>
      <c r="F277" s="45"/>
      <c r="G277" s="45"/>
      <c r="H277" s="45"/>
      <c r="I277" s="45"/>
      <c r="J277" s="42"/>
      <c r="K277" s="42"/>
      <c r="L277" s="42"/>
      <c r="M277" s="42"/>
      <c r="N277" s="42"/>
      <c r="O277" s="42"/>
      <c r="P277" s="42"/>
      <c r="Q277" s="52"/>
    </row>
    <row r="278" spans="1:17" x14ac:dyDescent="0.25">
      <c r="A278" s="7"/>
      <c r="B278" s="15"/>
      <c r="C278" s="15"/>
      <c r="D278" s="15"/>
      <c r="E278" s="11"/>
      <c r="F278" s="45"/>
      <c r="G278" s="45"/>
      <c r="H278" s="45"/>
      <c r="I278" s="45"/>
      <c r="J278" s="42"/>
      <c r="K278" s="42"/>
      <c r="L278" s="42"/>
      <c r="M278" s="42"/>
      <c r="N278" s="42"/>
      <c r="O278" s="42"/>
      <c r="P278" s="42"/>
      <c r="Q278" s="52"/>
    </row>
    <row r="279" spans="1:17" x14ac:dyDescent="0.25">
      <c r="A279" s="7"/>
      <c r="B279" s="15"/>
      <c r="C279" s="15"/>
      <c r="D279" s="15"/>
      <c r="E279" s="11"/>
      <c r="F279" s="45"/>
      <c r="G279" s="45"/>
      <c r="H279" s="45"/>
      <c r="I279" s="45"/>
      <c r="J279" s="42"/>
      <c r="K279" s="42"/>
      <c r="L279" s="42"/>
      <c r="M279" s="42"/>
      <c r="N279" s="42"/>
      <c r="O279" s="42"/>
      <c r="P279" s="42"/>
      <c r="Q279" s="52"/>
    </row>
    <row r="280" spans="1:17" x14ac:dyDescent="0.25">
      <c r="A280" s="7"/>
      <c r="B280" s="15"/>
      <c r="C280" s="15"/>
      <c r="D280" s="15"/>
      <c r="E280" s="11"/>
      <c r="F280" s="45"/>
      <c r="G280" s="45"/>
      <c r="H280" s="45"/>
      <c r="I280" s="45"/>
      <c r="J280" s="42"/>
      <c r="K280" s="42"/>
      <c r="L280" s="42"/>
      <c r="M280" s="42"/>
      <c r="N280" s="42"/>
      <c r="O280" s="42"/>
      <c r="P280" s="42"/>
      <c r="Q280" s="52"/>
    </row>
    <row r="281" spans="1:17" x14ac:dyDescent="0.25">
      <c r="A281" s="7"/>
      <c r="B281" s="15"/>
      <c r="C281" s="15"/>
      <c r="D281" s="15"/>
      <c r="E281" s="11"/>
      <c r="F281" s="45"/>
      <c r="G281" s="45"/>
      <c r="H281" s="45"/>
      <c r="I281" s="45"/>
      <c r="J281" s="42"/>
      <c r="K281" s="42"/>
      <c r="L281" s="42"/>
      <c r="M281" s="42"/>
      <c r="N281" s="42"/>
      <c r="O281" s="42"/>
      <c r="P281" s="42"/>
      <c r="Q281" s="52"/>
    </row>
    <row r="282" spans="1:17" x14ac:dyDescent="0.25">
      <c r="A282" s="7"/>
      <c r="B282" s="15"/>
      <c r="C282" s="15"/>
      <c r="D282" s="15"/>
      <c r="E282" s="11"/>
      <c r="F282" s="45"/>
      <c r="G282" s="45"/>
      <c r="H282" s="45"/>
      <c r="I282" s="45"/>
      <c r="J282" s="42"/>
      <c r="K282" s="42"/>
      <c r="L282" s="42"/>
      <c r="M282" s="42"/>
      <c r="N282" s="42"/>
      <c r="O282" s="42"/>
      <c r="P282" s="42"/>
      <c r="Q282" s="52"/>
    </row>
    <row r="283" spans="1:17" x14ac:dyDescent="0.25">
      <c r="A283" s="7"/>
      <c r="B283" s="15"/>
      <c r="C283" s="15"/>
      <c r="D283" s="15"/>
      <c r="E283" s="11"/>
      <c r="F283" s="45"/>
      <c r="G283" s="45"/>
      <c r="H283" s="45"/>
      <c r="I283" s="45"/>
      <c r="J283" s="42"/>
      <c r="K283" s="42"/>
      <c r="L283" s="42"/>
      <c r="M283" s="42"/>
      <c r="N283" s="42"/>
      <c r="O283" s="42"/>
      <c r="P283" s="42"/>
      <c r="Q283" s="52"/>
    </row>
    <row r="284" spans="1:17" x14ac:dyDescent="0.25">
      <c r="A284" s="7"/>
      <c r="B284" s="15"/>
      <c r="C284" s="15"/>
      <c r="D284" s="15"/>
      <c r="E284" s="11"/>
      <c r="F284" s="45"/>
      <c r="G284" s="45"/>
      <c r="H284" s="45"/>
      <c r="I284" s="45"/>
      <c r="J284" s="42"/>
      <c r="K284" s="42"/>
      <c r="L284" s="42"/>
      <c r="M284" s="42"/>
      <c r="N284" s="42"/>
      <c r="O284" s="42"/>
      <c r="P284" s="42"/>
      <c r="Q284" s="52"/>
    </row>
    <row r="285" spans="1:17" x14ac:dyDescent="0.25">
      <c r="A285" s="7"/>
      <c r="B285" s="15"/>
      <c r="C285" s="15"/>
      <c r="D285" s="15"/>
      <c r="E285" s="11"/>
      <c r="F285" s="45"/>
      <c r="G285" s="45"/>
      <c r="H285" s="45"/>
      <c r="I285" s="45"/>
      <c r="J285" s="42"/>
      <c r="K285" s="42"/>
      <c r="L285" s="42"/>
      <c r="M285" s="42"/>
      <c r="N285" s="42"/>
      <c r="O285" s="42"/>
      <c r="P285" s="42"/>
      <c r="Q285" s="52"/>
    </row>
    <row r="286" spans="1:17" x14ac:dyDescent="0.25">
      <c r="A286" s="7"/>
      <c r="B286" s="15"/>
      <c r="C286" s="15"/>
      <c r="D286" s="15"/>
      <c r="E286" s="11"/>
      <c r="F286" s="45"/>
      <c r="G286" s="45"/>
      <c r="H286" s="45"/>
      <c r="I286" s="45"/>
      <c r="J286" s="42"/>
      <c r="K286" s="42"/>
      <c r="L286" s="42"/>
      <c r="M286" s="42"/>
      <c r="N286" s="42"/>
      <c r="O286" s="42"/>
      <c r="P286" s="42"/>
      <c r="Q286" s="52"/>
    </row>
    <row r="287" spans="1:17" x14ac:dyDescent="0.25">
      <c r="A287" s="7"/>
      <c r="B287" s="15"/>
      <c r="C287" s="15"/>
      <c r="D287" s="15"/>
      <c r="E287" s="11"/>
      <c r="F287" s="45"/>
      <c r="G287" s="45"/>
      <c r="H287" s="45"/>
      <c r="I287" s="45"/>
      <c r="J287" s="42"/>
      <c r="K287" s="42"/>
      <c r="L287" s="42"/>
      <c r="M287" s="42"/>
      <c r="N287" s="42"/>
      <c r="O287" s="42"/>
      <c r="P287" s="42"/>
      <c r="Q287" s="52"/>
    </row>
    <row r="288" spans="1:17" x14ac:dyDescent="0.25">
      <c r="A288" s="7"/>
      <c r="B288" s="15"/>
      <c r="C288" s="15"/>
      <c r="D288" s="15"/>
      <c r="E288" s="11"/>
      <c r="F288" s="45"/>
      <c r="G288" s="45"/>
      <c r="H288" s="45"/>
      <c r="I288" s="45"/>
      <c r="J288" s="42"/>
      <c r="K288" s="42"/>
      <c r="L288" s="42"/>
      <c r="M288" s="42"/>
      <c r="N288" s="42"/>
      <c r="O288" s="42"/>
      <c r="P288" s="42"/>
      <c r="Q288" s="52"/>
    </row>
    <row r="289" spans="1:17" x14ac:dyDescent="0.25">
      <c r="A289" s="7"/>
      <c r="B289" s="15"/>
      <c r="C289" s="15"/>
      <c r="D289" s="15"/>
      <c r="E289" s="11"/>
      <c r="F289" s="45"/>
      <c r="G289" s="45"/>
      <c r="H289" s="45"/>
      <c r="I289" s="45"/>
      <c r="J289" s="42"/>
      <c r="K289" s="42"/>
      <c r="L289" s="42"/>
      <c r="M289" s="42"/>
      <c r="N289" s="42"/>
      <c r="O289" s="42"/>
      <c r="P289" s="42"/>
      <c r="Q289" s="52"/>
    </row>
    <row r="290" spans="1:17" x14ac:dyDescent="0.25">
      <c r="A290" s="7"/>
      <c r="B290" s="15"/>
      <c r="C290" s="15"/>
      <c r="D290" s="15"/>
      <c r="E290" s="11"/>
      <c r="F290" s="45"/>
      <c r="G290" s="45"/>
      <c r="H290" s="45"/>
      <c r="I290" s="45"/>
      <c r="J290" s="42"/>
      <c r="K290" s="42"/>
      <c r="L290" s="42"/>
      <c r="M290" s="42"/>
      <c r="N290" s="42"/>
      <c r="O290" s="42"/>
      <c r="P290" s="42"/>
      <c r="Q290" s="52"/>
    </row>
    <row r="291" spans="1:17" x14ac:dyDescent="0.25">
      <c r="A291" s="7"/>
      <c r="B291" s="15"/>
      <c r="C291" s="15"/>
      <c r="D291" s="15"/>
      <c r="E291" s="11"/>
      <c r="F291" s="45"/>
      <c r="G291" s="45"/>
      <c r="H291" s="45"/>
      <c r="I291" s="45"/>
      <c r="J291" s="42"/>
      <c r="K291" s="42"/>
      <c r="L291" s="42"/>
      <c r="M291" s="42"/>
      <c r="N291" s="42"/>
      <c r="O291" s="42"/>
      <c r="P291" s="42"/>
      <c r="Q291" s="52"/>
    </row>
    <row r="292" spans="1:17" x14ac:dyDescent="0.25">
      <c r="A292" s="7"/>
      <c r="B292" s="15"/>
      <c r="C292" s="15"/>
      <c r="D292" s="15"/>
      <c r="E292" s="11"/>
      <c r="F292" s="45"/>
      <c r="G292" s="45"/>
      <c r="H292" s="45"/>
      <c r="I292" s="45"/>
      <c r="J292" s="42"/>
      <c r="K292" s="42"/>
      <c r="L292" s="42"/>
      <c r="M292" s="42"/>
      <c r="N292" s="42"/>
      <c r="O292" s="42"/>
      <c r="P292" s="42"/>
      <c r="Q292" s="52"/>
    </row>
    <row r="293" spans="1:17" x14ac:dyDescent="0.25">
      <c r="A293" s="7"/>
      <c r="B293" s="15"/>
      <c r="C293" s="15"/>
      <c r="D293" s="15"/>
      <c r="E293" s="11"/>
      <c r="F293" s="45"/>
      <c r="G293" s="45"/>
      <c r="H293" s="45"/>
      <c r="I293" s="45"/>
      <c r="J293" s="42"/>
      <c r="K293" s="42"/>
      <c r="L293" s="42"/>
      <c r="M293" s="42"/>
      <c r="N293" s="42"/>
      <c r="O293" s="42"/>
      <c r="P293" s="42"/>
      <c r="Q293" s="52"/>
    </row>
    <row r="294" spans="1:17" x14ac:dyDescent="0.25">
      <c r="A294" s="7"/>
      <c r="B294" s="15"/>
      <c r="C294" s="15"/>
      <c r="D294" s="15"/>
      <c r="E294" s="11"/>
      <c r="F294" s="45"/>
      <c r="G294" s="45"/>
      <c r="H294" s="45"/>
      <c r="I294" s="45"/>
      <c r="J294" s="42"/>
      <c r="K294" s="42"/>
      <c r="L294" s="42"/>
      <c r="M294" s="42"/>
      <c r="N294" s="42"/>
      <c r="O294" s="42"/>
      <c r="P294" s="42"/>
      <c r="Q294" s="52"/>
    </row>
    <row r="295" spans="1:17" x14ac:dyDescent="0.25">
      <c r="A295" s="7"/>
      <c r="B295" s="15"/>
      <c r="C295" s="15"/>
      <c r="D295" s="15"/>
      <c r="E295" s="11"/>
      <c r="F295" s="45"/>
      <c r="G295" s="45"/>
      <c r="H295" s="45"/>
      <c r="I295" s="45"/>
      <c r="J295" s="42"/>
      <c r="K295" s="42"/>
      <c r="L295" s="42"/>
      <c r="M295" s="42"/>
      <c r="N295" s="42"/>
      <c r="O295" s="42"/>
      <c r="P295" s="42"/>
      <c r="Q295" s="52"/>
    </row>
    <row r="296" spans="1:17" x14ac:dyDescent="0.25">
      <c r="A296" s="7"/>
      <c r="B296" s="15"/>
      <c r="C296" s="15"/>
      <c r="D296" s="15"/>
      <c r="E296" s="11"/>
      <c r="F296" s="45"/>
      <c r="G296" s="45"/>
      <c r="H296" s="45"/>
      <c r="I296" s="45"/>
      <c r="J296" s="42"/>
      <c r="K296" s="42"/>
      <c r="L296" s="42"/>
      <c r="M296" s="42"/>
      <c r="N296" s="42"/>
      <c r="O296" s="42"/>
      <c r="P296" s="42"/>
      <c r="Q296" s="52"/>
    </row>
    <row r="297" spans="1:17" x14ac:dyDescent="0.25">
      <c r="A297" s="7"/>
      <c r="B297" s="15"/>
      <c r="C297" s="15"/>
      <c r="D297" s="15"/>
      <c r="E297" s="11"/>
      <c r="F297" s="45"/>
      <c r="G297" s="45"/>
      <c r="H297" s="45"/>
      <c r="I297" s="45"/>
      <c r="J297" s="42"/>
      <c r="K297" s="42"/>
      <c r="L297" s="42"/>
      <c r="M297" s="42"/>
      <c r="N297" s="42"/>
      <c r="O297" s="42"/>
      <c r="P297" s="42"/>
      <c r="Q297" s="52"/>
    </row>
    <row r="298" spans="1:17" x14ac:dyDescent="0.25">
      <c r="A298" s="7"/>
      <c r="B298" s="15"/>
      <c r="C298" s="15"/>
      <c r="D298" s="15"/>
      <c r="E298" s="11"/>
      <c r="F298" s="45"/>
      <c r="G298" s="45"/>
      <c r="H298" s="45"/>
      <c r="I298" s="45"/>
      <c r="J298" s="42"/>
      <c r="K298" s="42"/>
      <c r="L298" s="42"/>
      <c r="M298" s="42"/>
      <c r="N298" s="42"/>
      <c r="O298" s="42"/>
      <c r="P298" s="42"/>
      <c r="Q298" s="52"/>
    </row>
    <row r="299" spans="1:17" x14ac:dyDescent="0.25">
      <c r="A299" s="7"/>
      <c r="B299" s="15"/>
      <c r="C299" s="15"/>
      <c r="D299" s="15"/>
      <c r="E299" s="11"/>
      <c r="F299" s="45"/>
      <c r="G299" s="45"/>
      <c r="H299" s="45"/>
      <c r="I299" s="45"/>
      <c r="J299" s="42"/>
      <c r="K299" s="42"/>
      <c r="L299" s="42"/>
      <c r="M299" s="42"/>
      <c r="N299" s="42"/>
      <c r="O299" s="42"/>
      <c r="P299" s="42"/>
      <c r="Q299" s="52"/>
    </row>
    <row r="300" spans="1:17" x14ac:dyDescent="0.25">
      <c r="A300" s="7"/>
      <c r="B300" s="15"/>
      <c r="C300" s="15"/>
      <c r="D300" s="15"/>
      <c r="E300" s="11"/>
      <c r="F300" s="45"/>
      <c r="G300" s="45"/>
      <c r="H300" s="45"/>
      <c r="I300" s="45"/>
      <c r="J300" s="42"/>
      <c r="K300" s="42"/>
      <c r="L300" s="42"/>
      <c r="M300" s="42"/>
      <c r="N300" s="42"/>
      <c r="O300" s="42"/>
      <c r="P300" s="42"/>
      <c r="Q300" s="52"/>
    </row>
    <row r="301" spans="1:17" x14ac:dyDescent="0.25">
      <c r="A301" s="7"/>
      <c r="B301" s="15"/>
      <c r="C301" s="15"/>
      <c r="D301" s="15"/>
      <c r="E301" s="11"/>
      <c r="F301" s="45"/>
      <c r="G301" s="45"/>
      <c r="H301" s="45"/>
      <c r="I301" s="45"/>
      <c r="J301" s="42"/>
      <c r="K301" s="42"/>
      <c r="L301" s="42"/>
      <c r="M301" s="42"/>
      <c r="N301" s="42"/>
      <c r="O301" s="42"/>
      <c r="P301" s="42"/>
      <c r="Q301" s="52"/>
    </row>
    <row r="302" spans="1:17" x14ac:dyDescent="0.25">
      <c r="A302" s="7"/>
      <c r="B302" s="15"/>
      <c r="C302" s="15"/>
      <c r="D302" s="15"/>
      <c r="E302" s="11"/>
      <c r="F302" s="45"/>
      <c r="G302" s="45"/>
      <c r="H302" s="45"/>
      <c r="I302" s="45"/>
      <c r="J302" s="42"/>
      <c r="K302" s="42"/>
      <c r="L302" s="42"/>
      <c r="M302" s="42"/>
      <c r="N302" s="42"/>
      <c r="O302" s="42"/>
      <c r="P302" s="42"/>
      <c r="Q302" s="52"/>
    </row>
    <row r="303" spans="1:17" x14ac:dyDescent="0.25">
      <c r="A303" s="7"/>
      <c r="B303" s="15"/>
      <c r="C303" s="15"/>
      <c r="D303" s="15"/>
      <c r="E303" s="11"/>
      <c r="F303" s="45"/>
      <c r="G303" s="45"/>
      <c r="H303" s="45"/>
      <c r="I303" s="45"/>
      <c r="J303" s="42"/>
      <c r="K303" s="42"/>
      <c r="L303" s="42"/>
      <c r="M303" s="42"/>
      <c r="N303" s="42"/>
      <c r="O303" s="42"/>
      <c r="P303" s="42"/>
      <c r="Q303" s="52"/>
    </row>
    <row r="304" spans="1:17" x14ac:dyDescent="0.25">
      <c r="A304" s="7"/>
      <c r="B304" s="15"/>
      <c r="C304" s="15"/>
      <c r="D304" s="15"/>
      <c r="E304" s="11"/>
      <c r="F304" s="45"/>
      <c r="G304" s="45"/>
      <c r="H304" s="45"/>
      <c r="I304" s="45"/>
      <c r="J304" s="42"/>
      <c r="K304" s="42"/>
      <c r="L304" s="42"/>
      <c r="M304" s="42"/>
      <c r="N304" s="42"/>
      <c r="O304" s="42"/>
      <c r="P304" s="42"/>
      <c r="Q304" s="52"/>
    </row>
    <row r="305" spans="1:17" x14ac:dyDescent="0.25">
      <c r="A305" s="7"/>
      <c r="B305" s="15"/>
      <c r="C305" s="15"/>
      <c r="D305" s="15"/>
      <c r="E305" s="11"/>
      <c r="F305" s="45"/>
      <c r="G305" s="45"/>
      <c r="H305" s="45"/>
      <c r="I305" s="45"/>
      <c r="J305" s="42"/>
      <c r="K305" s="42"/>
      <c r="L305" s="42"/>
      <c r="M305" s="42"/>
      <c r="N305" s="42"/>
      <c r="O305" s="42"/>
      <c r="P305" s="42"/>
      <c r="Q305" s="52"/>
    </row>
    <row r="306" spans="1:17" x14ac:dyDescent="0.25">
      <c r="A306" s="7"/>
      <c r="B306" s="15"/>
      <c r="C306" s="15"/>
      <c r="D306" s="15"/>
      <c r="E306" s="11"/>
      <c r="F306" s="45"/>
      <c r="G306" s="45"/>
      <c r="H306" s="45"/>
      <c r="I306" s="45"/>
      <c r="J306" s="42"/>
      <c r="K306" s="42"/>
      <c r="L306" s="42"/>
      <c r="M306" s="42"/>
      <c r="N306" s="42"/>
      <c r="O306" s="42"/>
      <c r="P306" s="42"/>
      <c r="Q306" s="52"/>
    </row>
    <row r="307" spans="1:17" x14ac:dyDescent="0.25">
      <c r="A307" s="7"/>
      <c r="B307" s="15"/>
      <c r="C307" s="15"/>
      <c r="D307" s="15"/>
      <c r="E307" s="11"/>
      <c r="F307" s="45"/>
      <c r="G307" s="45"/>
      <c r="H307" s="45"/>
      <c r="I307" s="45"/>
      <c r="J307" s="42"/>
      <c r="K307" s="42"/>
      <c r="L307" s="42"/>
      <c r="M307" s="42"/>
      <c r="N307" s="42"/>
      <c r="O307" s="42"/>
      <c r="P307" s="42"/>
      <c r="Q307" s="52"/>
    </row>
    <row r="308" spans="1:17" x14ac:dyDescent="0.25">
      <c r="A308" s="7"/>
      <c r="B308" s="15"/>
      <c r="C308" s="15"/>
      <c r="D308" s="15"/>
      <c r="E308" s="11"/>
      <c r="F308" s="45"/>
      <c r="G308" s="45"/>
      <c r="H308" s="45"/>
      <c r="I308" s="45"/>
      <c r="J308" s="42"/>
      <c r="K308" s="42"/>
      <c r="L308" s="42"/>
      <c r="M308" s="42"/>
      <c r="N308" s="42"/>
      <c r="O308" s="42"/>
      <c r="P308" s="42"/>
      <c r="Q308" s="52"/>
    </row>
    <row r="309" spans="1:17" x14ac:dyDescent="0.25">
      <c r="A309" s="7"/>
      <c r="B309" s="15"/>
      <c r="C309" s="15"/>
      <c r="D309" s="15"/>
      <c r="E309" s="11"/>
      <c r="F309" s="45"/>
      <c r="G309" s="45"/>
      <c r="H309" s="45"/>
      <c r="I309" s="45"/>
      <c r="J309" s="42"/>
      <c r="K309" s="42"/>
      <c r="L309" s="42"/>
      <c r="M309" s="42"/>
      <c r="N309" s="42"/>
      <c r="O309" s="42"/>
      <c r="P309" s="42"/>
      <c r="Q309" s="52"/>
    </row>
    <row r="310" spans="1:17" x14ac:dyDescent="0.25">
      <c r="A310" s="7"/>
      <c r="B310" s="15"/>
      <c r="C310" s="15"/>
      <c r="D310" s="15"/>
      <c r="E310" s="11"/>
      <c r="F310" s="45"/>
      <c r="G310" s="45"/>
      <c r="H310" s="45"/>
      <c r="I310" s="45"/>
      <c r="J310" s="42"/>
      <c r="K310" s="42"/>
      <c r="L310" s="42"/>
      <c r="M310" s="42"/>
      <c r="N310" s="42"/>
      <c r="O310" s="42"/>
      <c r="P310" s="42"/>
      <c r="Q310" s="52"/>
    </row>
    <row r="311" spans="1:17" x14ac:dyDescent="0.25">
      <c r="A311" s="7"/>
      <c r="B311" s="15"/>
      <c r="C311" s="15"/>
      <c r="D311" s="15"/>
      <c r="E311" s="11"/>
      <c r="F311" s="45"/>
      <c r="G311" s="45"/>
      <c r="H311" s="45"/>
      <c r="I311" s="45"/>
      <c r="J311" s="42"/>
      <c r="K311" s="42"/>
      <c r="L311" s="42"/>
      <c r="M311" s="42"/>
      <c r="N311" s="42"/>
      <c r="O311" s="42"/>
      <c r="P311" s="42"/>
      <c r="Q311" s="52"/>
    </row>
    <row r="312" spans="1:17" x14ac:dyDescent="0.25">
      <c r="A312" s="7"/>
      <c r="B312" s="15"/>
      <c r="C312" s="15"/>
      <c r="D312" s="15"/>
      <c r="E312" s="11"/>
      <c r="F312" s="45"/>
      <c r="G312" s="45"/>
      <c r="H312" s="45"/>
      <c r="I312" s="45"/>
      <c r="J312" s="42"/>
      <c r="K312" s="42"/>
      <c r="L312" s="42"/>
      <c r="M312" s="42"/>
      <c r="N312" s="42"/>
      <c r="O312" s="42"/>
      <c r="P312" s="42"/>
      <c r="Q312" s="52"/>
    </row>
    <row r="313" spans="1:17" x14ac:dyDescent="0.25">
      <c r="A313" s="7"/>
      <c r="B313" s="15"/>
      <c r="C313" s="15"/>
      <c r="D313" s="15"/>
      <c r="E313" s="11"/>
      <c r="F313" s="45"/>
      <c r="G313" s="45"/>
      <c r="H313" s="45"/>
      <c r="I313" s="45"/>
      <c r="J313" s="42"/>
      <c r="K313" s="42"/>
      <c r="L313" s="42"/>
      <c r="M313" s="42"/>
      <c r="N313" s="42"/>
      <c r="O313" s="42"/>
      <c r="P313" s="42"/>
      <c r="Q313" s="52"/>
    </row>
    <row r="314" spans="1:17" x14ac:dyDescent="0.25">
      <c r="A314" s="7"/>
      <c r="B314" s="15"/>
      <c r="C314" s="15"/>
      <c r="D314" s="15"/>
      <c r="E314" s="11"/>
      <c r="F314" s="45"/>
      <c r="G314" s="45"/>
      <c r="H314" s="45"/>
      <c r="I314" s="45"/>
      <c r="J314" s="42"/>
      <c r="K314" s="42"/>
      <c r="L314" s="42"/>
      <c r="M314" s="42"/>
      <c r="N314" s="42"/>
      <c r="O314" s="42"/>
      <c r="P314" s="42"/>
      <c r="Q314" s="52"/>
    </row>
    <row r="315" spans="1:17" x14ac:dyDescent="0.25">
      <c r="A315" s="7"/>
      <c r="B315" s="15"/>
      <c r="C315" s="15"/>
      <c r="D315" s="15"/>
      <c r="E315" s="11"/>
      <c r="F315" s="45"/>
      <c r="G315" s="45"/>
      <c r="H315" s="45"/>
      <c r="I315" s="45"/>
      <c r="J315" s="42"/>
      <c r="K315" s="42"/>
      <c r="L315" s="42"/>
      <c r="M315" s="42"/>
      <c r="N315" s="42"/>
      <c r="O315" s="42"/>
      <c r="P315" s="42"/>
      <c r="Q315" s="52"/>
    </row>
    <row r="316" spans="1:17" x14ac:dyDescent="0.25">
      <c r="A316" s="7"/>
      <c r="B316" s="15"/>
      <c r="C316" s="15"/>
      <c r="D316" s="15"/>
      <c r="E316" s="11"/>
      <c r="F316" s="45"/>
      <c r="G316" s="45"/>
      <c r="H316" s="45"/>
      <c r="I316" s="45"/>
      <c r="J316" s="42"/>
      <c r="K316" s="42"/>
      <c r="L316" s="42"/>
      <c r="M316" s="42"/>
      <c r="N316" s="42"/>
      <c r="O316" s="42"/>
      <c r="P316" s="42"/>
      <c r="Q316" s="52"/>
    </row>
    <row r="317" spans="1:17" x14ac:dyDescent="0.25">
      <c r="A317" s="7"/>
      <c r="B317" s="15"/>
      <c r="C317" s="15"/>
      <c r="D317" s="15"/>
      <c r="E317" s="11"/>
      <c r="F317" s="45"/>
      <c r="G317" s="45"/>
      <c r="H317" s="45"/>
      <c r="I317" s="45"/>
      <c r="J317" s="42"/>
      <c r="K317" s="42"/>
      <c r="L317" s="42"/>
      <c r="M317" s="42"/>
      <c r="N317" s="42"/>
      <c r="O317" s="42"/>
      <c r="P317" s="42"/>
      <c r="Q317" s="52"/>
    </row>
    <row r="318" spans="1:17" x14ac:dyDescent="0.25">
      <c r="A318" s="7"/>
      <c r="B318" s="15"/>
      <c r="C318" s="15"/>
      <c r="D318" s="15"/>
      <c r="E318" s="11"/>
      <c r="F318" s="45"/>
      <c r="G318" s="45"/>
      <c r="H318" s="45"/>
      <c r="I318" s="45"/>
      <c r="J318" s="42"/>
      <c r="K318" s="42"/>
      <c r="L318" s="42"/>
      <c r="M318" s="42"/>
      <c r="N318" s="42"/>
      <c r="O318" s="42"/>
      <c r="P318" s="42"/>
      <c r="Q318" s="52"/>
    </row>
    <row r="319" spans="1:17" x14ac:dyDescent="0.25">
      <c r="A319" s="7"/>
      <c r="B319" s="15"/>
      <c r="C319" s="15"/>
      <c r="D319" s="15"/>
      <c r="E319" s="11"/>
      <c r="F319" s="45"/>
      <c r="G319" s="45"/>
      <c r="H319" s="45"/>
      <c r="I319" s="45"/>
      <c r="J319" s="42"/>
      <c r="K319" s="42"/>
      <c r="L319" s="42"/>
      <c r="M319" s="42"/>
      <c r="N319" s="42"/>
      <c r="O319" s="42"/>
      <c r="P319" s="42"/>
      <c r="Q319" s="52"/>
    </row>
    <row r="320" spans="1:17" x14ac:dyDescent="0.25">
      <c r="A320" s="7"/>
      <c r="B320" s="15"/>
      <c r="C320" s="15"/>
      <c r="D320" s="15"/>
      <c r="E320" s="11"/>
      <c r="F320" s="45"/>
      <c r="G320" s="45"/>
      <c r="H320" s="45"/>
      <c r="I320" s="45"/>
      <c r="J320" s="42"/>
      <c r="K320" s="42"/>
      <c r="L320" s="42"/>
      <c r="M320" s="42"/>
      <c r="N320" s="42"/>
      <c r="O320" s="42"/>
      <c r="P320" s="42"/>
      <c r="Q320" s="52"/>
    </row>
    <row r="321" spans="1:17" x14ac:dyDescent="0.25">
      <c r="A321" s="7"/>
      <c r="B321" s="15"/>
      <c r="C321" s="15"/>
      <c r="D321" s="15"/>
      <c r="E321" s="11"/>
      <c r="F321" s="45"/>
      <c r="G321" s="45"/>
      <c r="H321" s="45"/>
      <c r="I321" s="45"/>
      <c r="J321" s="42"/>
      <c r="K321" s="42"/>
      <c r="L321" s="42"/>
      <c r="M321" s="42"/>
      <c r="N321" s="42"/>
      <c r="O321" s="42"/>
      <c r="P321" s="42"/>
      <c r="Q321" s="52"/>
    </row>
    <row r="322" spans="1:17" x14ac:dyDescent="0.25">
      <c r="A322" s="7"/>
      <c r="B322" s="15"/>
      <c r="C322" s="15"/>
      <c r="D322" s="15"/>
      <c r="E322" s="11"/>
      <c r="F322" s="45"/>
      <c r="G322" s="45"/>
      <c r="H322" s="45"/>
      <c r="I322" s="45"/>
      <c r="J322" s="42"/>
      <c r="K322" s="42"/>
      <c r="L322" s="42"/>
      <c r="M322" s="42"/>
      <c r="N322" s="42"/>
      <c r="O322" s="42"/>
      <c r="P322" s="42"/>
      <c r="Q322" s="52"/>
    </row>
    <row r="323" spans="1:17" x14ac:dyDescent="0.25">
      <c r="A323" s="7"/>
      <c r="B323" s="15"/>
      <c r="C323" s="15"/>
      <c r="D323" s="15"/>
      <c r="E323" s="11"/>
      <c r="F323" s="45"/>
      <c r="G323" s="45"/>
      <c r="H323" s="45"/>
      <c r="I323" s="45"/>
      <c r="J323" s="42"/>
      <c r="K323" s="42"/>
      <c r="L323" s="42"/>
      <c r="M323" s="42"/>
      <c r="N323" s="42"/>
      <c r="O323" s="42"/>
      <c r="P323" s="42"/>
      <c r="Q323" s="52"/>
    </row>
    <row r="324" spans="1:17" x14ac:dyDescent="0.25">
      <c r="A324" s="7"/>
      <c r="B324" s="15"/>
      <c r="C324" s="15"/>
      <c r="D324" s="15"/>
      <c r="E324" s="11"/>
      <c r="F324" s="45"/>
      <c r="G324" s="45"/>
      <c r="H324" s="45"/>
      <c r="I324" s="45"/>
      <c r="J324" s="42"/>
      <c r="K324" s="42"/>
      <c r="L324" s="42"/>
      <c r="M324" s="42"/>
      <c r="N324" s="42"/>
      <c r="O324" s="42"/>
      <c r="P324" s="42"/>
      <c r="Q324" s="52"/>
    </row>
    <row r="325" spans="1:17" x14ac:dyDescent="0.25">
      <c r="A325" s="7"/>
      <c r="B325" s="15"/>
      <c r="C325" s="15"/>
      <c r="D325" s="15"/>
      <c r="E325" s="11"/>
      <c r="F325" s="45"/>
      <c r="G325" s="45"/>
      <c r="H325" s="45"/>
      <c r="I325" s="45"/>
      <c r="J325" s="42"/>
      <c r="K325" s="42"/>
      <c r="L325" s="42"/>
      <c r="M325" s="42"/>
      <c r="N325" s="42"/>
      <c r="O325" s="42"/>
      <c r="P325" s="42"/>
      <c r="Q325" s="52"/>
    </row>
    <row r="326" spans="1:17" x14ac:dyDescent="0.25">
      <c r="A326" s="7"/>
      <c r="B326" s="15"/>
      <c r="C326" s="15"/>
      <c r="D326" s="15"/>
      <c r="E326" s="11"/>
      <c r="F326" s="45"/>
      <c r="G326" s="45"/>
      <c r="H326" s="45"/>
      <c r="I326" s="45"/>
      <c r="J326" s="42"/>
      <c r="K326" s="42"/>
      <c r="L326" s="42"/>
      <c r="M326" s="42"/>
      <c r="N326" s="42"/>
      <c r="O326" s="42"/>
      <c r="P326" s="42"/>
      <c r="Q326" s="52"/>
    </row>
    <row r="327" spans="1:17" x14ac:dyDescent="0.25">
      <c r="A327" s="7"/>
      <c r="B327" s="15"/>
      <c r="C327" s="15"/>
      <c r="D327" s="15"/>
      <c r="E327" s="11"/>
      <c r="F327" s="45"/>
      <c r="G327" s="45"/>
      <c r="H327" s="45"/>
      <c r="I327" s="45"/>
      <c r="J327" s="42"/>
      <c r="K327" s="42"/>
      <c r="L327" s="42"/>
      <c r="M327" s="42"/>
      <c r="N327" s="42"/>
      <c r="O327" s="42"/>
      <c r="P327" s="42"/>
      <c r="Q327" s="52"/>
    </row>
    <row r="328" spans="1:17" x14ac:dyDescent="0.25">
      <c r="A328" s="7"/>
      <c r="B328" s="15"/>
      <c r="C328" s="15"/>
      <c r="D328" s="15"/>
      <c r="E328" s="11"/>
      <c r="F328" s="45"/>
      <c r="G328" s="45"/>
      <c r="H328" s="45"/>
      <c r="I328" s="45"/>
      <c r="J328" s="42"/>
      <c r="K328" s="42"/>
      <c r="L328" s="42"/>
      <c r="M328" s="42"/>
      <c r="N328" s="42"/>
      <c r="O328" s="42"/>
      <c r="P328" s="42"/>
      <c r="Q328" s="52"/>
    </row>
    <row r="329" spans="1:17" x14ac:dyDescent="0.25">
      <c r="A329" s="7"/>
      <c r="B329" s="15"/>
      <c r="C329" s="15"/>
      <c r="D329" s="15"/>
      <c r="E329" s="11"/>
      <c r="F329" s="45"/>
      <c r="G329" s="45"/>
      <c r="H329" s="45"/>
      <c r="I329" s="45"/>
      <c r="J329" s="42"/>
      <c r="K329" s="42"/>
      <c r="L329" s="42"/>
      <c r="M329" s="42"/>
      <c r="N329" s="42"/>
      <c r="O329" s="42"/>
      <c r="P329" s="42"/>
      <c r="Q329" s="52"/>
    </row>
    <row r="330" spans="1:17" x14ac:dyDescent="0.25">
      <c r="A330" s="7"/>
      <c r="B330" s="15"/>
      <c r="C330" s="15"/>
      <c r="D330" s="15"/>
      <c r="E330" s="11"/>
      <c r="F330" s="45"/>
      <c r="G330" s="45"/>
      <c r="H330" s="45"/>
      <c r="I330" s="45"/>
      <c r="J330" s="42"/>
      <c r="K330" s="42"/>
      <c r="L330" s="42"/>
      <c r="M330" s="42"/>
      <c r="N330" s="42"/>
      <c r="O330" s="42"/>
      <c r="P330" s="42"/>
      <c r="Q330" s="52"/>
    </row>
    <row r="331" spans="1:17" x14ac:dyDescent="0.25">
      <c r="A331" s="7"/>
      <c r="B331" s="15"/>
      <c r="C331" s="15"/>
      <c r="D331" s="15"/>
      <c r="E331" s="11"/>
      <c r="F331" s="45"/>
      <c r="G331" s="45"/>
      <c r="H331" s="45"/>
      <c r="I331" s="45"/>
      <c r="J331" s="42"/>
      <c r="K331" s="42"/>
      <c r="L331" s="42"/>
      <c r="M331" s="42"/>
      <c r="N331" s="42"/>
      <c r="O331" s="42"/>
      <c r="P331" s="42"/>
      <c r="Q331" s="52"/>
    </row>
    <row r="332" spans="1:17" x14ac:dyDescent="0.25">
      <c r="A332" s="7"/>
      <c r="B332" s="15"/>
      <c r="C332" s="15"/>
      <c r="D332" s="15"/>
      <c r="E332" s="11"/>
      <c r="F332" s="45"/>
      <c r="G332" s="45"/>
      <c r="H332" s="45"/>
      <c r="I332" s="45"/>
      <c r="J332" s="42"/>
      <c r="K332" s="42"/>
      <c r="L332" s="42"/>
      <c r="M332" s="42"/>
      <c r="N332" s="42"/>
      <c r="O332" s="42"/>
      <c r="P332" s="42"/>
      <c r="Q332" s="52"/>
    </row>
    <row r="333" spans="1:17" x14ac:dyDescent="0.25">
      <c r="A333" s="7"/>
      <c r="B333" s="15"/>
      <c r="C333" s="15"/>
      <c r="D333" s="15"/>
      <c r="E333" s="11"/>
      <c r="F333" s="45"/>
      <c r="G333" s="45"/>
      <c r="H333" s="45"/>
      <c r="I333" s="45"/>
      <c r="J333" s="42"/>
      <c r="K333" s="42"/>
      <c r="L333" s="42"/>
      <c r="M333" s="42"/>
      <c r="N333" s="42"/>
      <c r="O333" s="42"/>
      <c r="P333" s="42"/>
      <c r="Q333" s="52"/>
    </row>
    <row r="334" spans="1:17" x14ac:dyDescent="0.25">
      <c r="A334" s="7"/>
      <c r="B334" s="15"/>
      <c r="C334" s="15"/>
      <c r="D334" s="15"/>
      <c r="E334" s="11"/>
      <c r="F334" s="45"/>
      <c r="G334" s="45"/>
      <c r="H334" s="45"/>
      <c r="I334" s="45"/>
      <c r="J334" s="42"/>
      <c r="K334" s="42"/>
      <c r="L334" s="42"/>
      <c r="M334" s="42"/>
      <c r="N334" s="42"/>
      <c r="O334" s="42"/>
      <c r="P334" s="42"/>
      <c r="Q334" s="52"/>
    </row>
    <row r="335" spans="1:17" x14ac:dyDescent="0.25">
      <c r="A335" s="7"/>
      <c r="B335" s="15"/>
      <c r="C335" s="15"/>
      <c r="D335" s="15"/>
      <c r="E335" s="11"/>
      <c r="F335" s="45"/>
      <c r="G335" s="45"/>
      <c r="H335" s="45"/>
      <c r="I335" s="45"/>
      <c r="J335" s="42"/>
      <c r="K335" s="42"/>
      <c r="L335" s="42"/>
      <c r="M335" s="42"/>
      <c r="N335" s="42"/>
      <c r="O335" s="42"/>
      <c r="P335" s="42"/>
      <c r="Q335" s="52"/>
    </row>
    <row r="336" spans="1:17" x14ac:dyDescent="0.25">
      <c r="A336" s="7"/>
      <c r="B336" s="15"/>
      <c r="C336" s="15"/>
      <c r="D336" s="15"/>
      <c r="E336" s="11"/>
      <c r="F336" s="45"/>
      <c r="G336" s="45"/>
      <c r="H336" s="45"/>
      <c r="I336" s="45"/>
      <c r="J336" s="42"/>
      <c r="K336" s="42"/>
      <c r="L336" s="42"/>
      <c r="M336" s="42"/>
      <c r="N336" s="42"/>
      <c r="O336" s="42"/>
      <c r="P336" s="42"/>
      <c r="Q336" s="52"/>
    </row>
    <row r="337" spans="1:17" x14ac:dyDescent="0.25">
      <c r="A337" s="7"/>
      <c r="B337" s="15"/>
      <c r="C337" s="15"/>
      <c r="D337" s="15"/>
      <c r="E337" s="11"/>
      <c r="F337" s="45"/>
      <c r="G337" s="45"/>
      <c r="H337" s="45"/>
      <c r="I337" s="45"/>
      <c r="J337" s="42"/>
      <c r="K337" s="42"/>
      <c r="L337" s="42"/>
      <c r="M337" s="42"/>
      <c r="N337" s="42"/>
      <c r="O337" s="42"/>
      <c r="P337" s="42"/>
      <c r="Q337" s="52"/>
    </row>
    <row r="338" spans="1:17" x14ac:dyDescent="0.25">
      <c r="A338" s="7"/>
      <c r="B338" s="15"/>
      <c r="C338" s="15"/>
      <c r="D338" s="15"/>
      <c r="E338" s="11"/>
      <c r="F338" s="45"/>
      <c r="G338" s="45"/>
      <c r="H338" s="45"/>
      <c r="I338" s="45"/>
      <c r="J338" s="42"/>
      <c r="K338" s="42"/>
      <c r="L338" s="42"/>
      <c r="M338" s="42"/>
      <c r="N338" s="42"/>
      <c r="O338" s="42"/>
      <c r="P338" s="42"/>
      <c r="Q338" s="52"/>
    </row>
    <row r="339" spans="1:17" x14ac:dyDescent="0.25">
      <c r="A339" s="7"/>
      <c r="B339" s="15"/>
      <c r="C339" s="15"/>
      <c r="D339" s="15"/>
      <c r="E339" s="11"/>
      <c r="F339" s="45"/>
      <c r="G339" s="45"/>
      <c r="H339" s="45"/>
      <c r="I339" s="45"/>
      <c r="J339" s="42"/>
      <c r="K339" s="42"/>
      <c r="L339" s="42"/>
      <c r="M339" s="42"/>
      <c r="N339" s="42"/>
      <c r="O339" s="42"/>
      <c r="P339" s="42"/>
      <c r="Q339" s="52"/>
    </row>
    <row r="340" spans="1:17" x14ac:dyDescent="0.25">
      <c r="A340" s="7"/>
      <c r="B340" s="15"/>
      <c r="C340" s="15"/>
      <c r="D340" s="15"/>
      <c r="E340" s="11"/>
      <c r="F340" s="45"/>
      <c r="G340" s="45"/>
      <c r="H340" s="45"/>
      <c r="I340" s="45"/>
      <c r="J340" s="42"/>
      <c r="K340" s="42"/>
      <c r="L340" s="42"/>
      <c r="M340" s="42"/>
      <c r="N340" s="42"/>
      <c r="O340" s="42"/>
      <c r="P340" s="42"/>
      <c r="Q340" s="52"/>
    </row>
    <row r="341" spans="1:17" x14ac:dyDescent="0.25">
      <c r="A341" s="7"/>
      <c r="B341" s="15"/>
      <c r="C341" s="15"/>
      <c r="D341" s="15"/>
      <c r="E341" s="11"/>
      <c r="F341" s="45"/>
      <c r="G341" s="45"/>
      <c r="H341" s="45"/>
      <c r="I341" s="45"/>
      <c r="J341" s="42"/>
      <c r="K341" s="42"/>
      <c r="L341" s="42"/>
      <c r="M341" s="42"/>
      <c r="N341" s="42"/>
      <c r="O341" s="42"/>
      <c r="P341" s="42"/>
      <c r="Q341" s="52"/>
    </row>
    <row r="342" spans="1:17" x14ac:dyDescent="0.25">
      <c r="A342" s="7"/>
      <c r="B342" s="15"/>
      <c r="C342" s="15"/>
      <c r="D342" s="15"/>
      <c r="E342" s="11"/>
      <c r="F342" s="45"/>
      <c r="G342" s="45"/>
      <c r="H342" s="45"/>
      <c r="I342" s="45"/>
      <c r="J342" s="42"/>
      <c r="K342" s="42"/>
      <c r="L342" s="42"/>
      <c r="M342" s="42"/>
      <c r="N342" s="42"/>
      <c r="O342" s="42"/>
      <c r="P342" s="42"/>
      <c r="Q342" s="52"/>
    </row>
    <row r="343" spans="1:17" x14ac:dyDescent="0.25">
      <c r="A343" s="7"/>
      <c r="B343" s="15"/>
      <c r="C343" s="15"/>
      <c r="D343" s="15"/>
      <c r="E343" s="11"/>
      <c r="F343" s="45"/>
      <c r="G343" s="45"/>
      <c r="H343" s="45"/>
      <c r="I343" s="45"/>
      <c r="J343" s="42"/>
      <c r="K343" s="42"/>
      <c r="L343" s="42"/>
      <c r="M343" s="42"/>
      <c r="N343" s="42"/>
      <c r="O343" s="42"/>
      <c r="P343" s="42"/>
      <c r="Q343" s="52"/>
    </row>
    <row r="344" spans="1:17" x14ac:dyDescent="0.25">
      <c r="A344" s="7"/>
      <c r="B344" s="15"/>
      <c r="C344" s="15"/>
      <c r="D344" s="15"/>
      <c r="E344" s="11"/>
      <c r="F344" s="45"/>
      <c r="G344" s="45"/>
      <c r="H344" s="45"/>
      <c r="I344" s="45"/>
      <c r="J344" s="42"/>
      <c r="K344" s="42"/>
      <c r="L344" s="42"/>
      <c r="M344" s="42"/>
      <c r="N344" s="42"/>
      <c r="O344" s="42"/>
      <c r="P344" s="42"/>
      <c r="Q344" s="52"/>
    </row>
    <row r="345" spans="1:17" x14ac:dyDescent="0.25">
      <c r="A345" s="7"/>
      <c r="B345" s="15"/>
      <c r="C345" s="15"/>
      <c r="D345" s="15"/>
      <c r="E345" s="11"/>
      <c r="F345" s="45"/>
      <c r="G345" s="45"/>
      <c r="H345" s="45"/>
      <c r="I345" s="45"/>
      <c r="J345" s="42"/>
      <c r="K345" s="42"/>
      <c r="L345" s="42"/>
      <c r="M345" s="42"/>
      <c r="N345" s="42"/>
      <c r="O345" s="42"/>
      <c r="P345" s="42"/>
      <c r="Q345" s="52"/>
    </row>
    <row r="346" spans="1:17" x14ac:dyDescent="0.25">
      <c r="A346" s="7"/>
      <c r="B346" s="15"/>
      <c r="C346" s="15"/>
      <c r="D346" s="15"/>
      <c r="E346" s="11"/>
      <c r="F346" s="45"/>
      <c r="G346" s="45"/>
      <c r="H346" s="45"/>
      <c r="I346" s="45"/>
      <c r="J346" s="42"/>
      <c r="K346" s="42"/>
      <c r="L346" s="42"/>
      <c r="M346" s="42"/>
      <c r="N346" s="42"/>
      <c r="O346" s="42"/>
      <c r="P346" s="42"/>
      <c r="Q346" s="52"/>
    </row>
    <row r="347" spans="1:17" x14ac:dyDescent="0.25">
      <c r="A347" s="7"/>
      <c r="B347" s="15"/>
      <c r="C347" s="15"/>
      <c r="D347" s="15"/>
      <c r="E347" s="11"/>
      <c r="F347" s="45"/>
      <c r="G347" s="45"/>
      <c r="H347" s="45"/>
      <c r="I347" s="45"/>
      <c r="J347" s="42"/>
      <c r="K347" s="42"/>
      <c r="L347" s="42"/>
      <c r="M347" s="42"/>
      <c r="N347" s="42"/>
      <c r="O347" s="42"/>
      <c r="P347" s="42"/>
      <c r="Q347" s="52"/>
    </row>
    <row r="348" spans="1:17" x14ac:dyDescent="0.25">
      <c r="A348" s="7"/>
      <c r="B348" s="15"/>
      <c r="C348" s="15"/>
      <c r="D348" s="15"/>
      <c r="E348" s="11"/>
      <c r="F348" s="45"/>
      <c r="G348" s="45"/>
      <c r="H348" s="45"/>
      <c r="I348" s="45"/>
      <c r="J348" s="42"/>
      <c r="K348" s="42"/>
      <c r="L348" s="42"/>
      <c r="M348" s="42"/>
      <c r="N348" s="42"/>
      <c r="O348" s="42"/>
      <c r="P348" s="42"/>
      <c r="Q348" s="52"/>
    </row>
    <row r="349" spans="1:17" x14ac:dyDescent="0.25">
      <c r="A349" s="7"/>
      <c r="B349" s="15"/>
      <c r="C349" s="15"/>
      <c r="D349" s="15"/>
      <c r="E349" s="11"/>
      <c r="F349" s="45"/>
      <c r="G349" s="45"/>
      <c r="H349" s="45"/>
      <c r="I349" s="45"/>
      <c r="J349" s="42"/>
      <c r="K349" s="42"/>
      <c r="L349" s="42"/>
      <c r="M349" s="42"/>
      <c r="N349" s="42"/>
      <c r="O349" s="42"/>
      <c r="P349" s="42"/>
      <c r="Q349" s="52"/>
    </row>
    <row r="350" spans="1:17" x14ac:dyDescent="0.25">
      <c r="A350" s="7"/>
      <c r="B350" s="15"/>
      <c r="C350" s="15"/>
      <c r="D350" s="15"/>
      <c r="E350" s="11"/>
      <c r="F350" s="45"/>
      <c r="G350" s="45"/>
      <c r="H350" s="45"/>
      <c r="I350" s="45"/>
      <c r="J350" s="42"/>
      <c r="K350" s="42"/>
      <c r="L350" s="42"/>
      <c r="M350" s="42"/>
      <c r="N350" s="42"/>
      <c r="O350" s="42"/>
      <c r="P350" s="42"/>
      <c r="Q350" s="52"/>
    </row>
    <row r="351" spans="1:17" x14ac:dyDescent="0.25">
      <c r="A351" s="7"/>
      <c r="B351" s="15"/>
      <c r="C351" s="15"/>
      <c r="D351" s="15"/>
      <c r="E351" s="11"/>
      <c r="F351" s="45"/>
      <c r="G351" s="45"/>
      <c r="H351" s="45"/>
      <c r="I351" s="45"/>
      <c r="J351" s="42"/>
      <c r="K351" s="42"/>
      <c r="L351" s="42"/>
      <c r="M351" s="42"/>
      <c r="N351" s="42"/>
      <c r="O351" s="42"/>
      <c r="P351" s="42"/>
      <c r="Q351" s="52"/>
    </row>
    <row r="352" spans="1:17" x14ac:dyDescent="0.25">
      <c r="A352" s="7"/>
      <c r="B352" s="15"/>
      <c r="C352" s="15"/>
      <c r="D352" s="15"/>
      <c r="E352" s="11"/>
      <c r="F352" s="45"/>
      <c r="G352" s="45"/>
      <c r="H352" s="45"/>
      <c r="I352" s="45"/>
      <c r="J352" s="42"/>
      <c r="K352" s="42"/>
      <c r="L352" s="42"/>
      <c r="M352" s="42"/>
      <c r="N352" s="42"/>
      <c r="O352" s="42"/>
      <c r="P352" s="42"/>
      <c r="Q352" s="52"/>
    </row>
    <row r="353" spans="1:17" x14ac:dyDescent="0.25">
      <c r="A353" s="7"/>
      <c r="B353" s="15"/>
      <c r="C353" s="15"/>
      <c r="D353" s="15"/>
      <c r="E353" s="11"/>
      <c r="F353" s="45"/>
      <c r="G353" s="45"/>
      <c r="H353" s="45"/>
      <c r="I353" s="45"/>
      <c r="J353" s="42"/>
      <c r="K353" s="42"/>
      <c r="L353" s="42"/>
      <c r="M353" s="42"/>
      <c r="N353" s="42"/>
      <c r="O353" s="42"/>
      <c r="P353" s="42"/>
      <c r="Q353" s="52"/>
    </row>
    <row r="354" spans="1:17" x14ac:dyDescent="0.25">
      <c r="A354" s="7"/>
      <c r="B354" s="15"/>
      <c r="C354" s="15"/>
      <c r="D354" s="15"/>
      <c r="E354" s="11"/>
      <c r="F354" s="45"/>
      <c r="G354" s="45"/>
      <c r="H354" s="45"/>
      <c r="I354" s="45"/>
      <c r="J354" s="42"/>
      <c r="K354" s="42"/>
      <c r="L354" s="42"/>
      <c r="M354" s="42"/>
      <c r="N354" s="42"/>
      <c r="O354" s="42"/>
      <c r="P354" s="42"/>
      <c r="Q354" s="52"/>
    </row>
    <row r="355" spans="1:17" x14ac:dyDescent="0.25">
      <c r="A355" s="7"/>
      <c r="B355" s="15"/>
      <c r="C355" s="15"/>
      <c r="D355" s="15"/>
      <c r="E355" s="11"/>
      <c r="F355" s="45"/>
      <c r="G355" s="45"/>
      <c r="H355" s="45"/>
      <c r="I355" s="45"/>
      <c r="J355" s="42"/>
      <c r="K355" s="42"/>
      <c r="L355" s="42"/>
      <c r="M355" s="42"/>
      <c r="N355" s="42"/>
      <c r="O355" s="42"/>
      <c r="P355" s="42"/>
      <c r="Q355" s="52"/>
    </row>
    <row r="356" spans="1:17" x14ac:dyDescent="0.25">
      <c r="A356" s="7"/>
      <c r="B356" s="15"/>
      <c r="C356" s="15"/>
      <c r="D356" s="15"/>
      <c r="E356" s="11"/>
      <c r="F356" s="45"/>
      <c r="G356" s="45"/>
      <c r="H356" s="45"/>
      <c r="I356" s="45"/>
      <c r="J356" s="42"/>
      <c r="K356" s="42"/>
      <c r="L356" s="42"/>
      <c r="M356" s="42"/>
      <c r="N356" s="42"/>
      <c r="O356" s="42"/>
      <c r="P356" s="42"/>
      <c r="Q356" s="52"/>
    </row>
    <row r="357" spans="1:17" x14ac:dyDescent="0.25">
      <c r="A357" s="7"/>
      <c r="B357" s="15"/>
      <c r="C357" s="15"/>
      <c r="D357" s="15"/>
      <c r="E357" s="11"/>
      <c r="F357" s="45"/>
      <c r="G357" s="45"/>
      <c r="H357" s="45"/>
      <c r="I357" s="45"/>
      <c r="J357" s="42"/>
      <c r="K357" s="42"/>
      <c r="L357" s="42"/>
      <c r="M357" s="42"/>
      <c r="N357" s="42"/>
      <c r="O357" s="42"/>
      <c r="P357" s="42"/>
      <c r="Q357" s="52"/>
    </row>
    <row r="358" spans="1:17" x14ac:dyDescent="0.25">
      <c r="A358" s="7"/>
      <c r="B358" s="15"/>
      <c r="C358" s="15"/>
      <c r="D358" s="15"/>
      <c r="E358" s="11"/>
      <c r="F358" s="45"/>
      <c r="G358" s="45"/>
      <c r="H358" s="45"/>
      <c r="I358" s="45"/>
      <c r="J358" s="42"/>
      <c r="K358" s="42"/>
      <c r="L358" s="42"/>
      <c r="M358" s="42"/>
      <c r="N358" s="42"/>
      <c r="O358" s="42"/>
      <c r="P358" s="42"/>
      <c r="Q358" s="52"/>
    </row>
    <row r="359" spans="1:17" x14ac:dyDescent="0.25">
      <c r="A359" s="7"/>
      <c r="B359" s="15"/>
      <c r="C359" s="15"/>
      <c r="D359" s="15"/>
      <c r="E359" s="11"/>
      <c r="F359" s="45"/>
      <c r="G359" s="45"/>
      <c r="H359" s="45"/>
      <c r="I359" s="45"/>
      <c r="J359" s="42"/>
      <c r="K359" s="42"/>
      <c r="L359" s="42"/>
      <c r="M359" s="42"/>
      <c r="N359" s="42"/>
      <c r="O359" s="42"/>
      <c r="P359" s="42"/>
      <c r="Q359" s="52"/>
    </row>
    <row r="360" spans="1:17" x14ac:dyDescent="0.25">
      <c r="A360" s="7"/>
      <c r="B360" s="15"/>
      <c r="C360" s="15"/>
      <c r="D360" s="15"/>
      <c r="E360" s="11"/>
      <c r="F360" s="45"/>
      <c r="G360" s="45"/>
      <c r="H360" s="45"/>
      <c r="I360" s="45"/>
      <c r="J360" s="42"/>
      <c r="K360" s="42"/>
      <c r="L360" s="42"/>
      <c r="M360" s="42"/>
      <c r="N360" s="42"/>
      <c r="O360" s="42"/>
      <c r="P360" s="42"/>
      <c r="Q360" s="52"/>
    </row>
    <row r="361" spans="1:17" x14ac:dyDescent="0.25">
      <c r="A361" s="7"/>
      <c r="B361" s="15"/>
      <c r="C361" s="15"/>
      <c r="D361" s="15"/>
      <c r="E361" s="11"/>
      <c r="F361" s="45"/>
      <c r="G361" s="45"/>
      <c r="H361" s="45"/>
      <c r="I361" s="45"/>
      <c r="J361" s="42"/>
      <c r="K361" s="42"/>
      <c r="L361" s="42"/>
      <c r="M361" s="42"/>
      <c r="N361" s="42"/>
      <c r="O361" s="42"/>
      <c r="P361" s="42"/>
      <c r="Q361" s="52"/>
    </row>
    <row r="362" spans="1:17" x14ac:dyDescent="0.25">
      <c r="A362" s="7"/>
      <c r="B362" s="15"/>
      <c r="C362" s="15"/>
      <c r="D362" s="15"/>
      <c r="E362" s="11"/>
      <c r="F362" s="45"/>
      <c r="G362" s="45"/>
      <c r="H362" s="45"/>
      <c r="I362" s="45"/>
      <c r="J362" s="42"/>
      <c r="K362" s="42"/>
      <c r="L362" s="42"/>
      <c r="M362" s="42"/>
      <c r="N362" s="42"/>
      <c r="O362" s="42"/>
      <c r="P362" s="42"/>
      <c r="Q362" s="52"/>
    </row>
    <row r="363" spans="1:17" x14ac:dyDescent="0.25">
      <c r="A363" s="7"/>
      <c r="B363" s="15"/>
      <c r="C363" s="15"/>
      <c r="D363" s="15"/>
      <c r="E363" s="11"/>
      <c r="F363" s="45"/>
      <c r="G363" s="45"/>
      <c r="H363" s="45"/>
      <c r="I363" s="45"/>
      <c r="J363" s="42"/>
      <c r="K363" s="42"/>
      <c r="L363" s="42"/>
      <c r="M363" s="42"/>
      <c r="N363" s="42"/>
      <c r="O363" s="42"/>
      <c r="P363" s="42"/>
      <c r="Q363" s="52"/>
    </row>
    <row r="364" spans="1:17" x14ac:dyDescent="0.25">
      <c r="A364" s="7"/>
      <c r="B364" s="15"/>
      <c r="C364" s="15"/>
      <c r="D364" s="15"/>
      <c r="E364" s="11"/>
      <c r="F364" s="45"/>
      <c r="G364" s="45"/>
      <c r="H364" s="45"/>
      <c r="I364" s="45"/>
      <c r="J364" s="42"/>
      <c r="K364" s="42"/>
      <c r="L364" s="42"/>
      <c r="M364" s="42"/>
      <c r="N364" s="42"/>
      <c r="O364" s="42"/>
      <c r="P364" s="42"/>
      <c r="Q364" s="52"/>
    </row>
    <row r="365" spans="1:17" x14ac:dyDescent="0.25">
      <c r="A365" s="7"/>
      <c r="B365" s="15"/>
      <c r="C365" s="15"/>
      <c r="D365" s="15"/>
      <c r="E365" s="11"/>
      <c r="F365" s="45"/>
      <c r="G365" s="45"/>
      <c r="H365" s="45"/>
      <c r="I365" s="45"/>
      <c r="J365" s="42"/>
      <c r="K365" s="42"/>
      <c r="L365" s="42"/>
      <c r="M365" s="42"/>
      <c r="N365" s="42"/>
      <c r="O365" s="42"/>
      <c r="P365" s="42"/>
      <c r="Q365" s="52"/>
    </row>
    <row r="366" spans="1:17" x14ac:dyDescent="0.25">
      <c r="A366" s="7"/>
      <c r="B366" s="15"/>
      <c r="C366" s="15"/>
      <c r="D366" s="15"/>
      <c r="E366" s="11"/>
      <c r="F366" s="45"/>
      <c r="G366" s="45"/>
      <c r="H366" s="45"/>
      <c r="I366" s="45"/>
      <c r="J366" s="42"/>
      <c r="K366" s="42"/>
      <c r="L366" s="42"/>
      <c r="M366" s="42"/>
      <c r="N366" s="42"/>
      <c r="O366" s="42"/>
      <c r="P366" s="42"/>
      <c r="Q366" s="52"/>
    </row>
    <row r="367" spans="1:17" x14ac:dyDescent="0.25">
      <c r="A367" s="7"/>
      <c r="B367" s="15"/>
      <c r="C367" s="15"/>
      <c r="D367" s="15"/>
      <c r="E367" s="11"/>
      <c r="F367" s="45"/>
      <c r="G367" s="45"/>
      <c r="H367" s="45"/>
      <c r="I367" s="45"/>
      <c r="J367" s="42"/>
      <c r="K367" s="42"/>
      <c r="L367" s="42"/>
      <c r="M367" s="42"/>
      <c r="N367" s="42"/>
      <c r="O367" s="42"/>
      <c r="P367" s="42"/>
      <c r="Q367" s="52"/>
    </row>
    <row r="368" spans="1:17" x14ac:dyDescent="0.25">
      <c r="A368" s="7"/>
      <c r="B368" s="15"/>
      <c r="C368" s="15"/>
      <c r="D368" s="15"/>
      <c r="E368" s="11"/>
      <c r="F368" s="45"/>
      <c r="G368" s="45"/>
      <c r="H368" s="45"/>
      <c r="I368" s="45"/>
      <c r="J368" s="42"/>
      <c r="K368" s="42"/>
      <c r="L368" s="42"/>
      <c r="M368" s="42"/>
      <c r="N368" s="42"/>
      <c r="O368" s="42"/>
      <c r="P368" s="42"/>
      <c r="Q368" s="52"/>
    </row>
    <row r="369" spans="1:17" x14ac:dyDescent="0.25">
      <c r="A369" s="7"/>
      <c r="B369" s="15"/>
      <c r="C369" s="15"/>
      <c r="D369" s="15"/>
      <c r="E369" s="11"/>
      <c r="F369" s="45"/>
      <c r="G369" s="45"/>
      <c r="H369" s="45"/>
      <c r="I369" s="45"/>
      <c r="J369" s="42"/>
      <c r="K369" s="42"/>
      <c r="L369" s="42"/>
      <c r="M369" s="42"/>
      <c r="N369" s="42"/>
      <c r="O369" s="42"/>
      <c r="P369" s="42"/>
      <c r="Q369" s="52"/>
    </row>
    <row r="370" spans="1:17" x14ac:dyDescent="0.25">
      <c r="A370" s="7"/>
      <c r="B370" s="15"/>
      <c r="C370" s="15"/>
      <c r="D370" s="15"/>
      <c r="E370" s="11"/>
      <c r="F370" s="45"/>
      <c r="G370" s="45"/>
      <c r="H370" s="45"/>
      <c r="I370" s="45"/>
      <c r="J370" s="42"/>
      <c r="K370" s="42"/>
      <c r="L370" s="42"/>
      <c r="M370" s="42"/>
      <c r="N370" s="42"/>
      <c r="O370" s="42"/>
      <c r="P370" s="42"/>
      <c r="Q370" s="52"/>
    </row>
    <row r="371" spans="1:17" x14ac:dyDescent="0.25">
      <c r="A371" s="7"/>
      <c r="B371" s="15"/>
      <c r="C371" s="15"/>
      <c r="D371" s="15"/>
      <c r="E371" s="11"/>
      <c r="F371" s="45"/>
      <c r="G371" s="45"/>
      <c r="H371" s="45"/>
      <c r="I371" s="45"/>
      <c r="J371" s="42"/>
      <c r="K371" s="42"/>
      <c r="L371" s="42"/>
      <c r="M371" s="42"/>
      <c r="N371" s="42"/>
      <c r="O371" s="42"/>
      <c r="P371" s="42"/>
      <c r="Q371" s="52"/>
    </row>
    <row r="372" spans="1:17" x14ac:dyDescent="0.25">
      <c r="A372" s="7"/>
      <c r="B372" s="15"/>
      <c r="C372" s="15"/>
      <c r="D372" s="15"/>
      <c r="E372" s="11"/>
      <c r="F372" s="45"/>
      <c r="G372" s="45"/>
      <c r="H372" s="45"/>
      <c r="I372" s="45"/>
      <c r="J372" s="42"/>
      <c r="K372" s="42"/>
      <c r="L372" s="42"/>
      <c r="M372" s="42"/>
      <c r="N372" s="42"/>
      <c r="O372" s="42"/>
      <c r="P372" s="42"/>
      <c r="Q372" s="52"/>
    </row>
    <row r="373" spans="1:17" x14ac:dyDescent="0.25">
      <c r="A373" s="7"/>
      <c r="B373" s="15"/>
      <c r="C373" s="15"/>
      <c r="D373" s="15"/>
      <c r="E373" s="11"/>
      <c r="F373" s="45"/>
      <c r="G373" s="45"/>
      <c r="H373" s="45"/>
      <c r="I373" s="45"/>
      <c r="J373" s="42"/>
      <c r="K373" s="42"/>
      <c r="L373" s="42"/>
      <c r="M373" s="42"/>
      <c r="N373" s="42"/>
      <c r="O373" s="42"/>
      <c r="P373" s="42"/>
      <c r="Q373" s="52"/>
    </row>
    <row r="374" spans="1:17" x14ac:dyDescent="0.25">
      <c r="A374" s="7"/>
      <c r="B374" s="15"/>
      <c r="C374" s="15"/>
      <c r="D374" s="15"/>
      <c r="E374" s="11"/>
      <c r="F374" s="45"/>
      <c r="G374" s="45"/>
      <c r="H374" s="45"/>
      <c r="I374" s="45"/>
      <c r="J374" s="42"/>
      <c r="K374" s="42"/>
      <c r="L374" s="42"/>
      <c r="M374" s="42"/>
      <c r="N374" s="42"/>
      <c r="O374" s="42"/>
      <c r="P374" s="42"/>
      <c r="Q374" s="52"/>
    </row>
    <row r="375" spans="1:17" x14ac:dyDescent="0.25">
      <c r="A375" s="7"/>
      <c r="B375" s="15"/>
      <c r="C375" s="15"/>
      <c r="D375" s="15"/>
      <c r="E375" s="11"/>
      <c r="F375" s="45"/>
      <c r="G375" s="45"/>
      <c r="H375" s="45"/>
      <c r="I375" s="45"/>
      <c r="J375" s="42"/>
      <c r="K375" s="42"/>
      <c r="L375" s="42"/>
      <c r="M375" s="42"/>
      <c r="N375" s="42"/>
      <c r="O375" s="42"/>
      <c r="P375" s="42"/>
      <c r="Q375" s="52"/>
    </row>
    <row r="376" spans="1:17" x14ac:dyDescent="0.25">
      <c r="A376" s="7"/>
      <c r="B376" s="15"/>
      <c r="C376" s="15"/>
      <c r="D376" s="15"/>
      <c r="E376" s="11"/>
      <c r="F376" s="45"/>
      <c r="G376" s="45"/>
      <c r="H376" s="45"/>
      <c r="I376" s="45"/>
      <c r="J376" s="42"/>
      <c r="K376" s="42"/>
      <c r="L376" s="42"/>
      <c r="M376" s="42"/>
      <c r="N376" s="42"/>
      <c r="O376" s="42"/>
      <c r="P376" s="42"/>
      <c r="Q376" s="52"/>
    </row>
    <row r="377" spans="1:17" x14ac:dyDescent="0.25">
      <c r="A377" s="7"/>
      <c r="B377" s="15"/>
      <c r="C377" s="15"/>
      <c r="D377" s="15"/>
      <c r="E377" s="11"/>
      <c r="F377" s="45"/>
      <c r="G377" s="45"/>
      <c r="H377" s="45"/>
      <c r="I377" s="45"/>
      <c r="J377" s="42"/>
      <c r="K377" s="42"/>
      <c r="L377" s="42"/>
      <c r="M377" s="42"/>
      <c r="N377" s="42"/>
      <c r="O377" s="42"/>
      <c r="P377" s="42"/>
      <c r="Q377" s="52"/>
    </row>
    <row r="378" spans="1:17" x14ac:dyDescent="0.25">
      <c r="A378" s="7"/>
      <c r="B378" s="15"/>
      <c r="C378" s="15"/>
      <c r="D378" s="15"/>
      <c r="E378" s="11"/>
      <c r="F378" s="45"/>
      <c r="G378" s="45"/>
      <c r="H378" s="45"/>
      <c r="I378" s="45"/>
      <c r="J378" s="42"/>
      <c r="K378" s="42"/>
      <c r="L378" s="42"/>
      <c r="M378" s="42"/>
      <c r="N378" s="42"/>
      <c r="O378" s="42"/>
      <c r="P378" s="42"/>
      <c r="Q378" s="52"/>
    </row>
    <row r="379" spans="1:17" x14ac:dyDescent="0.25">
      <c r="A379" s="7"/>
      <c r="B379" s="15"/>
      <c r="C379" s="15"/>
      <c r="D379" s="15"/>
      <c r="E379" s="11"/>
      <c r="F379" s="45"/>
      <c r="G379" s="45"/>
      <c r="H379" s="45"/>
      <c r="I379" s="45"/>
      <c r="J379" s="42"/>
      <c r="K379" s="42"/>
      <c r="L379" s="42"/>
      <c r="M379" s="42"/>
      <c r="N379" s="42"/>
      <c r="O379" s="42"/>
      <c r="P379" s="42"/>
      <c r="Q379" s="52"/>
    </row>
    <row r="380" spans="1:17" x14ac:dyDescent="0.25">
      <c r="A380" s="7"/>
      <c r="B380" s="15"/>
      <c r="C380" s="15"/>
      <c r="D380" s="15"/>
      <c r="E380" s="11"/>
      <c r="F380" s="45"/>
      <c r="G380" s="45"/>
      <c r="H380" s="45"/>
      <c r="I380" s="45"/>
      <c r="J380" s="42"/>
      <c r="K380" s="42"/>
      <c r="L380" s="42"/>
      <c r="M380" s="42"/>
      <c r="N380" s="42"/>
      <c r="O380" s="42"/>
      <c r="P380" s="42"/>
      <c r="Q380" s="52"/>
    </row>
    <row r="381" spans="1:17" x14ac:dyDescent="0.25">
      <c r="A381" s="7"/>
      <c r="B381" s="15"/>
      <c r="C381" s="15"/>
      <c r="D381" s="15"/>
      <c r="E381" s="11"/>
      <c r="F381" s="45"/>
      <c r="G381" s="45"/>
      <c r="H381" s="45"/>
      <c r="I381" s="45"/>
      <c r="J381" s="42"/>
      <c r="K381" s="42"/>
      <c r="L381" s="42"/>
      <c r="M381" s="42"/>
      <c r="N381" s="42"/>
      <c r="O381" s="42"/>
      <c r="P381" s="42"/>
      <c r="Q381" s="52"/>
    </row>
    <row r="382" spans="1:17" x14ac:dyDescent="0.25">
      <c r="A382" s="7"/>
      <c r="B382" s="15"/>
      <c r="C382" s="15"/>
      <c r="D382" s="15"/>
      <c r="E382" s="11"/>
      <c r="F382" s="45"/>
      <c r="G382" s="45"/>
      <c r="H382" s="45"/>
      <c r="I382" s="45"/>
      <c r="J382" s="42"/>
      <c r="K382" s="42"/>
      <c r="L382" s="42"/>
      <c r="M382" s="42"/>
      <c r="N382" s="42"/>
      <c r="O382" s="42"/>
      <c r="P382" s="42"/>
      <c r="Q382" s="52"/>
    </row>
    <row r="383" spans="1:17" x14ac:dyDescent="0.25">
      <c r="A383" s="7"/>
      <c r="B383" s="15"/>
      <c r="C383" s="15"/>
      <c r="D383" s="15"/>
      <c r="E383" s="11"/>
      <c r="F383" s="45"/>
      <c r="G383" s="45"/>
      <c r="H383" s="45"/>
      <c r="I383" s="45"/>
      <c r="J383" s="42"/>
      <c r="K383" s="42"/>
      <c r="L383" s="42"/>
      <c r="M383" s="42"/>
      <c r="N383" s="42"/>
      <c r="O383" s="42"/>
      <c r="P383" s="42"/>
      <c r="Q383" s="52"/>
    </row>
    <row r="384" spans="1:17" x14ac:dyDescent="0.25">
      <c r="A384" s="7"/>
      <c r="B384" s="15"/>
      <c r="C384" s="15"/>
      <c r="D384" s="15"/>
      <c r="E384" s="11"/>
      <c r="F384" s="45"/>
      <c r="G384" s="45"/>
      <c r="H384" s="45"/>
      <c r="I384" s="45"/>
      <c r="J384" s="42"/>
      <c r="K384" s="42"/>
      <c r="L384" s="42"/>
      <c r="M384" s="42"/>
      <c r="N384" s="42"/>
      <c r="O384" s="42"/>
      <c r="P384" s="42"/>
      <c r="Q384" s="52"/>
    </row>
    <row r="385" spans="1:17" x14ac:dyDescent="0.25">
      <c r="A385" s="7"/>
      <c r="B385" s="15"/>
      <c r="C385" s="15"/>
      <c r="D385" s="15"/>
      <c r="E385" s="11"/>
      <c r="F385" s="45"/>
      <c r="G385" s="45"/>
      <c r="H385" s="45"/>
      <c r="I385" s="45"/>
      <c r="J385" s="42"/>
      <c r="K385" s="42"/>
      <c r="L385" s="42"/>
      <c r="M385" s="42"/>
      <c r="N385" s="42"/>
      <c r="O385" s="42"/>
      <c r="P385" s="42"/>
      <c r="Q385" s="52"/>
    </row>
    <row r="386" spans="1:17" x14ac:dyDescent="0.25">
      <c r="A386" s="7"/>
      <c r="B386" s="15"/>
      <c r="C386" s="15"/>
      <c r="D386" s="15"/>
      <c r="E386" s="11"/>
      <c r="F386" s="45"/>
      <c r="G386" s="45"/>
      <c r="H386" s="45"/>
      <c r="I386" s="45"/>
      <c r="J386" s="42"/>
      <c r="K386" s="42"/>
      <c r="L386" s="42"/>
      <c r="M386" s="42"/>
      <c r="N386" s="42"/>
      <c r="O386" s="42"/>
      <c r="P386" s="42"/>
      <c r="Q386" s="52"/>
    </row>
    <row r="387" spans="1:17" x14ac:dyDescent="0.25">
      <c r="A387" s="7"/>
      <c r="B387" s="15"/>
      <c r="C387" s="15"/>
      <c r="D387" s="15"/>
      <c r="E387" s="11"/>
      <c r="F387" s="45"/>
      <c r="G387" s="45"/>
      <c r="H387" s="45"/>
      <c r="I387" s="45"/>
      <c r="J387" s="42"/>
      <c r="K387" s="42"/>
      <c r="L387" s="42"/>
      <c r="M387" s="42"/>
      <c r="N387" s="42"/>
      <c r="O387" s="42"/>
      <c r="P387" s="42"/>
      <c r="Q387" s="52"/>
    </row>
    <row r="388" spans="1:17" x14ac:dyDescent="0.25">
      <c r="A388" s="7"/>
      <c r="B388" s="15"/>
      <c r="C388" s="15"/>
      <c r="D388" s="15"/>
      <c r="E388" s="11"/>
      <c r="F388" s="45"/>
      <c r="G388" s="45"/>
      <c r="H388" s="45"/>
      <c r="I388" s="45"/>
      <c r="J388" s="42"/>
      <c r="K388" s="42"/>
      <c r="L388" s="42"/>
      <c r="M388" s="42"/>
      <c r="N388" s="42"/>
      <c r="O388" s="42"/>
      <c r="P388" s="42"/>
      <c r="Q388" s="52"/>
    </row>
    <row r="389" spans="1:17" x14ac:dyDescent="0.25">
      <c r="A389" s="7"/>
      <c r="B389" s="15"/>
      <c r="C389" s="15"/>
      <c r="D389" s="15"/>
      <c r="E389" s="11"/>
      <c r="F389" s="45"/>
      <c r="G389" s="45"/>
      <c r="H389" s="45"/>
      <c r="I389" s="45"/>
      <c r="J389" s="42"/>
      <c r="K389" s="42"/>
      <c r="L389" s="42"/>
      <c r="M389" s="42"/>
      <c r="N389" s="42"/>
      <c r="O389" s="42"/>
      <c r="P389" s="42"/>
      <c r="Q389" s="52"/>
    </row>
    <row r="390" spans="1:17" x14ac:dyDescent="0.25">
      <c r="A390" s="7"/>
      <c r="B390" s="15"/>
      <c r="C390" s="15"/>
      <c r="D390" s="15"/>
      <c r="E390" s="11"/>
      <c r="F390" s="45"/>
      <c r="G390" s="45"/>
      <c r="H390" s="45"/>
      <c r="I390" s="45"/>
      <c r="J390" s="42"/>
      <c r="K390" s="42"/>
      <c r="L390" s="42"/>
      <c r="M390" s="42"/>
      <c r="N390" s="42"/>
      <c r="O390" s="42"/>
      <c r="P390" s="42"/>
      <c r="Q390" s="52"/>
    </row>
    <row r="391" spans="1:17" x14ac:dyDescent="0.25">
      <c r="A391" s="7"/>
      <c r="B391" s="15"/>
      <c r="C391" s="15"/>
      <c r="D391" s="15"/>
      <c r="E391" s="11"/>
      <c r="F391" s="45"/>
      <c r="G391" s="45"/>
      <c r="H391" s="45"/>
      <c r="I391" s="45"/>
      <c r="J391" s="42"/>
      <c r="K391" s="42"/>
      <c r="L391" s="42"/>
      <c r="M391" s="42"/>
      <c r="N391" s="42"/>
      <c r="O391" s="42"/>
      <c r="P391" s="42"/>
      <c r="Q391" s="52"/>
    </row>
    <row r="392" spans="1:17" x14ac:dyDescent="0.25">
      <c r="A392" s="7"/>
      <c r="B392" s="15"/>
      <c r="C392" s="15"/>
      <c r="D392" s="15"/>
      <c r="E392" s="11"/>
      <c r="F392" s="45"/>
      <c r="G392" s="45"/>
      <c r="H392" s="45"/>
      <c r="I392" s="45"/>
      <c r="J392" s="42"/>
      <c r="K392" s="42"/>
      <c r="L392" s="42"/>
      <c r="M392" s="42"/>
      <c r="N392" s="42"/>
      <c r="O392" s="42"/>
      <c r="P392" s="42"/>
      <c r="Q392" s="52"/>
    </row>
    <row r="393" spans="1:17" x14ac:dyDescent="0.25">
      <c r="A393" s="7"/>
      <c r="B393" s="15"/>
      <c r="C393" s="15"/>
      <c r="D393" s="15"/>
      <c r="E393" s="11"/>
      <c r="F393" s="45"/>
      <c r="G393" s="45"/>
      <c r="H393" s="45"/>
      <c r="I393" s="45"/>
      <c r="J393" s="42"/>
      <c r="K393" s="42"/>
      <c r="L393" s="42"/>
      <c r="M393" s="42"/>
      <c r="N393" s="42"/>
      <c r="O393" s="42"/>
      <c r="P393" s="42"/>
      <c r="Q393" s="52"/>
    </row>
    <row r="394" spans="1:17" x14ac:dyDescent="0.25">
      <c r="A394" s="7"/>
      <c r="B394" s="15"/>
      <c r="C394" s="15"/>
      <c r="D394" s="15"/>
      <c r="E394" s="11"/>
      <c r="F394" s="45"/>
      <c r="G394" s="45"/>
      <c r="H394" s="45"/>
      <c r="I394" s="45"/>
      <c r="J394" s="42"/>
      <c r="K394" s="42"/>
      <c r="L394" s="42"/>
      <c r="M394" s="42"/>
      <c r="N394" s="42"/>
      <c r="O394" s="42"/>
      <c r="P394" s="42"/>
      <c r="Q394" s="52"/>
    </row>
    <row r="395" spans="1:17" x14ac:dyDescent="0.25">
      <c r="A395" s="7"/>
      <c r="B395" s="15"/>
      <c r="C395" s="15"/>
      <c r="D395" s="15"/>
      <c r="E395" s="11"/>
      <c r="F395" s="45"/>
      <c r="G395" s="45"/>
      <c r="H395" s="45"/>
      <c r="I395" s="45"/>
      <c r="J395" s="42"/>
      <c r="K395" s="42"/>
      <c r="L395" s="42"/>
      <c r="M395" s="42"/>
      <c r="N395" s="42"/>
      <c r="O395" s="42"/>
      <c r="P395" s="42"/>
      <c r="Q395" s="52"/>
    </row>
    <row r="396" spans="1:17" x14ac:dyDescent="0.25">
      <c r="A396" s="7"/>
      <c r="B396" s="15"/>
      <c r="C396" s="15"/>
      <c r="D396" s="15"/>
      <c r="E396" s="11"/>
      <c r="F396" s="45"/>
      <c r="G396" s="45"/>
      <c r="H396" s="45"/>
      <c r="I396" s="45"/>
      <c r="J396" s="42"/>
      <c r="K396" s="42"/>
      <c r="L396" s="42"/>
      <c r="M396" s="42"/>
      <c r="N396" s="42"/>
      <c r="O396" s="42"/>
      <c r="P396" s="42"/>
      <c r="Q396" s="52"/>
    </row>
    <row r="397" spans="1:17" x14ac:dyDescent="0.25">
      <c r="A397" s="7"/>
      <c r="B397" s="15"/>
      <c r="C397" s="15"/>
      <c r="D397" s="15"/>
      <c r="E397" s="11"/>
      <c r="F397" s="45"/>
      <c r="G397" s="45"/>
      <c r="H397" s="45"/>
      <c r="I397" s="45"/>
      <c r="J397" s="42"/>
      <c r="K397" s="42"/>
      <c r="L397" s="42"/>
      <c r="M397" s="42"/>
      <c r="N397" s="42"/>
      <c r="O397" s="42"/>
      <c r="P397" s="42"/>
      <c r="Q397" s="52"/>
    </row>
    <row r="398" spans="1:17" x14ac:dyDescent="0.25">
      <c r="A398" s="7"/>
      <c r="B398" s="15"/>
      <c r="C398" s="15"/>
      <c r="D398" s="15"/>
      <c r="E398" s="11"/>
      <c r="F398" s="45"/>
      <c r="G398" s="45"/>
      <c r="H398" s="45"/>
      <c r="I398" s="45"/>
      <c r="J398" s="42"/>
      <c r="K398" s="42"/>
      <c r="L398" s="42"/>
      <c r="M398" s="42"/>
      <c r="N398" s="42"/>
      <c r="O398" s="42"/>
      <c r="P398" s="42"/>
      <c r="Q398" s="52"/>
    </row>
    <row r="399" spans="1:17" x14ac:dyDescent="0.25">
      <c r="A399" s="7"/>
      <c r="B399" s="15"/>
      <c r="C399" s="15"/>
      <c r="D399" s="15"/>
      <c r="E399" s="11"/>
      <c r="F399" s="45"/>
      <c r="G399" s="45"/>
      <c r="H399" s="45"/>
      <c r="I399" s="45"/>
      <c r="J399" s="42"/>
      <c r="K399" s="42"/>
      <c r="L399" s="42"/>
      <c r="M399" s="42"/>
      <c r="N399" s="42"/>
      <c r="O399" s="42"/>
      <c r="P399" s="42"/>
      <c r="Q399" s="52"/>
    </row>
    <row r="400" spans="1:17" x14ac:dyDescent="0.25">
      <c r="A400" s="7"/>
      <c r="B400" s="15"/>
      <c r="C400" s="15"/>
      <c r="D400" s="15"/>
      <c r="E400" s="11"/>
      <c r="F400" s="45"/>
      <c r="G400" s="45"/>
      <c r="H400" s="45"/>
      <c r="I400" s="45"/>
      <c r="J400" s="42"/>
      <c r="K400" s="42"/>
      <c r="L400" s="42"/>
      <c r="M400" s="42"/>
      <c r="N400" s="42"/>
      <c r="O400" s="42"/>
      <c r="P400" s="42"/>
      <c r="Q400" s="52"/>
    </row>
    <row r="401" spans="1:17" x14ac:dyDescent="0.25">
      <c r="A401" s="7"/>
      <c r="B401" s="15"/>
      <c r="C401" s="15"/>
      <c r="D401" s="15"/>
      <c r="E401" s="11"/>
      <c r="F401" s="45"/>
      <c r="G401" s="45"/>
      <c r="H401" s="45"/>
      <c r="I401" s="45"/>
      <c r="J401" s="42"/>
      <c r="K401" s="42"/>
      <c r="L401" s="42"/>
      <c r="M401" s="42"/>
      <c r="N401" s="42"/>
      <c r="O401" s="42"/>
      <c r="P401" s="42"/>
      <c r="Q401" s="52"/>
    </row>
    <row r="402" spans="1:17" x14ac:dyDescent="0.25">
      <c r="A402" s="7"/>
      <c r="B402" s="15"/>
      <c r="C402" s="15"/>
      <c r="D402" s="15"/>
      <c r="E402" s="11"/>
      <c r="F402" s="45"/>
      <c r="G402" s="45"/>
      <c r="H402" s="45"/>
      <c r="I402" s="45"/>
      <c r="J402" s="42"/>
      <c r="K402" s="42"/>
      <c r="L402" s="42"/>
      <c r="M402" s="42"/>
      <c r="N402" s="42"/>
      <c r="O402" s="42"/>
      <c r="P402" s="42"/>
      <c r="Q402" s="52"/>
    </row>
    <row r="403" spans="1:17" x14ac:dyDescent="0.25">
      <c r="A403" s="7"/>
      <c r="B403" s="15"/>
      <c r="C403" s="15"/>
      <c r="D403" s="15"/>
      <c r="E403" s="11"/>
      <c r="F403" s="45"/>
      <c r="G403" s="45"/>
      <c r="H403" s="45"/>
      <c r="I403" s="45"/>
      <c r="J403" s="42"/>
      <c r="K403" s="42"/>
      <c r="L403" s="42"/>
      <c r="M403" s="42"/>
      <c r="N403" s="42"/>
      <c r="O403" s="42"/>
      <c r="P403" s="42"/>
      <c r="Q403" s="52"/>
    </row>
    <row r="404" spans="1:17" x14ac:dyDescent="0.25">
      <c r="A404" s="7"/>
      <c r="B404" s="15"/>
      <c r="C404" s="15"/>
      <c r="D404" s="15"/>
      <c r="E404" s="11"/>
      <c r="F404" s="45"/>
      <c r="G404" s="45"/>
      <c r="H404" s="45"/>
      <c r="I404" s="45"/>
      <c r="J404" s="42"/>
      <c r="K404" s="42"/>
      <c r="L404" s="42"/>
      <c r="M404" s="42"/>
      <c r="N404" s="42"/>
      <c r="O404" s="42"/>
      <c r="P404" s="42"/>
      <c r="Q404" s="52"/>
    </row>
  </sheetData>
  <hyperlinks>
    <hyperlink ref="E68" r:id="rId1" xr:uid="{C9291FC9-5A5B-4392-96B1-B190D5000E26}"/>
    <hyperlink ref="E72" r:id="rId2" xr:uid="{6D40157B-63F5-4DFD-88B6-E555A70D560C}"/>
    <hyperlink ref="E52:E65" r:id="rId3" display="OECD long-term forecast" xr:uid="{088CBD93-1E9E-40E7-AB0C-00E927204B15}"/>
    <hyperlink ref="E19" r:id="rId4" xr:uid="{A1C0E196-FFDD-42CF-A42C-259D8E24DC22}"/>
    <hyperlink ref="E20:E32" r:id="rId5" display="StatCan, Scenario M1" xr:uid="{E26E6259-1D67-47B3-B12F-C834E1019D4B}"/>
    <hyperlink ref="E3" r:id="rId6" xr:uid="{2498A91B-831E-4C2D-A90B-AF4CC5343974}"/>
    <hyperlink ref="E4:E16" r:id="rId7" display="StatCan" xr:uid="{9729C96A-5176-4C3D-AC2A-DC3C52A948A1}"/>
  </hyperlinks>
  <pageMargins left="0.7" right="0.7" top="0.75" bottom="0.75" header="0.3" footer="0.3"/>
  <pageSetup orientation="portrait" horizontalDpi="4294967293" verticalDpi="0"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2EF04-A27D-4141-8132-0192A0DB5832}">
  <sheetPr codeName="Sheet2">
    <outlinePr summaryBelow="0" summaryRight="0"/>
  </sheetPr>
  <dimension ref="A1:BZ387"/>
  <sheetViews>
    <sheetView zoomScale="85" zoomScaleNormal="85" workbookViewId="0">
      <pane xSplit="5" ySplit="1" topLeftCell="F2" activePane="bottomRight" state="frozen"/>
      <selection pane="topRight" activeCell="E1" sqref="E1"/>
      <selection pane="bottomLeft" activeCell="A3" sqref="A3"/>
      <selection pane="bottomRight" activeCell="F19" sqref="F19"/>
    </sheetView>
  </sheetViews>
  <sheetFormatPr defaultRowHeight="15" outlineLevelRow="1" x14ac:dyDescent="0.25"/>
  <cols>
    <col min="1" max="1" width="2.7109375" style="3" customWidth="1"/>
    <col min="2" max="2" width="29.85546875" style="17" bestFit="1" customWidth="1"/>
    <col min="3" max="3" width="27.5703125" style="17" customWidth="1"/>
    <col min="4" max="4" width="43.140625" style="17" bestFit="1" customWidth="1"/>
    <col min="5" max="5" width="22.140625" style="39" customWidth="1"/>
    <col min="6" max="9" width="15.7109375" style="44" customWidth="1"/>
    <col min="10" max="16" width="15.7109375" style="43" customWidth="1"/>
    <col min="17" max="17" width="2.7109375" style="17" customWidth="1"/>
    <col min="18" max="68" width="10.28515625" style="53" bestFit="1" customWidth="1"/>
    <col min="69" max="78" width="10.28515625" bestFit="1" customWidth="1"/>
  </cols>
  <sheetData>
    <row r="1" spans="1:78" x14ac:dyDescent="0.25">
      <c r="A1" s="25"/>
      <c r="B1" s="37" t="s">
        <v>9</v>
      </c>
      <c r="C1" s="37" t="s">
        <v>9</v>
      </c>
      <c r="D1" s="37" t="s">
        <v>16</v>
      </c>
      <c r="E1" s="10" t="s">
        <v>118</v>
      </c>
      <c r="F1" s="46">
        <v>2000</v>
      </c>
      <c r="G1" s="46">
        <v>2005</v>
      </c>
      <c r="H1" s="46">
        <v>2010</v>
      </c>
      <c r="I1" s="46">
        <v>2015</v>
      </c>
      <c r="J1" s="46">
        <v>2020</v>
      </c>
      <c r="K1" s="46">
        <v>2025</v>
      </c>
      <c r="L1" s="46">
        <v>2030</v>
      </c>
      <c r="M1" s="46">
        <v>2035</v>
      </c>
      <c r="N1" s="46">
        <v>2040</v>
      </c>
      <c r="O1" s="46">
        <v>2045</v>
      </c>
      <c r="P1" s="46">
        <v>2050</v>
      </c>
      <c r="Q1" s="50"/>
      <c r="R1" s="46">
        <v>2000</v>
      </c>
      <c r="S1" s="46">
        <v>2001</v>
      </c>
      <c r="T1" s="46">
        <v>2002</v>
      </c>
      <c r="U1" s="46">
        <v>2003</v>
      </c>
      <c r="V1" s="46">
        <v>2004</v>
      </c>
      <c r="W1" s="46">
        <v>2005</v>
      </c>
      <c r="X1" s="46">
        <v>2006</v>
      </c>
      <c r="Y1" s="46">
        <v>2007</v>
      </c>
      <c r="Z1" s="46">
        <v>2008</v>
      </c>
      <c r="AA1" s="46">
        <v>2009</v>
      </c>
      <c r="AB1" s="46">
        <v>2010</v>
      </c>
      <c r="AC1" s="46">
        <v>2011</v>
      </c>
      <c r="AD1" s="46">
        <v>2012</v>
      </c>
      <c r="AE1" s="46">
        <v>2013</v>
      </c>
      <c r="AF1" s="46">
        <v>2014</v>
      </c>
      <c r="AG1" s="46">
        <v>2015</v>
      </c>
      <c r="AH1" s="46">
        <v>2016</v>
      </c>
      <c r="AI1" s="46">
        <v>2017</v>
      </c>
      <c r="AJ1" s="46">
        <v>2018</v>
      </c>
      <c r="AK1" s="46">
        <v>2019</v>
      </c>
      <c r="AL1" s="46">
        <v>2020</v>
      </c>
      <c r="AM1" s="46">
        <v>2021</v>
      </c>
      <c r="AN1" s="46">
        <v>2022</v>
      </c>
      <c r="AO1" s="46">
        <v>2023</v>
      </c>
      <c r="AP1" s="46">
        <v>2024</v>
      </c>
      <c r="AQ1" s="46">
        <v>2025</v>
      </c>
      <c r="AR1" s="46">
        <v>2026</v>
      </c>
      <c r="AS1" s="46">
        <v>2027</v>
      </c>
      <c r="AT1" s="46">
        <v>2028</v>
      </c>
      <c r="AU1" s="46">
        <v>2029</v>
      </c>
      <c r="AV1" s="46">
        <v>2030</v>
      </c>
      <c r="AW1" s="46">
        <v>2031</v>
      </c>
      <c r="AX1" s="46">
        <v>2032</v>
      </c>
      <c r="AY1" s="46">
        <v>2033</v>
      </c>
      <c r="AZ1" s="46">
        <v>2034</v>
      </c>
      <c r="BA1" s="46">
        <v>2035</v>
      </c>
      <c r="BB1" s="46">
        <v>2036</v>
      </c>
      <c r="BC1" s="46">
        <v>2037</v>
      </c>
      <c r="BD1" s="46">
        <v>2038</v>
      </c>
      <c r="BE1" s="46">
        <v>2039</v>
      </c>
      <c r="BF1" s="46">
        <v>2040</v>
      </c>
      <c r="BG1" s="46">
        <v>2041</v>
      </c>
      <c r="BH1" s="46">
        <v>2042</v>
      </c>
      <c r="BI1" s="46">
        <v>2043</v>
      </c>
      <c r="BJ1" s="46">
        <v>2044</v>
      </c>
      <c r="BK1" s="46">
        <v>2045</v>
      </c>
      <c r="BL1" s="46">
        <v>2046</v>
      </c>
      <c r="BM1" s="46">
        <v>2047</v>
      </c>
      <c r="BN1" s="46">
        <v>2048</v>
      </c>
      <c r="BO1" s="46">
        <v>2049</v>
      </c>
      <c r="BP1" s="46">
        <v>2050</v>
      </c>
      <c r="BQ1" s="46">
        <v>2051</v>
      </c>
      <c r="BR1" s="46">
        <v>2052</v>
      </c>
      <c r="BS1" s="46">
        <v>2053</v>
      </c>
      <c r="BT1" s="46">
        <v>2054</v>
      </c>
      <c r="BU1" s="46">
        <v>2055</v>
      </c>
      <c r="BV1" s="46">
        <v>2056</v>
      </c>
      <c r="BW1" s="46">
        <v>2057</v>
      </c>
      <c r="BX1" s="46">
        <v>2058</v>
      </c>
      <c r="BY1" s="46">
        <v>2059</v>
      </c>
      <c r="BZ1" s="46">
        <v>2060</v>
      </c>
    </row>
    <row r="2" spans="1:78" x14ac:dyDescent="0.25">
      <c r="A2" s="13"/>
      <c r="B2" s="15"/>
      <c r="C2" s="15"/>
      <c r="D2" s="15"/>
      <c r="E2" s="1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51"/>
    </row>
    <row r="3" spans="1:78" x14ac:dyDescent="0.25">
      <c r="A3" s="7"/>
      <c r="B3" s="72" t="s">
        <v>154</v>
      </c>
      <c r="C3" s="38" t="s">
        <v>64</v>
      </c>
      <c r="D3" s="38" t="s">
        <v>149</v>
      </c>
      <c r="E3" s="40" t="s">
        <v>150</v>
      </c>
      <c r="F3" s="58">
        <f>$S3</f>
        <v>2.6</v>
      </c>
      <c r="G3" s="43">
        <f>linterp($S3:$AH3,$S$1:$AH$1,G$1)</f>
        <v>2.52</v>
      </c>
      <c r="H3" s="43">
        <f t="shared" ref="H3:I16" si="0">linterp($S3:$AH3,$S$1:$AH$1,H$1)</f>
        <v>2.5</v>
      </c>
      <c r="I3" s="43">
        <f t="shared" si="0"/>
        <v>2.42</v>
      </c>
      <c r="J3" s="58">
        <f>$AH3</f>
        <v>2.4</v>
      </c>
      <c r="K3" s="58">
        <f t="shared" ref="K3:P16" si="1">$AH3</f>
        <v>2.4</v>
      </c>
      <c r="L3" s="58">
        <f t="shared" si="1"/>
        <v>2.4</v>
      </c>
      <c r="M3" s="58">
        <f t="shared" si="1"/>
        <v>2.4</v>
      </c>
      <c r="N3" s="58">
        <f t="shared" si="1"/>
        <v>2.4</v>
      </c>
      <c r="O3" s="58">
        <f t="shared" si="1"/>
        <v>2.4</v>
      </c>
      <c r="P3" s="58">
        <f t="shared" si="1"/>
        <v>2.4</v>
      </c>
      <c r="Q3" s="52"/>
      <c r="R3" s="54"/>
      <c r="S3" s="54">
        <v>2.6</v>
      </c>
      <c r="T3" s="54"/>
      <c r="U3" s="54"/>
      <c r="V3" s="54"/>
      <c r="W3" s="54"/>
      <c r="X3" s="54">
        <v>2.5</v>
      </c>
      <c r="Y3" s="54"/>
      <c r="Z3" s="54"/>
      <c r="AA3" s="54"/>
      <c r="AB3" s="54"/>
      <c r="AC3" s="54">
        <v>2.5</v>
      </c>
      <c r="AD3" s="54"/>
      <c r="AE3" s="54"/>
      <c r="AF3" s="54"/>
      <c r="AG3" s="54"/>
      <c r="AH3" s="54">
        <v>2.4</v>
      </c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</row>
    <row r="4" spans="1:78" x14ac:dyDescent="0.25">
      <c r="A4" s="7"/>
      <c r="B4" s="15"/>
      <c r="C4" s="15" t="s">
        <v>127</v>
      </c>
      <c r="D4" s="38" t="s">
        <v>149</v>
      </c>
      <c r="E4" s="40" t="s">
        <v>150</v>
      </c>
      <c r="F4" s="58">
        <f t="shared" ref="F4:F16" si="2">$S4</f>
        <v>2.7</v>
      </c>
      <c r="G4" s="43">
        <f t="shared" ref="G4:I16" si="3">linterp($S4:$AH4,$S$1:$AH$1,G$1)</f>
        <v>2.54</v>
      </c>
      <c r="H4" s="43">
        <f t="shared" si="0"/>
        <v>2.42</v>
      </c>
      <c r="I4" s="43">
        <f t="shared" si="0"/>
        <v>2.3199999999999998</v>
      </c>
      <c r="J4" s="58">
        <f t="shared" ref="J4:P16" si="4">$AH4</f>
        <v>2.2999999999999998</v>
      </c>
      <c r="K4" s="58">
        <f t="shared" si="1"/>
        <v>2.2999999999999998</v>
      </c>
      <c r="L4" s="58">
        <f t="shared" si="1"/>
        <v>2.2999999999999998</v>
      </c>
      <c r="M4" s="58">
        <f t="shared" si="1"/>
        <v>2.2999999999999998</v>
      </c>
      <c r="N4" s="58">
        <f t="shared" si="1"/>
        <v>2.2999999999999998</v>
      </c>
      <c r="O4" s="58">
        <f t="shared" si="1"/>
        <v>2.2999999999999998</v>
      </c>
      <c r="P4" s="58">
        <f t="shared" si="1"/>
        <v>2.2999999999999998</v>
      </c>
      <c r="Q4" s="52"/>
      <c r="R4" s="54"/>
      <c r="S4" s="54">
        <v>2.7</v>
      </c>
      <c r="T4" s="54"/>
      <c r="U4" s="54"/>
      <c r="V4" s="54"/>
      <c r="W4" s="54"/>
      <c r="X4" s="54">
        <v>2.5</v>
      </c>
      <c r="Y4" s="54"/>
      <c r="Z4" s="54"/>
      <c r="AA4" s="54"/>
      <c r="AB4" s="54"/>
      <c r="AC4" s="54">
        <v>2.4</v>
      </c>
      <c r="AD4" s="54"/>
      <c r="AE4" s="54"/>
      <c r="AF4" s="54"/>
      <c r="AG4" s="54"/>
      <c r="AH4" s="54">
        <v>2.2999999999999998</v>
      </c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</row>
    <row r="5" spans="1:78" x14ac:dyDescent="0.25">
      <c r="A5" s="7"/>
      <c r="B5" s="38"/>
      <c r="C5" s="38" t="s">
        <v>128</v>
      </c>
      <c r="D5" s="38" t="s">
        <v>149</v>
      </c>
      <c r="E5" s="40" t="s">
        <v>150</v>
      </c>
      <c r="F5" s="58">
        <f t="shared" si="2"/>
        <v>2.6</v>
      </c>
      <c r="G5" s="43">
        <f t="shared" si="3"/>
        <v>2.52</v>
      </c>
      <c r="H5" s="43">
        <f t="shared" si="0"/>
        <v>2.42</v>
      </c>
      <c r="I5" s="43">
        <f t="shared" si="0"/>
        <v>2.3199999999999998</v>
      </c>
      <c r="J5" s="58">
        <f t="shared" si="4"/>
        <v>2.2999999999999998</v>
      </c>
      <c r="K5" s="58">
        <f t="shared" si="1"/>
        <v>2.2999999999999998</v>
      </c>
      <c r="L5" s="58">
        <f t="shared" si="1"/>
        <v>2.2999999999999998</v>
      </c>
      <c r="M5" s="58">
        <f t="shared" si="1"/>
        <v>2.2999999999999998</v>
      </c>
      <c r="N5" s="58">
        <f t="shared" si="1"/>
        <v>2.2999999999999998</v>
      </c>
      <c r="O5" s="58">
        <f t="shared" si="1"/>
        <v>2.2999999999999998</v>
      </c>
      <c r="P5" s="58">
        <f t="shared" si="1"/>
        <v>2.2999999999999998</v>
      </c>
      <c r="Q5" s="52"/>
      <c r="R5" s="54"/>
      <c r="S5" s="54">
        <v>2.6</v>
      </c>
      <c r="T5" s="54"/>
      <c r="U5" s="54"/>
      <c r="V5" s="54"/>
      <c r="W5" s="54"/>
      <c r="X5" s="54">
        <v>2.5</v>
      </c>
      <c r="Y5" s="54"/>
      <c r="Z5" s="54"/>
      <c r="AA5" s="54"/>
      <c r="AB5" s="54"/>
      <c r="AC5" s="54">
        <v>2.4</v>
      </c>
      <c r="AD5" s="54"/>
      <c r="AE5" s="54"/>
      <c r="AF5" s="54"/>
      <c r="AG5" s="54"/>
      <c r="AH5" s="54">
        <v>2.2999999999999998</v>
      </c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/>
      <c r="BB5" s="54"/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</row>
    <row r="6" spans="1:78" x14ac:dyDescent="0.25">
      <c r="A6" s="7"/>
      <c r="B6" s="38"/>
      <c r="C6" s="38" t="s">
        <v>129</v>
      </c>
      <c r="D6" s="38" t="s">
        <v>149</v>
      </c>
      <c r="E6" s="40" t="s">
        <v>150</v>
      </c>
      <c r="F6" s="58">
        <f t="shared" si="2"/>
        <v>2.5</v>
      </c>
      <c r="G6" s="43">
        <f t="shared" si="3"/>
        <v>2.42</v>
      </c>
      <c r="H6" s="43">
        <f t="shared" si="0"/>
        <v>2.3199999999999998</v>
      </c>
      <c r="I6" s="43">
        <f t="shared" si="0"/>
        <v>2.2999999999999998</v>
      </c>
      <c r="J6" s="58">
        <f t="shared" si="4"/>
        <v>2.2999999999999998</v>
      </c>
      <c r="K6" s="58">
        <f t="shared" si="1"/>
        <v>2.2999999999999998</v>
      </c>
      <c r="L6" s="58">
        <f t="shared" si="1"/>
        <v>2.2999999999999998</v>
      </c>
      <c r="M6" s="58">
        <f t="shared" si="1"/>
        <v>2.2999999999999998</v>
      </c>
      <c r="N6" s="58">
        <f t="shared" si="1"/>
        <v>2.2999999999999998</v>
      </c>
      <c r="O6" s="58">
        <f t="shared" si="1"/>
        <v>2.2999999999999998</v>
      </c>
      <c r="P6" s="58">
        <f t="shared" si="1"/>
        <v>2.2999999999999998</v>
      </c>
      <c r="Q6" s="52"/>
      <c r="R6" s="54"/>
      <c r="S6" s="54">
        <v>2.5</v>
      </c>
      <c r="T6" s="54"/>
      <c r="U6" s="54"/>
      <c r="V6" s="54"/>
      <c r="W6" s="54"/>
      <c r="X6" s="54">
        <v>2.4</v>
      </c>
      <c r="Y6" s="54"/>
      <c r="Z6" s="54"/>
      <c r="AA6" s="54"/>
      <c r="AB6" s="54"/>
      <c r="AC6" s="54">
        <v>2.2999999999999998</v>
      </c>
      <c r="AD6" s="54"/>
      <c r="AE6" s="54"/>
      <c r="AF6" s="54"/>
      <c r="AG6" s="54"/>
      <c r="AH6" s="54">
        <v>2.2999999999999998</v>
      </c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</row>
    <row r="7" spans="1:78" x14ac:dyDescent="0.25">
      <c r="A7" s="7"/>
      <c r="B7" s="38"/>
      <c r="C7" s="38" t="s">
        <v>130</v>
      </c>
      <c r="D7" s="38" t="s">
        <v>149</v>
      </c>
      <c r="E7" s="40" t="s">
        <v>150</v>
      </c>
      <c r="F7" s="58">
        <f t="shared" si="2"/>
        <v>2.5</v>
      </c>
      <c r="G7" s="43">
        <f t="shared" si="3"/>
        <v>2.42</v>
      </c>
      <c r="H7" s="43">
        <f t="shared" si="0"/>
        <v>2.3199999999999998</v>
      </c>
      <c r="I7" s="43">
        <f t="shared" si="0"/>
        <v>2.2999999999999998</v>
      </c>
      <c r="J7" s="58">
        <f t="shared" si="4"/>
        <v>2.2999999999999998</v>
      </c>
      <c r="K7" s="58">
        <f t="shared" si="1"/>
        <v>2.2999999999999998</v>
      </c>
      <c r="L7" s="58">
        <f t="shared" si="1"/>
        <v>2.2999999999999998</v>
      </c>
      <c r="M7" s="58">
        <f t="shared" si="1"/>
        <v>2.2999999999999998</v>
      </c>
      <c r="N7" s="58">
        <f t="shared" si="1"/>
        <v>2.2999999999999998</v>
      </c>
      <c r="O7" s="58">
        <f t="shared" si="1"/>
        <v>2.2999999999999998</v>
      </c>
      <c r="P7" s="58">
        <f t="shared" si="1"/>
        <v>2.2999999999999998</v>
      </c>
      <c r="Q7" s="52"/>
      <c r="R7" s="54"/>
      <c r="S7" s="54">
        <v>2.5</v>
      </c>
      <c r="T7" s="54"/>
      <c r="U7" s="54"/>
      <c r="V7" s="54"/>
      <c r="W7" s="54"/>
      <c r="X7" s="54">
        <v>2.4</v>
      </c>
      <c r="Y7" s="54"/>
      <c r="Z7" s="54"/>
      <c r="AA7" s="54"/>
      <c r="AB7" s="54"/>
      <c r="AC7" s="54">
        <v>2.2999999999999998</v>
      </c>
      <c r="AD7" s="54"/>
      <c r="AE7" s="54"/>
      <c r="AF7" s="54"/>
      <c r="AG7" s="54"/>
      <c r="AH7" s="54">
        <v>2.2999999999999998</v>
      </c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</row>
    <row r="8" spans="1:78" x14ac:dyDescent="0.25">
      <c r="A8" s="7"/>
      <c r="B8" s="38"/>
      <c r="C8" s="38" t="s">
        <v>131</v>
      </c>
      <c r="D8" s="38" t="s">
        <v>149</v>
      </c>
      <c r="E8" s="40" t="s">
        <v>150</v>
      </c>
      <c r="F8" s="58">
        <f t="shared" si="2"/>
        <v>2.4</v>
      </c>
      <c r="G8" s="43">
        <f t="shared" si="3"/>
        <v>2.3199999999999998</v>
      </c>
      <c r="H8" s="43">
        <f t="shared" si="0"/>
        <v>2.2999999999999998</v>
      </c>
      <c r="I8" s="43">
        <f t="shared" si="0"/>
        <v>2.2999999999999998</v>
      </c>
      <c r="J8" s="58">
        <f t="shared" si="4"/>
        <v>2.2999999999999998</v>
      </c>
      <c r="K8" s="58">
        <f t="shared" si="1"/>
        <v>2.2999999999999998</v>
      </c>
      <c r="L8" s="58">
        <f t="shared" si="1"/>
        <v>2.2999999999999998</v>
      </c>
      <c r="M8" s="58">
        <f t="shared" si="1"/>
        <v>2.2999999999999998</v>
      </c>
      <c r="N8" s="58">
        <f t="shared" si="1"/>
        <v>2.2999999999999998</v>
      </c>
      <c r="O8" s="58">
        <f t="shared" si="1"/>
        <v>2.2999999999999998</v>
      </c>
      <c r="P8" s="58">
        <f t="shared" si="1"/>
        <v>2.2999999999999998</v>
      </c>
      <c r="Q8" s="52"/>
      <c r="R8" s="54"/>
      <c r="S8" s="54">
        <v>2.4</v>
      </c>
      <c r="T8" s="54"/>
      <c r="U8" s="54"/>
      <c r="V8" s="54"/>
      <c r="W8" s="54"/>
      <c r="X8" s="54">
        <v>2.2999999999999998</v>
      </c>
      <c r="Y8" s="54"/>
      <c r="Z8" s="54"/>
      <c r="AA8" s="54"/>
      <c r="AB8" s="54"/>
      <c r="AC8" s="54">
        <v>2.2999999999999998</v>
      </c>
      <c r="AD8" s="54"/>
      <c r="AE8" s="54"/>
      <c r="AF8" s="54"/>
      <c r="AG8" s="54"/>
      <c r="AH8" s="54">
        <v>2.2999999999999998</v>
      </c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</row>
    <row r="9" spans="1:78" x14ac:dyDescent="0.25">
      <c r="A9" s="7"/>
      <c r="B9" s="38"/>
      <c r="C9" s="38" t="s">
        <v>132</v>
      </c>
      <c r="D9" s="38" t="s">
        <v>149</v>
      </c>
      <c r="E9" s="40" t="s">
        <v>150</v>
      </c>
      <c r="F9" s="58">
        <f t="shared" si="2"/>
        <v>2.7</v>
      </c>
      <c r="G9" s="43">
        <f t="shared" si="3"/>
        <v>2.62</v>
      </c>
      <c r="H9" s="43">
        <f t="shared" si="0"/>
        <v>2.6</v>
      </c>
      <c r="I9" s="43">
        <f t="shared" si="0"/>
        <v>2.6</v>
      </c>
      <c r="J9" s="58">
        <f t="shared" si="4"/>
        <v>2.6</v>
      </c>
      <c r="K9" s="58">
        <f t="shared" si="1"/>
        <v>2.6</v>
      </c>
      <c r="L9" s="58">
        <f t="shared" si="1"/>
        <v>2.6</v>
      </c>
      <c r="M9" s="58">
        <f t="shared" si="1"/>
        <v>2.6</v>
      </c>
      <c r="N9" s="58">
        <f t="shared" si="1"/>
        <v>2.6</v>
      </c>
      <c r="O9" s="58">
        <f t="shared" si="1"/>
        <v>2.6</v>
      </c>
      <c r="P9" s="58">
        <f t="shared" si="1"/>
        <v>2.6</v>
      </c>
      <c r="Q9" s="52"/>
      <c r="R9" s="54"/>
      <c r="S9" s="54">
        <v>2.7</v>
      </c>
      <c r="T9" s="54"/>
      <c r="U9" s="54"/>
      <c r="V9" s="54"/>
      <c r="W9" s="54"/>
      <c r="X9" s="54">
        <v>2.6</v>
      </c>
      <c r="Y9" s="54"/>
      <c r="Z9" s="54"/>
      <c r="AA9" s="54"/>
      <c r="AB9" s="54"/>
      <c r="AC9" s="54">
        <v>2.6</v>
      </c>
      <c r="AD9" s="54"/>
      <c r="AE9" s="54"/>
      <c r="AF9" s="54"/>
      <c r="AG9" s="54"/>
      <c r="AH9" s="54">
        <v>2.6</v>
      </c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</row>
    <row r="10" spans="1:78" x14ac:dyDescent="0.25">
      <c r="A10" s="7"/>
      <c r="B10" s="38"/>
      <c r="C10" s="38" t="s">
        <v>133</v>
      </c>
      <c r="D10" s="38" t="s">
        <v>149</v>
      </c>
      <c r="E10" s="40" t="s">
        <v>150</v>
      </c>
      <c r="F10" s="58">
        <f t="shared" si="2"/>
        <v>2.5</v>
      </c>
      <c r="G10" s="43">
        <f t="shared" si="3"/>
        <v>2.5</v>
      </c>
      <c r="H10" s="43">
        <f t="shared" si="0"/>
        <v>2.5</v>
      </c>
      <c r="I10" s="43">
        <f t="shared" si="0"/>
        <v>2.5</v>
      </c>
      <c r="J10" s="58">
        <f t="shared" si="4"/>
        <v>2.5</v>
      </c>
      <c r="K10" s="58">
        <f t="shared" si="1"/>
        <v>2.5</v>
      </c>
      <c r="L10" s="58">
        <f t="shared" si="1"/>
        <v>2.5</v>
      </c>
      <c r="M10" s="58">
        <f t="shared" si="1"/>
        <v>2.5</v>
      </c>
      <c r="N10" s="58">
        <f t="shared" si="1"/>
        <v>2.5</v>
      </c>
      <c r="O10" s="58">
        <f t="shared" si="1"/>
        <v>2.5</v>
      </c>
      <c r="P10" s="58">
        <f t="shared" si="1"/>
        <v>2.5</v>
      </c>
      <c r="Q10" s="52"/>
      <c r="R10" s="54"/>
      <c r="S10" s="54">
        <v>2.5</v>
      </c>
      <c r="T10" s="54"/>
      <c r="U10" s="54"/>
      <c r="V10" s="54"/>
      <c r="W10" s="54"/>
      <c r="X10" s="54">
        <v>2.5</v>
      </c>
      <c r="Y10" s="54"/>
      <c r="Z10" s="54"/>
      <c r="AA10" s="54"/>
      <c r="AB10" s="54"/>
      <c r="AC10" s="54">
        <v>2.5</v>
      </c>
      <c r="AD10" s="54"/>
      <c r="AE10" s="54"/>
      <c r="AF10" s="54"/>
      <c r="AG10" s="54"/>
      <c r="AH10" s="54">
        <v>2.5</v>
      </c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</row>
    <row r="11" spans="1:78" x14ac:dyDescent="0.25">
      <c r="A11" s="7"/>
      <c r="B11" s="38"/>
      <c r="C11" s="38" t="s">
        <v>134</v>
      </c>
      <c r="D11" s="38" t="s">
        <v>149</v>
      </c>
      <c r="E11" s="40" t="s">
        <v>150</v>
      </c>
      <c r="F11" s="58">
        <f t="shared" si="2"/>
        <v>2.5</v>
      </c>
      <c r="G11" s="43">
        <f t="shared" si="3"/>
        <v>2.42</v>
      </c>
      <c r="H11" s="43">
        <f t="shared" si="0"/>
        <v>2.48</v>
      </c>
      <c r="I11" s="43">
        <f t="shared" si="0"/>
        <v>2.5</v>
      </c>
      <c r="J11" s="58">
        <f t="shared" si="4"/>
        <v>2.5</v>
      </c>
      <c r="K11" s="58">
        <f t="shared" si="1"/>
        <v>2.5</v>
      </c>
      <c r="L11" s="58">
        <f t="shared" si="1"/>
        <v>2.5</v>
      </c>
      <c r="M11" s="58">
        <f t="shared" si="1"/>
        <v>2.5</v>
      </c>
      <c r="N11" s="58">
        <f t="shared" si="1"/>
        <v>2.5</v>
      </c>
      <c r="O11" s="58">
        <f t="shared" si="1"/>
        <v>2.5</v>
      </c>
      <c r="P11" s="58">
        <f t="shared" si="1"/>
        <v>2.5</v>
      </c>
      <c r="Q11" s="52"/>
      <c r="R11" s="54"/>
      <c r="S11" s="54">
        <v>2.5</v>
      </c>
      <c r="T11" s="54"/>
      <c r="U11" s="54"/>
      <c r="V11" s="54"/>
      <c r="W11" s="54"/>
      <c r="X11" s="54">
        <v>2.4</v>
      </c>
      <c r="Y11" s="54"/>
      <c r="Z11" s="54"/>
      <c r="AA11" s="54"/>
      <c r="AB11" s="54"/>
      <c r="AC11" s="54">
        <v>2.5</v>
      </c>
      <c r="AD11" s="54"/>
      <c r="AE11" s="54"/>
      <c r="AF11" s="54"/>
      <c r="AG11" s="54"/>
      <c r="AH11" s="54">
        <v>2.5</v>
      </c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</row>
    <row r="12" spans="1:78" x14ac:dyDescent="0.25">
      <c r="A12" s="7"/>
      <c r="B12" s="38"/>
      <c r="C12" s="38" t="s">
        <v>5</v>
      </c>
      <c r="D12" s="38" t="s">
        <v>149</v>
      </c>
      <c r="E12" s="40" t="s">
        <v>150</v>
      </c>
      <c r="F12" s="58">
        <f t="shared" si="2"/>
        <v>2.6</v>
      </c>
      <c r="G12" s="43">
        <f t="shared" si="3"/>
        <v>2.6</v>
      </c>
      <c r="H12" s="43">
        <f t="shared" si="0"/>
        <v>2.6</v>
      </c>
      <c r="I12" s="43">
        <f t="shared" si="0"/>
        <v>2.6</v>
      </c>
      <c r="J12" s="58">
        <f t="shared" si="4"/>
        <v>2.6</v>
      </c>
      <c r="K12" s="58">
        <f t="shared" si="1"/>
        <v>2.6</v>
      </c>
      <c r="L12" s="58">
        <f t="shared" si="1"/>
        <v>2.6</v>
      </c>
      <c r="M12" s="58">
        <f t="shared" si="1"/>
        <v>2.6</v>
      </c>
      <c r="N12" s="58">
        <f t="shared" si="1"/>
        <v>2.6</v>
      </c>
      <c r="O12" s="58">
        <f t="shared" si="1"/>
        <v>2.6</v>
      </c>
      <c r="P12" s="58">
        <f t="shared" si="1"/>
        <v>2.6</v>
      </c>
      <c r="Q12" s="52"/>
      <c r="R12" s="54"/>
      <c r="S12" s="54">
        <v>2.6</v>
      </c>
      <c r="T12" s="54"/>
      <c r="U12" s="54"/>
      <c r="V12" s="54"/>
      <c r="W12" s="54"/>
      <c r="X12" s="54">
        <v>2.6</v>
      </c>
      <c r="Y12" s="54"/>
      <c r="Z12" s="54"/>
      <c r="AA12" s="54"/>
      <c r="AB12" s="54"/>
      <c r="AC12" s="54">
        <v>2.6</v>
      </c>
      <c r="AD12" s="54"/>
      <c r="AE12" s="54"/>
      <c r="AF12" s="54"/>
      <c r="AG12" s="54"/>
      <c r="AH12" s="54">
        <v>2.6</v>
      </c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</row>
    <row r="13" spans="1:78" x14ac:dyDescent="0.25">
      <c r="A13" s="7"/>
      <c r="B13" s="38"/>
      <c r="C13" s="38" t="s">
        <v>81</v>
      </c>
      <c r="D13" s="38" t="s">
        <v>149</v>
      </c>
      <c r="E13" s="40" t="s">
        <v>150</v>
      </c>
      <c r="F13" s="58">
        <f t="shared" si="2"/>
        <v>2.5</v>
      </c>
      <c r="G13" s="43">
        <f t="shared" si="3"/>
        <v>2.5</v>
      </c>
      <c r="H13" s="43">
        <f t="shared" si="0"/>
        <v>2.5</v>
      </c>
      <c r="I13" s="43">
        <f t="shared" si="0"/>
        <v>2.42</v>
      </c>
      <c r="J13" s="58">
        <f t="shared" si="4"/>
        <v>2.4</v>
      </c>
      <c r="K13" s="58">
        <f t="shared" si="1"/>
        <v>2.4</v>
      </c>
      <c r="L13" s="58">
        <f t="shared" si="1"/>
        <v>2.4</v>
      </c>
      <c r="M13" s="58">
        <f t="shared" si="1"/>
        <v>2.4</v>
      </c>
      <c r="N13" s="58">
        <f t="shared" si="1"/>
        <v>2.4</v>
      </c>
      <c r="O13" s="58">
        <f t="shared" si="1"/>
        <v>2.4</v>
      </c>
      <c r="P13" s="58">
        <f t="shared" si="1"/>
        <v>2.4</v>
      </c>
      <c r="Q13" s="52"/>
      <c r="R13" s="54"/>
      <c r="S13" s="54">
        <v>2.5</v>
      </c>
      <c r="T13" s="54"/>
      <c r="U13" s="54"/>
      <c r="V13" s="54"/>
      <c r="W13" s="54"/>
      <c r="X13" s="54">
        <v>2.5</v>
      </c>
      <c r="Y13" s="54"/>
      <c r="Z13" s="54"/>
      <c r="AA13" s="54"/>
      <c r="AB13" s="54"/>
      <c r="AC13" s="54">
        <v>2.5</v>
      </c>
      <c r="AD13" s="54"/>
      <c r="AE13" s="54"/>
      <c r="AF13" s="54"/>
      <c r="AG13" s="54"/>
      <c r="AH13" s="54">
        <v>2.4</v>
      </c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</row>
    <row r="14" spans="1:78" x14ac:dyDescent="0.25">
      <c r="A14" s="7"/>
      <c r="B14" s="38"/>
      <c r="C14" s="38" t="s">
        <v>135</v>
      </c>
      <c r="D14" s="38" t="s">
        <v>149</v>
      </c>
      <c r="E14" s="40" t="s">
        <v>150</v>
      </c>
      <c r="F14" s="58">
        <f t="shared" si="2"/>
        <v>2.5</v>
      </c>
      <c r="G14" s="43">
        <f t="shared" si="3"/>
        <v>2.42</v>
      </c>
      <c r="H14" s="43">
        <f t="shared" si="0"/>
        <v>2.4</v>
      </c>
      <c r="I14" s="43">
        <f t="shared" si="0"/>
        <v>2.3199999999999998</v>
      </c>
      <c r="J14" s="58">
        <f t="shared" si="4"/>
        <v>2.2999999999999998</v>
      </c>
      <c r="K14" s="58">
        <f t="shared" si="1"/>
        <v>2.2999999999999998</v>
      </c>
      <c r="L14" s="58">
        <f t="shared" si="1"/>
        <v>2.2999999999999998</v>
      </c>
      <c r="M14" s="58">
        <f t="shared" si="1"/>
        <v>2.2999999999999998</v>
      </c>
      <c r="N14" s="58">
        <f t="shared" si="1"/>
        <v>2.2999999999999998</v>
      </c>
      <c r="O14" s="58">
        <f t="shared" si="1"/>
        <v>2.2999999999999998</v>
      </c>
      <c r="P14" s="58">
        <f t="shared" si="1"/>
        <v>2.2999999999999998</v>
      </c>
      <c r="Q14" s="52"/>
      <c r="R14" s="54"/>
      <c r="S14" s="54">
        <v>2.5</v>
      </c>
      <c r="T14" s="54"/>
      <c r="U14" s="54"/>
      <c r="V14" s="54"/>
      <c r="W14" s="54"/>
      <c r="X14" s="54">
        <v>2.4</v>
      </c>
      <c r="Y14" s="54"/>
      <c r="Z14" s="54"/>
      <c r="AA14" s="54"/>
      <c r="AB14" s="54"/>
      <c r="AC14" s="54">
        <v>2.4</v>
      </c>
      <c r="AD14" s="54"/>
      <c r="AE14" s="54"/>
      <c r="AF14" s="54"/>
      <c r="AG14" s="54"/>
      <c r="AH14" s="54">
        <v>2.2999999999999998</v>
      </c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</row>
    <row r="15" spans="1:78" x14ac:dyDescent="0.25">
      <c r="A15" s="7"/>
      <c r="B15" s="38"/>
      <c r="C15" s="38" t="s">
        <v>137</v>
      </c>
      <c r="D15" s="38" t="s">
        <v>149</v>
      </c>
      <c r="E15" s="40" t="s">
        <v>150</v>
      </c>
      <c r="F15" s="58">
        <f t="shared" si="2"/>
        <v>2.9</v>
      </c>
      <c r="G15" s="43">
        <f t="shared" si="3"/>
        <v>2.9</v>
      </c>
      <c r="H15" s="43">
        <f t="shared" si="0"/>
        <v>2.82</v>
      </c>
      <c r="I15" s="43">
        <f t="shared" si="0"/>
        <v>2.72</v>
      </c>
      <c r="J15" s="58">
        <f t="shared" si="4"/>
        <v>2.7</v>
      </c>
      <c r="K15" s="58">
        <f t="shared" si="1"/>
        <v>2.7</v>
      </c>
      <c r="L15" s="58">
        <f t="shared" si="1"/>
        <v>2.7</v>
      </c>
      <c r="M15" s="58">
        <f t="shared" si="1"/>
        <v>2.7</v>
      </c>
      <c r="N15" s="58">
        <f t="shared" si="1"/>
        <v>2.7</v>
      </c>
      <c r="O15" s="58">
        <f t="shared" si="1"/>
        <v>2.7</v>
      </c>
      <c r="P15" s="58">
        <f t="shared" si="1"/>
        <v>2.7</v>
      </c>
      <c r="Q15" s="52"/>
      <c r="R15" s="54"/>
      <c r="S15" s="54">
        <v>2.9</v>
      </c>
      <c r="T15" s="54"/>
      <c r="U15" s="54"/>
      <c r="V15" s="54"/>
      <c r="W15" s="54"/>
      <c r="X15" s="54">
        <v>2.9</v>
      </c>
      <c r="Y15" s="54"/>
      <c r="Z15" s="54"/>
      <c r="AA15" s="54"/>
      <c r="AB15" s="54"/>
      <c r="AC15" s="54">
        <v>2.8</v>
      </c>
      <c r="AD15" s="54"/>
      <c r="AE15" s="54"/>
      <c r="AF15" s="54"/>
      <c r="AG15" s="54"/>
      <c r="AH15" s="54">
        <v>2.7</v>
      </c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</row>
    <row r="16" spans="1:78" x14ac:dyDescent="0.25">
      <c r="A16" s="7"/>
      <c r="B16" s="38"/>
      <c r="C16" s="38" t="s">
        <v>136</v>
      </c>
      <c r="D16" s="38" t="s">
        <v>149</v>
      </c>
      <c r="E16" s="40" t="s">
        <v>150</v>
      </c>
      <c r="F16" s="58">
        <f t="shared" si="2"/>
        <v>3.7</v>
      </c>
      <c r="G16" s="43">
        <f t="shared" si="3"/>
        <v>3.7</v>
      </c>
      <c r="H16" s="43">
        <f t="shared" si="0"/>
        <v>3.7</v>
      </c>
      <c r="I16" s="43">
        <f t="shared" si="0"/>
        <v>3.62</v>
      </c>
      <c r="J16" s="58">
        <f t="shared" si="4"/>
        <v>3.6</v>
      </c>
      <c r="K16" s="58">
        <f t="shared" si="1"/>
        <v>3.6</v>
      </c>
      <c r="L16" s="58">
        <f t="shared" si="1"/>
        <v>3.6</v>
      </c>
      <c r="M16" s="58">
        <f t="shared" si="1"/>
        <v>3.6</v>
      </c>
      <c r="N16" s="58">
        <f t="shared" si="1"/>
        <v>3.6</v>
      </c>
      <c r="O16" s="58">
        <f t="shared" si="1"/>
        <v>3.6</v>
      </c>
      <c r="P16" s="58">
        <f t="shared" si="1"/>
        <v>3.6</v>
      </c>
      <c r="Q16" s="52"/>
      <c r="R16" s="54"/>
      <c r="S16" s="54">
        <v>3.7</v>
      </c>
      <c r="T16" s="54"/>
      <c r="U16" s="54"/>
      <c r="V16" s="54"/>
      <c r="W16" s="54"/>
      <c r="X16" s="54">
        <v>3.7</v>
      </c>
      <c r="Y16" s="54"/>
      <c r="Z16" s="54"/>
      <c r="AA16" s="54"/>
      <c r="AB16" s="54"/>
      <c r="AC16" s="54">
        <v>3.7</v>
      </c>
      <c r="AD16" s="54"/>
      <c r="AE16" s="54"/>
      <c r="AF16" s="54"/>
      <c r="AG16" s="54"/>
      <c r="AH16" s="54">
        <v>3.6</v>
      </c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</row>
    <row r="17" spans="1:78" x14ac:dyDescent="0.25">
      <c r="A17" s="7"/>
      <c r="B17" s="38"/>
      <c r="C17" s="38"/>
      <c r="D17" s="38"/>
      <c r="E17" s="18"/>
      <c r="F17" s="43"/>
      <c r="G17" s="43"/>
      <c r="H17" s="43"/>
      <c r="I17" s="43"/>
      <c r="Q17" s="52"/>
    </row>
    <row r="18" spans="1:78" x14ac:dyDescent="0.25">
      <c r="A18" s="7"/>
      <c r="B18" s="38"/>
      <c r="C18" s="38"/>
      <c r="D18" s="38"/>
      <c r="E18" s="18"/>
      <c r="F18" s="43"/>
      <c r="G18" s="43"/>
      <c r="H18" s="43"/>
      <c r="I18" s="43"/>
      <c r="Q18" s="52"/>
    </row>
    <row r="19" spans="1:78" x14ac:dyDescent="0.25">
      <c r="A19" s="7"/>
      <c r="B19" s="72" t="s">
        <v>122</v>
      </c>
      <c r="C19" s="38" t="s">
        <v>64</v>
      </c>
      <c r="D19" s="38" t="s">
        <v>122</v>
      </c>
      <c r="E19" s="18" t="s">
        <v>125</v>
      </c>
      <c r="F19" s="19">
        <f>Macro!F3/F3</f>
        <v>11802203.846153846</v>
      </c>
      <c r="G19" s="19">
        <f>Macro!G3/G3</f>
        <v>12795140.079365078</v>
      </c>
      <c r="H19" s="19">
        <f>Macro!H3/H3</f>
        <v>13601955.6</v>
      </c>
      <c r="I19" s="19">
        <f>Macro!I3/I3</f>
        <v>14753267.768595042</v>
      </c>
      <c r="J19" s="19">
        <f>Macro!J3/J3</f>
        <v>15780708.333333334</v>
      </c>
      <c r="K19" s="19">
        <f>Macro!K3/K3</f>
        <v>16630625</v>
      </c>
      <c r="L19" s="19">
        <f>Macro!L3/L3</f>
        <v>17453375</v>
      </c>
      <c r="M19" s="19">
        <f>Macro!M3/M3</f>
        <v>18231458.333333336</v>
      </c>
      <c r="N19" s="19">
        <f>Macro!N3/N3</f>
        <v>18961166.666666668</v>
      </c>
      <c r="O19" s="19">
        <f>Macro!O3/O3</f>
        <v>19648416.666666668</v>
      </c>
      <c r="P19" s="19">
        <f>Macro!P3/P3</f>
        <v>20317958.333333336</v>
      </c>
      <c r="Q19" s="52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</row>
    <row r="20" spans="1:78" x14ac:dyDescent="0.25">
      <c r="A20" s="7"/>
      <c r="B20" s="15"/>
      <c r="C20" s="15" t="s">
        <v>127</v>
      </c>
      <c r="D20" s="38" t="s">
        <v>122</v>
      </c>
      <c r="E20" s="18" t="s">
        <v>125</v>
      </c>
      <c r="F20" s="19">
        <f>Macro!F4/F4</f>
        <v>195542.96296296295</v>
      </c>
      <c r="G20" s="19">
        <f>Macro!G4/G4</f>
        <v>202492.91338582677</v>
      </c>
      <c r="H20" s="19">
        <f>Macro!H4/H4</f>
        <v>215706.19834710745</v>
      </c>
      <c r="I20" s="19">
        <f>Macro!I4/I4</f>
        <v>227636.63793103449</v>
      </c>
      <c r="J20" s="19">
        <f>Macro!J4/J4</f>
        <v>227086.95652173914</v>
      </c>
      <c r="K20" s="19">
        <f>Macro!K4/K4</f>
        <v>223217.39130434784</v>
      </c>
      <c r="L20" s="19">
        <f>Macro!L4/L4</f>
        <v>218260.86956521741</v>
      </c>
      <c r="M20" s="19">
        <f>Macro!M4/M4</f>
        <v>211913.04347826089</v>
      </c>
      <c r="N20" s="19">
        <f>Macro!N4/N4</f>
        <v>204391.30434782611</v>
      </c>
      <c r="O20" s="19">
        <f>Macro!O4/O4</f>
        <v>211799.49427529416</v>
      </c>
      <c r="P20" s="19">
        <f>Macro!P4/P4</f>
        <v>219016.79777623297</v>
      </c>
      <c r="Q20" s="52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</row>
    <row r="21" spans="1:78" x14ac:dyDescent="0.25">
      <c r="A21" s="7"/>
      <c r="B21" s="38"/>
      <c r="C21" s="38" t="s">
        <v>128</v>
      </c>
      <c r="D21" s="38" t="s">
        <v>122</v>
      </c>
      <c r="E21" s="18" t="s">
        <v>125</v>
      </c>
      <c r="F21" s="19">
        <f>Macro!F5/F5</f>
        <v>52488.461538461539</v>
      </c>
      <c r="G21" s="19">
        <f>Macro!G5/G5</f>
        <v>54787.30158730159</v>
      </c>
      <c r="H21" s="19">
        <f>Macro!H5/H5</f>
        <v>58534.710743801654</v>
      </c>
      <c r="I21" s="19">
        <f>Macro!I5/I5</f>
        <v>62304.310344827587</v>
      </c>
      <c r="J21" s="19">
        <f>Macro!J5/J5</f>
        <v>68434.782608695663</v>
      </c>
      <c r="K21" s="19">
        <f>Macro!K5/K5</f>
        <v>72956.521739130447</v>
      </c>
      <c r="L21" s="19">
        <f>Macro!L5/L5</f>
        <v>77217.391304347839</v>
      </c>
      <c r="M21" s="19">
        <f>Macro!M5/M5</f>
        <v>81000</v>
      </c>
      <c r="N21" s="19">
        <f>Macro!N5/N5</f>
        <v>84173.913043478271</v>
      </c>
      <c r="O21" s="19">
        <f>Macro!O5/O5</f>
        <v>87224.807682826955</v>
      </c>
      <c r="P21" s="19">
        <f>Macro!P5/P5</f>
        <v>90197.090086106589</v>
      </c>
      <c r="Q21" s="52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</row>
    <row r="22" spans="1:78" x14ac:dyDescent="0.25">
      <c r="A22" s="7"/>
      <c r="B22" s="38"/>
      <c r="C22" s="38" t="s">
        <v>129</v>
      </c>
      <c r="D22" s="38" t="s">
        <v>122</v>
      </c>
      <c r="E22" s="18" t="s">
        <v>125</v>
      </c>
      <c r="F22" s="19">
        <f>Macro!F6/F6</f>
        <v>373528.4</v>
      </c>
      <c r="G22" s="19">
        <f>Macro!G6/G6</f>
        <v>387572.72727272729</v>
      </c>
      <c r="H22" s="19">
        <f>Macro!H6/H6</f>
        <v>406080.60344827588</v>
      </c>
      <c r="I22" s="19">
        <f>Macro!I6/I6</f>
        <v>407184.78260869568</v>
      </c>
      <c r="J22" s="19">
        <f>Macro!J6/J6</f>
        <v>420478.26086956525</v>
      </c>
      <c r="K22" s="19">
        <f>Macro!K6/K6</f>
        <v>427782.60869565222</v>
      </c>
      <c r="L22" s="19">
        <f>Macro!L6/L6</f>
        <v>433086.95652173914</v>
      </c>
      <c r="M22" s="19">
        <f>Macro!M6/M6</f>
        <v>435304.34782608697</v>
      </c>
      <c r="N22" s="19">
        <f>Macro!N6/N6</f>
        <v>434217.39130434784</v>
      </c>
      <c r="O22" s="19">
        <f>Macro!O6/O6</f>
        <v>449955.65822747565</v>
      </c>
      <c r="P22" s="19">
        <f>Macro!P6/P6</f>
        <v>465288.39808364998</v>
      </c>
      <c r="Q22" s="52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</row>
    <row r="23" spans="1:78" x14ac:dyDescent="0.25">
      <c r="A23" s="7"/>
      <c r="B23" s="38"/>
      <c r="C23" s="38" t="s">
        <v>130</v>
      </c>
      <c r="D23" s="38" t="s">
        <v>122</v>
      </c>
      <c r="E23" s="18" t="s">
        <v>125</v>
      </c>
      <c r="F23" s="19">
        <f>Macro!F7/F7</f>
        <v>300206.8</v>
      </c>
      <c r="G23" s="19">
        <f>Macro!G7/G7</f>
        <v>309114.46280991734</v>
      </c>
      <c r="H23" s="19">
        <f>Macro!H7/H7</f>
        <v>324584.05172413797</v>
      </c>
      <c r="I23" s="19">
        <f>Macro!I7/I7</f>
        <v>329931.30434782611</v>
      </c>
      <c r="J23" s="19">
        <f>Macro!J7/J7</f>
        <v>337217.39130434784</v>
      </c>
      <c r="K23" s="19">
        <f>Macro!K7/K7</f>
        <v>342478.26086956525</v>
      </c>
      <c r="L23" s="19">
        <f>Macro!L7/L7</f>
        <v>346347.82608695654</v>
      </c>
      <c r="M23" s="19">
        <f>Macro!M7/M7</f>
        <v>347956.52173913049</v>
      </c>
      <c r="N23" s="19">
        <f>Macro!N7/N7</f>
        <v>347000</v>
      </c>
      <c r="O23" s="19">
        <f>Macro!O7/O7</f>
        <v>359577.06101066218</v>
      </c>
      <c r="P23" s="19">
        <f>Macro!P7/P7</f>
        <v>371830.04957500857</v>
      </c>
      <c r="Q23" s="52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</row>
    <row r="24" spans="1:78" x14ac:dyDescent="0.25">
      <c r="A24" s="7"/>
      <c r="B24" s="38"/>
      <c r="C24" s="38" t="s">
        <v>131</v>
      </c>
      <c r="D24" s="38" t="s">
        <v>122</v>
      </c>
      <c r="E24" s="18" t="s">
        <v>125</v>
      </c>
      <c r="F24" s="19">
        <f>Macro!F8/F8</f>
        <v>3065396.25</v>
      </c>
      <c r="G24" s="19">
        <f>Macro!G8/G8</f>
        <v>3267877.5862068967</v>
      </c>
      <c r="H24" s="19">
        <f>Macro!H8/H8</f>
        <v>3447487.826086957</v>
      </c>
      <c r="I24" s="19">
        <f>Macro!I8/I8</f>
        <v>3554466.086956522</v>
      </c>
      <c r="J24" s="19">
        <f>Macro!J8/J8</f>
        <v>3693260.8695652178</v>
      </c>
      <c r="K24" s="19">
        <f>Macro!K8/K8</f>
        <v>3799347.826086957</v>
      </c>
      <c r="L24" s="19">
        <f>Macro!L8/L8</f>
        <v>3895173.9130434785</v>
      </c>
      <c r="M24" s="19">
        <f>Macro!M8/M8</f>
        <v>3982217.3913043481</v>
      </c>
      <c r="N24" s="19">
        <f>Macro!N8/N8</f>
        <v>4066565.2173913047</v>
      </c>
      <c r="O24" s="19">
        <f>Macro!O8/O8</f>
        <v>4213958.4129041778</v>
      </c>
      <c r="P24" s="19">
        <f>Macro!P8/P8</f>
        <v>4357553.7359729521</v>
      </c>
      <c r="Q24" s="52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</row>
    <row r="25" spans="1:78" x14ac:dyDescent="0.25">
      <c r="A25" s="7"/>
      <c r="B25" s="38"/>
      <c r="C25" s="38" t="s">
        <v>132</v>
      </c>
      <c r="D25" s="38" t="s">
        <v>122</v>
      </c>
      <c r="E25" s="18" t="s">
        <v>125</v>
      </c>
      <c r="F25" s="19">
        <f>Macro!F9/F9</f>
        <v>4327144.444444444</v>
      </c>
      <c r="G25" s="19">
        <f>Macro!G9/G9</f>
        <v>4781932.4427480912</v>
      </c>
      <c r="H25" s="19">
        <f>Macro!H9/H9</f>
        <v>5052222.307692308</v>
      </c>
      <c r="I25" s="19">
        <f>Macro!I9/I9</f>
        <v>5271968.461538461</v>
      </c>
      <c r="J25" s="19">
        <f>Macro!J9/J9</f>
        <v>5645346.153846154</v>
      </c>
      <c r="K25" s="19">
        <f>Macro!K9/K9</f>
        <v>5985230.769230769</v>
      </c>
      <c r="L25" s="19">
        <f>Macro!L9/L9</f>
        <v>6312153.8461538451</v>
      </c>
      <c r="M25" s="19">
        <f>Macro!M9/M9</f>
        <v>6613500</v>
      </c>
      <c r="N25" s="19">
        <f>Macro!N9/N9</f>
        <v>6881538.461538461</v>
      </c>
      <c r="O25" s="19">
        <f>Macro!O9/O9</f>
        <v>7130960.7355384259</v>
      </c>
      <c r="P25" s="19">
        <f>Macro!P9/P9</f>
        <v>7373956.1593837878</v>
      </c>
      <c r="Q25" s="52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54"/>
      <c r="BT25" s="54"/>
      <c r="BU25" s="54"/>
      <c r="BV25" s="54"/>
      <c r="BW25" s="54"/>
      <c r="BX25" s="54"/>
      <c r="BY25" s="54"/>
      <c r="BZ25" s="54"/>
    </row>
    <row r="26" spans="1:78" x14ac:dyDescent="0.25">
      <c r="A26" s="7"/>
      <c r="B26" s="38"/>
      <c r="C26" s="38" t="s">
        <v>133</v>
      </c>
      <c r="D26" s="38" t="s">
        <v>122</v>
      </c>
      <c r="E26" s="18" t="s">
        <v>125</v>
      </c>
      <c r="F26" s="19">
        <f>Macro!F10/F10</f>
        <v>458925.2</v>
      </c>
      <c r="G26" s="19">
        <f>Macro!G10/G10</f>
        <v>471305.6</v>
      </c>
      <c r="H26" s="19">
        <f>Macro!H10/H10</f>
        <v>488312</v>
      </c>
      <c r="I26" s="19">
        <f>Macro!I10/I10</f>
        <v>516890.8</v>
      </c>
      <c r="J26" s="19">
        <f>Macro!J10/J10</f>
        <v>552760</v>
      </c>
      <c r="K26" s="19">
        <f>Macro!K10/K10</f>
        <v>583120</v>
      </c>
      <c r="L26" s="19">
        <f>Macro!L10/L10</f>
        <v>613920</v>
      </c>
      <c r="M26" s="19">
        <f>Macro!M10/M10</f>
        <v>645120</v>
      </c>
      <c r="N26" s="19">
        <f>Macro!N10/N10</f>
        <v>677000</v>
      </c>
      <c r="O26" s="19">
        <f>Macro!O10/O10</f>
        <v>701537.95476719958</v>
      </c>
      <c r="P26" s="19">
        <f>Macro!P10/P10</f>
        <v>725443.64138985821</v>
      </c>
      <c r="Q26" s="52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54"/>
      <c r="BT26" s="54"/>
      <c r="BU26" s="54"/>
      <c r="BV26" s="54"/>
      <c r="BW26" s="54"/>
      <c r="BX26" s="54"/>
      <c r="BY26" s="54"/>
      <c r="BZ26" s="54"/>
    </row>
    <row r="27" spans="1:78" x14ac:dyDescent="0.25">
      <c r="A27" s="7"/>
      <c r="B27" s="38"/>
      <c r="C27" s="38" t="s">
        <v>134</v>
      </c>
      <c r="D27" s="38" t="s">
        <v>122</v>
      </c>
      <c r="E27" s="18" t="s">
        <v>125</v>
      </c>
      <c r="F27" s="19">
        <f>Macro!F11/F11</f>
        <v>403026</v>
      </c>
      <c r="G27" s="19">
        <f>Macro!G11/G11</f>
        <v>410537.19008264464</v>
      </c>
      <c r="H27" s="19">
        <f>Macro!H11/H11</f>
        <v>423968.95161290321</v>
      </c>
      <c r="I27" s="19">
        <f>Macro!I11/I11</f>
        <v>448386.8</v>
      </c>
      <c r="J27" s="19">
        <f>Macro!J11/J11</f>
        <v>478040</v>
      </c>
      <c r="K27" s="19">
        <f>Macro!K11/K11</f>
        <v>514800</v>
      </c>
      <c r="L27" s="19">
        <f>Macro!L11/L11</f>
        <v>552160</v>
      </c>
      <c r="M27" s="19">
        <f>Macro!M11/M11</f>
        <v>587520</v>
      </c>
      <c r="N27" s="19">
        <f>Macro!N11/N11</f>
        <v>619480</v>
      </c>
      <c r="O27" s="19">
        <f>Macro!O11/O11</f>
        <v>641933.13474030257</v>
      </c>
      <c r="P27" s="19">
        <f>Macro!P11/P11</f>
        <v>663807.72078019113</v>
      </c>
      <c r="Q27" s="52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54"/>
      <c r="BT27" s="54"/>
      <c r="BU27" s="54"/>
      <c r="BV27" s="54"/>
      <c r="BW27" s="54"/>
      <c r="BX27" s="54"/>
      <c r="BY27" s="54"/>
      <c r="BZ27" s="54"/>
    </row>
    <row r="28" spans="1:78" x14ac:dyDescent="0.25">
      <c r="A28" s="7"/>
      <c r="B28" s="38"/>
      <c r="C28" s="38" t="s">
        <v>5</v>
      </c>
      <c r="D28" s="38" t="s">
        <v>122</v>
      </c>
      <c r="E28" s="18" t="s">
        <v>125</v>
      </c>
      <c r="F28" s="19">
        <f>Macro!F12/F12</f>
        <v>1155460.7692307692</v>
      </c>
      <c r="G28" s="19">
        <f>Macro!G12/G12</f>
        <v>1277603.076923077</v>
      </c>
      <c r="H28" s="19">
        <f>Macro!H12/H12</f>
        <v>1435416.1538461538</v>
      </c>
      <c r="I28" s="19">
        <f>Macro!I12/I12</f>
        <v>1594035</v>
      </c>
      <c r="J28" s="19">
        <f>Macro!J12/J12</f>
        <v>1720307.6923076923</v>
      </c>
      <c r="K28" s="19">
        <f>Macro!K12/K12</f>
        <v>1887884.6153846153</v>
      </c>
      <c r="L28" s="19">
        <f>Macro!L12/L12</f>
        <v>2061730.7692307692</v>
      </c>
      <c r="M28" s="19">
        <f>Macro!M12/M12</f>
        <v>2242307.692307692</v>
      </c>
      <c r="N28" s="19">
        <f>Macro!N12/N12</f>
        <v>2429923.076923077</v>
      </c>
      <c r="O28" s="19">
        <f>Macro!O12/O12</f>
        <v>2517995.9610431846</v>
      </c>
      <c r="P28" s="19">
        <f>Macro!P12/P12</f>
        <v>2603799.4759532134</v>
      </c>
      <c r="Q28" s="52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54"/>
      <c r="BT28" s="54"/>
      <c r="BU28" s="54"/>
      <c r="BV28" s="54"/>
      <c r="BW28" s="54"/>
      <c r="BX28" s="54"/>
      <c r="BY28" s="54"/>
      <c r="BZ28" s="54"/>
    </row>
    <row r="29" spans="1:78" x14ac:dyDescent="0.25">
      <c r="A29" s="7"/>
      <c r="B29" s="38"/>
      <c r="C29" s="38" t="s">
        <v>81</v>
      </c>
      <c r="D29" s="38" t="s">
        <v>122</v>
      </c>
      <c r="E29" s="18" t="s">
        <v>125</v>
      </c>
      <c r="F29" s="19">
        <f>Macro!F13/F13</f>
        <v>1615692</v>
      </c>
      <c r="G29" s="19">
        <f>Macro!G13/G13</f>
        <v>1678424.8</v>
      </c>
      <c r="H29" s="19">
        <f>Macro!H13/H13</f>
        <v>1786218.4</v>
      </c>
      <c r="I29" s="19">
        <f>Macro!I13/I13</f>
        <v>1973714.0495867769</v>
      </c>
      <c r="J29" s="19">
        <f>Macro!J13/J13</f>
        <v>2126458.3333333335</v>
      </c>
      <c r="K29" s="19">
        <f>Macro!K13/K13</f>
        <v>2239916.666666667</v>
      </c>
      <c r="L29" s="19">
        <f>Macro!L13/L13</f>
        <v>2347041.666666667</v>
      </c>
      <c r="M29" s="19">
        <f>Macro!M13/M13</f>
        <v>2447041.666666667</v>
      </c>
      <c r="N29" s="19">
        <f>Macro!N13/N13</f>
        <v>2540166.666666667</v>
      </c>
      <c r="O29" s="19">
        <f>Macro!O13/O13</f>
        <v>2632235.3443148425</v>
      </c>
      <c r="P29" s="19">
        <f>Macro!P13/P13</f>
        <v>2721931.6933586486</v>
      </c>
      <c r="Q29" s="52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54"/>
      <c r="BT29" s="54"/>
      <c r="BU29" s="54"/>
      <c r="BV29" s="54"/>
      <c r="BW29" s="54"/>
      <c r="BX29" s="54"/>
      <c r="BY29" s="54"/>
      <c r="BZ29" s="54"/>
    </row>
    <row r="30" spans="1:78" x14ac:dyDescent="0.25">
      <c r="A30" s="7"/>
      <c r="B30" s="38"/>
      <c r="C30" s="38" t="s">
        <v>135</v>
      </c>
      <c r="D30" s="38" t="s">
        <v>122</v>
      </c>
      <c r="E30" s="18" t="s">
        <v>125</v>
      </c>
      <c r="F30" s="19">
        <f>Macro!F14/F14</f>
        <v>12172.4</v>
      </c>
      <c r="G30" s="19">
        <f>Macro!G14/G14</f>
        <v>13182.644628099173</v>
      </c>
      <c r="H30" s="19">
        <f>Macro!H14/H14</f>
        <v>14415</v>
      </c>
      <c r="I30" s="19">
        <f>Macro!I14/I14</f>
        <v>16245.689655172415</v>
      </c>
      <c r="J30" s="19">
        <f>Macro!J14/J14</f>
        <v>17956.521739130436</v>
      </c>
      <c r="K30" s="19">
        <f>Macro!K14/K14</f>
        <v>18913.043478260872</v>
      </c>
      <c r="L30" s="19">
        <f>Macro!L14/L14</f>
        <v>19739.130434782612</v>
      </c>
      <c r="M30" s="19">
        <f>Macro!M14/M14</f>
        <v>20434.782608695652</v>
      </c>
      <c r="N30" s="19">
        <f>Macro!N14/N14</f>
        <v>21000</v>
      </c>
      <c r="O30" s="19">
        <f>Macro!O14/O14</f>
        <v>21761.147784506931</v>
      </c>
      <c r="P30" s="19">
        <f>Macro!P14/P14</f>
        <v>22502.683115490436</v>
      </c>
      <c r="Q30" s="52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</row>
    <row r="31" spans="1:78" x14ac:dyDescent="0.25">
      <c r="A31" s="7"/>
      <c r="B31" s="38"/>
      <c r="C31" s="38" t="s">
        <v>137</v>
      </c>
      <c r="D31" s="38" t="s">
        <v>122</v>
      </c>
      <c r="E31" s="18" t="s">
        <v>125</v>
      </c>
      <c r="F31" s="19">
        <f>Macro!F15/F15</f>
        <v>13958.620689655172</v>
      </c>
      <c r="G31" s="19">
        <f>Macro!G15/G15</f>
        <v>14965.517241379312</v>
      </c>
      <c r="H31" s="19">
        <f>Macro!H15/H15</f>
        <v>15349.290780141844</v>
      </c>
      <c r="I31" s="19">
        <f>Macro!I15/I15</f>
        <v>16263.60294117647</v>
      </c>
      <c r="J31" s="19">
        <f>Macro!J15/J15</f>
        <v>16703.703703703704</v>
      </c>
      <c r="K31" s="19">
        <f>Macro!K15/K15</f>
        <v>17185.185185185182</v>
      </c>
      <c r="L31" s="19">
        <f>Macro!L15/L15</f>
        <v>17555.555555555555</v>
      </c>
      <c r="M31" s="19">
        <f>Macro!M15/M15</f>
        <v>17851.85185185185</v>
      </c>
      <c r="N31" s="19">
        <f>Macro!N15/N15</f>
        <v>18000</v>
      </c>
      <c r="O31" s="19">
        <f>Macro!O15/O15</f>
        <v>18652.412386720225</v>
      </c>
      <c r="P31" s="19">
        <f>Macro!P15/P15</f>
        <v>19288.014098991796</v>
      </c>
      <c r="Q31" s="52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</row>
    <row r="32" spans="1:78" x14ac:dyDescent="0.25">
      <c r="A32" s="7"/>
      <c r="B32" s="38"/>
      <c r="C32" s="38" t="s">
        <v>136</v>
      </c>
      <c r="D32" s="38" t="s">
        <v>122</v>
      </c>
      <c r="E32" s="18" t="s">
        <v>125</v>
      </c>
      <c r="F32" s="19">
        <f>Macro!F16/F16</f>
        <v>7431.8918918918916</v>
      </c>
      <c r="G32" s="19">
        <f>Macro!G16/G16</f>
        <v>8199.72972972973</v>
      </c>
      <c r="H32" s="19">
        <f>Macro!H16/H16</f>
        <v>9014.0540540540533</v>
      </c>
      <c r="I32" s="19">
        <f>Macro!I16/I16</f>
        <v>10079.558011049723</v>
      </c>
      <c r="J32" s="19">
        <f>Macro!J16/J16</f>
        <v>10916.666666666666</v>
      </c>
      <c r="K32" s="19">
        <f>Macro!K16/K16</f>
        <v>11555.555555555555</v>
      </c>
      <c r="L32" s="19">
        <f>Macro!L16/L16</f>
        <v>12194.444444444443</v>
      </c>
      <c r="M32" s="19">
        <f>Macro!M16/M16</f>
        <v>12888.888888888889</v>
      </c>
      <c r="N32" s="19">
        <f>Macro!N16/N16</f>
        <v>13555.555555555555</v>
      </c>
      <c r="O32" s="19">
        <f>Macro!O16/O16</f>
        <v>14046.878464073256</v>
      </c>
      <c r="P32" s="19">
        <f>Macro!P16/P16</f>
        <v>14525.541481956787</v>
      </c>
      <c r="Q32" s="52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</row>
    <row r="33" spans="1:34" x14ac:dyDescent="0.25">
      <c r="A33" s="7"/>
      <c r="B33" s="38"/>
      <c r="C33" s="38"/>
      <c r="D33" s="38"/>
      <c r="E33" s="18"/>
      <c r="F33" s="43"/>
      <c r="G33" s="43"/>
      <c r="H33" s="43"/>
      <c r="I33" s="43"/>
      <c r="Q33" s="52"/>
    </row>
    <row r="34" spans="1:34" x14ac:dyDescent="0.25">
      <c r="A34" s="7"/>
      <c r="B34" s="38"/>
      <c r="C34" s="38"/>
      <c r="D34" s="38"/>
      <c r="E34" s="18"/>
      <c r="F34" s="43"/>
      <c r="G34" s="43"/>
      <c r="H34" s="43"/>
      <c r="I34" s="43"/>
      <c r="Q34" s="52"/>
    </row>
    <row r="35" spans="1:34" x14ac:dyDescent="0.25">
      <c r="A35" s="7"/>
      <c r="B35" s="72" t="s">
        <v>101</v>
      </c>
      <c r="C35" s="38"/>
      <c r="D35" s="38"/>
      <c r="E35" s="18"/>
      <c r="F35" s="43"/>
      <c r="G35" s="43"/>
      <c r="H35" s="43"/>
      <c r="I35" s="43"/>
      <c r="Q35" s="52"/>
    </row>
    <row r="36" spans="1:34" outlineLevel="1" x14ac:dyDescent="0.25">
      <c r="A36" s="7"/>
      <c r="B36" s="38" t="s">
        <v>151</v>
      </c>
      <c r="C36" s="38" t="s">
        <v>64</v>
      </c>
      <c r="D36" s="38" t="s">
        <v>120</v>
      </c>
      <c r="E36" s="40" t="s">
        <v>121</v>
      </c>
      <c r="F36" s="43">
        <f t="shared" ref="F36:I51" si="5">INDEX($R36:$BZ36,MATCH(F$1,$R$1:$BZ$1,0))</f>
        <v>0</v>
      </c>
      <c r="G36" s="43">
        <f t="shared" si="5"/>
        <v>0</v>
      </c>
      <c r="H36" s="43">
        <f t="shared" si="5"/>
        <v>0</v>
      </c>
      <c r="I36" s="43">
        <f t="shared" si="5"/>
        <v>0</v>
      </c>
      <c r="J36" s="58">
        <f t="shared" ref="J36:P91" si="6">$AH36</f>
        <v>0</v>
      </c>
      <c r="K36" s="58">
        <f t="shared" si="6"/>
        <v>0</v>
      </c>
      <c r="L36" s="58">
        <f t="shared" si="6"/>
        <v>0</v>
      </c>
      <c r="M36" s="58">
        <f t="shared" si="6"/>
        <v>0</v>
      </c>
      <c r="N36" s="58">
        <f t="shared" si="6"/>
        <v>0</v>
      </c>
      <c r="O36" s="58">
        <f t="shared" si="6"/>
        <v>0</v>
      </c>
      <c r="P36" s="58">
        <f t="shared" si="6"/>
        <v>0</v>
      </c>
      <c r="Q36" s="52"/>
    </row>
    <row r="37" spans="1:34" outlineLevel="1" x14ac:dyDescent="0.25">
      <c r="A37" s="7"/>
      <c r="B37" s="38" t="s">
        <v>151</v>
      </c>
      <c r="C37" s="15" t="s">
        <v>127</v>
      </c>
      <c r="D37" s="38" t="s">
        <v>120</v>
      </c>
      <c r="E37" s="40" t="s">
        <v>121</v>
      </c>
      <c r="F37" s="43">
        <f t="shared" si="5"/>
        <v>0</v>
      </c>
      <c r="G37" s="43">
        <f t="shared" si="5"/>
        <v>0</v>
      </c>
      <c r="H37" s="43">
        <f t="shared" si="5"/>
        <v>0</v>
      </c>
      <c r="I37" s="43">
        <f t="shared" si="5"/>
        <v>0</v>
      </c>
      <c r="J37" s="58">
        <f t="shared" si="6"/>
        <v>0</v>
      </c>
      <c r="K37" s="58">
        <f t="shared" si="6"/>
        <v>0</v>
      </c>
      <c r="L37" s="58">
        <f t="shared" si="6"/>
        <v>0</v>
      </c>
      <c r="M37" s="58">
        <f t="shared" si="6"/>
        <v>0</v>
      </c>
      <c r="N37" s="58">
        <f t="shared" si="6"/>
        <v>0</v>
      </c>
      <c r="O37" s="58">
        <f t="shared" si="6"/>
        <v>0</v>
      </c>
      <c r="P37" s="58">
        <f t="shared" si="6"/>
        <v>0</v>
      </c>
      <c r="Q37" s="52"/>
    </row>
    <row r="38" spans="1:34" outlineLevel="1" x14ac:dyDescent="0.25">
      <c r="A38" s="7"/>
      <c r="B38" s="38" t="s">
        <v>151</v>
      </c>
      <c r="C38" s="38" t="s">
        <v>128</v>
      </c>
      <c r="D38" s="38" t="s">
        <v>120</v>
      </c>
      <c r="E38" s="40" t="s">
        <v>121</v>
      </c>
      <c r="F38" s="43">
        <f t="shared" si="5"/>
        <v>0</v>
      </c>
      <c r="G38" s="43">
        <f t="shared" si="5"/>
        <v>0</v>
      </c>
      <c r="H38" s="43">
        <f t="shared" si="5"/>
        <v>0</v>
      </c>
      <c r="I38" s="43">
        <f t="shared" si="5"/>
        <v>0</v>
      </c>
      <c r="J38" s="58">
        <f t="shared" si="6"/>
        <v>0</v>
      </c>
      <c r="K38" s="58">
        <f t="shared" si="6"/>
        <v>0</v>
      </c>
      <c r="L38" s="58">
        <f t="shared" si="6"/>
        <v>0</v>
      </c>
      <c r="M38" s="58">
        <f t="shared" si="6"/>
        <v>0</v>
      </c>
      <c r="N38" s="58">
        <f t="shared" si="6"/>
        <v>0</v>
      </c>
      <c r="O38" s="58">
        <f t="shared" si="6"/>
        <v>0</v>
      </c>
      <c r="P38" s="58">
        <f t="shared" si="6"/>
        <v>0</v>
      </c>
      <c r="Q38" s="52"/>
    </row>
    <row r="39" spans="1:34" outlineLevel="1" x14ac:dyDescent="0.25">
      <c r="A39" s="7"/>
      <c r="B39" s="38" t="s">
        <v>151</v>
      </c>
      <c r="C39" s="38" t="s">
        <v>129</v>
      </c>
      <c r="D39" s="38" t="s">
        <v>120</v>
      </c>
      <c r="E39" s="40" t="s">
        <v>121</v>
      </c>
      <c r="F39" s="43">
        <f t="shared" si="5"/>
        <v>0</v>
      </c>
      <c r="G39" s="43">
        <f t="shared" si="5"/>
        <v>0</v>
      </c>
      <c r="H39" s="43">
        <f t="shared" si="5"/>
        <v>0</v>
      </c>
      <c r="I39" s="43">
        <f t="shared" si="5"/>
        <v>0</v>
      </c>
      <c r="J39" s="58">
        <f t="shared" si="6"/>
        <v>0</v>
      </c>
      <c r="K39" s="58">
        <f t="shared" si="6"/>
        <v>0</v>
      </c>
      <c r="L39" s="58">
        <f t="shared" si="6"/>
        <v>0</v>
      </c>
      <c r="M39" s="58">
        <f t="shared" si="6"/>
        <v>0</v>
      </c>
      <c r="N39" s="58">
        <f t="shared" si="6"/>
        <v>0</v>
      </c>
      <c r="O39" s="58">
        <f t="shared" si="6"/>
        <v>0</v>
      </c>
      <c r="P39" s="58">
        <f t="shared" si="6"/>
        <v>0</v>
      </c>
      <c r="Q39" s="52"/>
    </row>
    <row r="40" spans="1:34" outlineLevel="1" x14ac:dyDescent="0.25">
      <c r="A40" s="7"/>
      <c r="B40" s="38" t="s">
        <v>151</v>
      </c>
      <c r="C40" s="38" t="s">
        <v>130</v>
      </c>
      <c r="D40" s="38" t="s">
        <v>120</v>
      </c>
      <c r="E40" s="40" t="s">
        <v>121</v>
      </c>
      <c r="F40" s="43">
        <f t="shared" si="5"/>
        <v>0</v>
      </c>
      <c r="G40" s="43">
        <f t="shared" si="5"/>
        <v>0</v>
      </c>
      <c r="H40" s="43">
        <f t="shared" si="5"/>
        <v>0</v>
      </c>
      <c r="I40" s="43">
        <f t="shared" si="5"/>
        <v>0</v>
      </c>
      <c r="J40" s="58">
        <f t="shared" si="6"/>
        <v>0</v>
      </c>
      <c r="K40" s="58">
        <f t="shared" si="6"/>
        <v>0</v>
      </c>
      <c r="L40" s="58">
        <f t="shared" si="6"/>
        <v>0</v>
      </c>
      <c r="M40" s="58">
        <f t="shared" si="6"/>
        <v>0</v>
      </c>
      <c r="N40" s="58">
        <f t="shared" si="6"/>
        <v>0</v>
      </c>
      <c r="O40" s="58">
        <f t="shared" si="6"/>
        <v>0</v>
      </c>
      <c r="P40" s="58">
        <f t="shared" si="6"/>
        <v>0</v>
      </c>
      <c r="Q40" s="52"/>
    </row>
    <row r="41" spans="1:34" outlineLevel="1" x14ac:dyDescent="0.25">
      <c r="A41" s="7"/>
      <c r="B41" s="38" t="s">
        <v>151</v>
      </c>
      <c r="C41" s="38" t="s">
        <v>131</v>
      </c>
      <c r="D41" s="38" t="s">
        <v>120</v>
      </c>
      <c r="E41" s="40" t="s">
        <v>121</v>
      </c>
      <c r="F41" s="43">
        <f t="shared" si="5"/>
        <v>0</v>
      </c>
      <c r="G41" s="43">
        <f t="shared" si="5"/>
        <v>0</v>
      </c>
      <c r="H41" s="43">
        <f t="shared" si="5"/>
        <v>0</v>
      </c>
      <c r="I41" s="43">
        <f t="shared" si="5"/>
        <v>0</v>
      </c>
      <c r="J41" s="58">
        <f t="shared" si="6"/>
        <v>0</v>
      </c>
      <c r="K41" s="58">
        <f t="shared" si="6"/>
        <v>0</v>
      </c>
      <c r="L41" s="58">
        <f t="shared" si="6"/>
        <v>0</v>
      </c>
      <c r="M41" s="58">
        <f t="shared" si="6"/>
        <v>0</v>
      </c>
      <c r="N41" s="58">
        <f t="shared" si="6"/>
        <v>0</v>
      </c>
      <c r="O41" s="58">
        <f t="shared" si="6"/>
        <v>0</v>
      </c>
      <c r="P41" s="58">
        <f t="shared" si="6"/>
        <v>0</v>
      </c>
      <c r="Q41" s="52"/>
    </row>
    <row r="42" spans="1:34" outlineLevel="1" x14ac:dyDescent="0.25">
      <c r="A42" s="7"/>
      <c r="B42" s="38" t="s">
        <v>151</v>
      </c>
      <c r="C42" s="38" t="s">
        <v>132</v>
      </c>
      <c r="D42" s="38" t="s">
        <v>120</v>
      </c>
      <c r="E42" s="40" t="s">
        <v>121</v>
      </c>
      <c r="F42" s="43">
        <f t="shared" si="5"/>
        <v>0</v>
      </c>
      <c r="G42" s="43">
        <f t="shared" si="5"/>
        <v>0</v>
      </c>
      <c r="H42" s="43">
        <f t="shared" si="5"/>
        <v>0</v>
      </c>
      <c r="I42" s="43">
        <f t="shared" si="5"/>
        <v>0</v>
      </c>
      <c r="J42" s="58">
        <f t="shared" si="6"/>
        <v>0</v>
      </c>
      <c r="K42" s="58">
        <f t="shared" si="6"/>
        <v>0</v>
      </c>
      <c r="L42" s="58">
        <f t="shared" si="6"/>
        <v>0</v>
      </c>
      <c r="M42" s="58">
        <f t="shared" si="6"/>
        <v>0</v>
      </c>
      <c r="N42" s="58">
        <f t="shared" si="6"/>
        <v>0</v>
      </c>
      <c r="O42" s="58">
        <f t="shared" si="6"/>
        <v>0</v>
      </c>
      <c r="P42" s="58">
        <f t="shared" si="6"/>
        <v>0</v>
      </c>
      <c r="Q42" s="52"/>
    </row>
    <row r="43" spans="1:34" outlineLevel="1" x14ac:dyDescent="0.25">
      <c r="A43" s="7"/>
      <c r="B43" s="38" t="s">
        <v>151</v>
      </c>
      <c r="C43" s="38" t="s">
        <v>133</v>
      </c>
      <c r="D43" s="38" t="s">
        <v>120</v>
      </c>
      <c r="E43" s="40" t="s">
        <v>121</v>
      </c>
      <c r="F43" s="43">
        <f t="shared" si="5"/>
        <v>0</v>
      </c>
      <c r="G43" s="43">
        <f t="shared" si="5"/>
        <v>0</v>
      </c>
      <c r="H43" s="43">
        <f t="shared" si="5"/>
        <v>0</v>
      </c>
      <c r="I43" s="43">
        <f t="shared" si="5"/>
        <v>0</v>
      </c>
      <c r="J43" s="58">
        <f t="shared" si="6"/>
        <v>0</v>
      </c>
      <c r="K43" s="58">
        <f t="shared" si="6"/>
        <v>0</v>
      </c>
      <c r="L43" s="58">
        <f t="shared" si="6"/>
        <v>0</v>
      </c>
      <c r="M43" s="58">
        <f t="shared" si="6"/>
        <v>0</v>
      </c>
      <c r="N43" s="58">
        <f t="shared" si="6"/>
        <v>0</v>
      </c>
      <c r="O43" s="58">
        <f t="shared" si="6"/>
        <v>0</v>
      </c>
      <c r="P43" s="58">
        <f t="shared" si="6"/>
        <v>0</v>
      </c>
      <c r="Q43" s="52"/>
    </row>
    <row r="44" spans="1:34" outlineLevel="1" x14ac:dyDescent="0.25">
      <c r="A44" s="7"/>
      <c r="B44" s="38" t="s">
        <v>151</v>
      </c>
      <c r="C44" s="38" t="s">
        <v>134</v>
      </c>
      <c r="D44" s="38" t="s">
        <v>120</v>
      </c>
      <c r="E44" s="40" t="s">
        <v>121</v>
      </c>
      <c r="F44" s="43">
        <f t="shared" si="5"/>
        <v>0</v>
      </c>
      <c r="G44" s="43">
        <f t="shared" si="5"/>
        <v>0</v>
      </c>
      <c r="H44" s="43">
        <f t="shared" si="5"/>
        <v>0</v>
      </c>
      <c r="I44" s="43">
        <f t="shared" si="5"/>
        <v>0</v>
      </c>
      <c r="J44" s="58">
        <f t="shared" si="6"/>
        <v>0</v>
      </c>
      <c r="K44" s="58">
        <f t="shared" si="6"/>
        <v>0</v>
      </c>
      <c r="L44" s="58">
        <f t="shared" si="6"/>
        <v>0</v>
      </c>
      <c r="M44" s="58">
        <f t="shared" si="6"/>
        <v>0</v>
      </c>
      <c r="N44" s="58">
        <f t="shared" si="6"/>
        <v>0</v>
      </c>
      <c r="O44" s="58">
        <f t="shared" si="6"/>
        <v>0</v>
      </c>
      <c r="P44" s="58">
        <f t="shared" si="6"/>
        <v>0</v>
      </c>
      <c r="Q44" s="52"/>
    </row>
    <row r="45" spans="1:34" outlineLevel="1" x14ac:dyDescent="0.25">
      <c r="A45" s="7"/>
      <c r="B45" s="38" t="s">
        <v>151</v>
      </c>
      <c r="C45" s="38" t="s">
        <v>5</v>
      </c>
      <c r="D45" s="38" t="s">
        <v>120</v>
      </c>
      <c r="E45" s="40" t="s">
        <v>121</v>
      </c>
      <c r="F45" s="43">
        <f t="shared" si="5"/>
        <v>102.056</v>
      </c>
      <c r="G45" s="43">
        <f t="shared" si="5"/>
        <v>117.857</v>
      </c>
      <c r="H45" s="43">
        <f t="shared" si="5"/>
        <v>134.34399999999999</v>
      </c>
      <c r="I45" s="43">
        <f t="shared" si="5"/>
        <v>146.977</v>
      </c>
      <c r="J45" s="58">
        <f t="shared" si="6"/>
        <v>148.864</v>
      </c>
      <c r="K45" s="58">
        <f t="shared" si="6"/>
        <v>148.864</v>
      </c>
      <c r="L45" s="58">
        <f t="shared" si="6"/>
        <v>148.864</v>
      </c>
      <c r="M45" s="58">
        <f t="shared" si="6"/>
        <v>148.864</v>
      </c>
      <c r="N45" s="58">
        <f t="shared" si="6"/>
        <v>148.864</v>
      </c>
      <c r="O45" s="58">
        <f t="shared" si="6"/>
        <v>148.864</v>
      </c>
      <c r="P45" s="58">
        <f t="shared" si="6"/>
        <v>148.864</v>
      </c>
      <c r="Q45" s="52"/>
      <c r="R45" s="54">
        <v>102.056</v>
      </c>
      <c r="S45" s="54">
        <v>104.72199999999999</v>
      </c>
      <c r="T45" s="54">
        <v>107.886</v>
      </c>
      <c r="U45" s="54">
        <v>111.19499999999999</v>
      </c>
      <c r="V45" s="54">
        <v>114.343</v>
      </c>
      <c r="W45" s="54">
        <v>117.857</v>
      </c>
      <c r="X45" s="54">
        <v>121.78400000000001</v>
      </c>
      <c r="Y45" s="54">
        <v>126.12</v>
      </c>
      <c r="Z45" s="54">
        <v>129.46100000000001</v>
      </c>
      <c r="AA45" s="54">
        <v>131.619</v>
      </c>
      <c r="AB45" s="54">
        <v>134.34399999999999</v>
      </c>
      <c r="AC45" s="54">
        <v>136.792</v>
      </c>
      <c r="AD45" s="54">
        <v>139.107</v>
      </c>
      <c r="AE45" s="54">
        <v>141.86600000000001</v>
      </c>
      <c r="AF45" s="54">
        <v>144.78100000000001</v>
      </c>
      <c r="AG45" s="54">
        <v>146.977</v>
      </c>
      <c r="AH45" s="54">
        <v>148.864</v>
      </c>
    </row>
    <row r="46" spans="1:34" outlineLevel="1" x14ac:dyDescent="0.25">
      <c r="A46" s="7"/>
      <c r="B46" s="38" t="s">
        <v>151</v>
      </c>
      <c r="C46" s="38" t="s">
        <v>81</v>
      </c>
      <c r="D46" s="38" t="s">
        <v>120</v>
      </c>
      <c r="E46" s="40" t="s">
        <v>121</v>
      </c>
      <c r="F46" s="43">
        <f t="shared" si="5"/>
        <v>0</v>
      </c>
      <c r="G46" s="43">
        <f t="shared" si="5"/>
        <v>0</v>
      </c>
      <c r="H46" s="43">
        <f t="shared" si="5"/>
        <v>0</v>
      </c>
      <c r="I46" s="43">
        <f t="shared" si="5"/>
        <v>0</v>
      </c>
      <c r="J46" s="58">
        <f t="shared" si="6"/>
        <v>0</v>
      </c>
      <c r="K46" s="58">
        <f t="shared" si="6"/>
        <v>0</v>
      </c>
      <c r="L46" s="58">
        <f t="shared" si="6"/>
        <v>0</v>
      </c>
      <c r="M46" s="58">
        <f t="shared" si="6"/>
        <v>0</v>
      </c>
      <c r="N46" s="58">
        <f t="shared" si="6"/>
        <v>0</v>
      </c>
      <c r="O46" s="58">
        <f t="shared" si="6"/>
        <v>0</v>
      </c>
      <c r="P46" s="58">
        <f t="shared" si="6"/>
        <v>0</v>
      </c>
      <c r="Q46" s="52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</row>
    <row r="47" spans="1:34" outlineLevel="1" x14ac:dyDescent="0.25">
      <c r="A47" s="7"/>
      <c r="B47" s="38" t="s">
        <v>151</v>
      </c>
      <c r="C47" s="38" t="s">
        <v>135</v>
      </c>
      <c r="D47" s="38" t="s">
        <v>120</v>
      </c>
      <c r="E47" s="40" t="s">
        <v>121</v>
      </c>
      <c r="F47" s="43">
        <f t="shared" si="5"/>
        <v>0</v>
      </c>
      <c r="G47" s="43">
        <f t="shared" si="5"/>
        <v>0</v>
      </c>
      <c r="H47" s="43">
        <f t="shared" si="5"/>
        <v>0</v>
      </c>
      <c r="I47" s="43">
        <f t="shared" si="5"/>
        <v>0</v>
      </c>
      <c r="J47" s="58">
        <f t="shared" si="6"/>
        <v>0</v>
      </c>
      <c r="K47" s="58">
        <f t="shared" si="6"/>
        <v>0</v>
      </c>
      <c r="L47" s="58">
        <f t="shared" si="6"/>
        <v>0</v>
      </c>
      <c r="M47" s="58">
        <f t="shared" si="6"/>
        <v>0</v>
      </c>
      <c r="N47" s="58">
        <f t="shared" si="6"/>
        <v>0</v>
      </c>
      <c r="O47" s="58">
        <f t="shared" si="6"/>
        <v>0</v>
      </c>
      <c r="P47" s="58">
        <f t="shared" si="6"/>
        <v>0</v>
      </c>
      <c r="Q47" s="52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</row>
    <row r="48" spans="1:34" outlineLevel="1" x14ac:dyDescent="0.25">
      <c r="A48" s="7"/>
      <c r="B48" s="38" t="s">
        <v>151</v>
      </c>
      <c r="C48" s="38" t="s">
        <v>137</v>
      </c>
      <c r="D48" s="38" t="s">
        <v>120</v>
      </c>
      <c r="E48" s="40" t="s">
        <v>121</v>
      </c>
      <c r="F48" s="43">
        <f t="shared" si="5"/>
        <v>0</v>
      </c>
      <c r="G48" s="43">
        <f t="shared" si="5"/>
        <v>0</v>
      </c>
      <c r="H48" s="43">
        <f t="shared" si="5"/>
        <v>0</v>
      </c>
      <c r="I48" s="43">
        <f t="shared" si="5"/>
        <v>0</v>
      </c>
      <c r="J48" s="58">
        <f t="shared" si="6"/>
        <v>0</v>
      </c>
      <c r="K48" s="58">
        <f t="shared" si="6"/>
        <v>0</v>
      </c>
      <c r="L48" s="58">
        <f t="shared" si="6"/>
        <v>0</v>
      </c>
      <c r="M48" s="58">
        <f t="shared" si="6"/>
        <v>0</v>
      </c>
      <c r="N48" s="58">
        <f t="shared" si="6"/>
        <v>0</v>
      </c>
      <c r="O48" s="58">
        <f t="shared" si="6"/>
        <v>0</v>
      </c>
      <c r="P48" s="58">
        <f t="shared" si="6"/>
        <v>0</v>
      </c>
      <c r="Q48" s="52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</row>
    <row r="49" spans="1:34" outlineLevel="1" x14ac:dyDescent="0.25">
      <c r="A49" s="7"/>
      <c r="B49" s="38" t="s">
        <v>151</v>
      </c>
      <c r="C49" s="38" t="s">
        <v>136</v>
      </c>
      <c r="D49" s="38" t="s">
        <v>120</v>
      </c>
      <c r="E49" s="40" t="s">
        <v>121</v>
      </c>
      <c r="F49" s="43">
        <f t="shared" si="5"/>
        <v>0</v>
      </c>
      <c r="G49" s="43">
        <f t="shared" si="5"/>
        <v>0</v>
      </c>
      <c r="H49" s="43">
        <f t="shared" si="5"/>
        <v>0</v>
      </c>
      <c r="I49" s="43">
        <f t="shared" si="5"/>
        <v>0</v>
      </c>
      <c r="J49" s="58">
        <f t="shared" si="6"/>
        <v>0</v>
      </c>
      <c r="K49" s="58">
        <f t="shared" si="6"/>
        <v>0</v>
      </c>
      <c r="L49" s="58">
        <f t="shared" si="6"/>
        <v>0</v>
      </c>
      <c r="M49" s="58">
        <f t="shared" si="6"/>
        <v>0</v>
      </c>
      <c r="N49" s="58">
        <f t="shared" si="6"/>
        <v>0</v>
      </c>
      <c r="O49" s="58">
        <f t="shared" si="6"/>
        <v>0</v>
      </c>
      <c r="P49" s="58">
        <f t="shared" si="6"/>
        <v>0</v>
      </c>
      <c r="Q49" s="52"/>
    </row>
    <row r="50" spans="1:34" outlineLevel="1" x14ac:dyDescent="0.25">
      <c r="A50" s="7"/>
      <c r="B50" s="38" t="s">
        <v>152</v>
      </c>
      <c r="C50" s="38" t="s">
        <v>64</v>
      </c>
      <c r="D50" s="38" t="s">
        <v>120</v>
      </c>
      <c r="E50" s="40" t="s">
        <v>121</v>
      </c>
      <c r="F50" s="43">
        <f t="shared" si="5"/>
        <v>0</v>
      </c>
      <c r="G50" s="43">
        <f t="shared" si="5"/>
        <v>0</v>
      </c>
      <c r="H50" s="43">
        <f t="shared" si="5"/>
        <v>0</v>
      </c>
      <c r="I50" s="43">
        <f t="shared" si="5"/>
        <v>0</v>
      </c>
      <c r="J50" s="58">
        <f t="shared" si="6"/>
        <v>0</v>
      </c>
      <c r="K50" s="58">
        <f t="shared" si="6"/>
        <v>0</v>
      </c>
      <c r="L50" s="58">
        <f t="shared" si="6"/>
        <v>0</v>
      </c>
      <c r="M50" s="58">
        <f t="shared" si="6"/>
        <v>0</v>
      </c>
      <c r="N50" s="58">
        <f t="shared" si="6"/>
        <v>0</v>
      </c>
      <c r="O50" s="58">
        <f t="shared" si="6"/>
        <v>0</v>
      </c>
      <c r="P50" s="58">
        <f t="shared" si="6"/>
        <v>0</v>
      </c>
      <c r="Q50" s="52"/>
    </row>
    <row r="51" spans="1:34" outlineLevel="1" x14ac:dyDescent="0.25">
      <c r="A51" s="7"/>
      <c r="B51" s="38" t="s">
        <v>152</v>
      </c>
      <c r="C51" s="15" t="s">
        <v>127</v>
      </c>
      <c r="D51" s="38" t="s">
        <v>120</v>
      </c>
      <c r="E51" s="40" t="s">
        <v>121</v>
      </c>
      <c r="F51" s="43">
        <f t="shared" si="5"/>
        <v>0</v>
      </c>
      <c r="G51" s="43">
        <f t="shared" si="5"/>
        <v>0</v>
      </c>
      <c r="H51" s="43">
        <f t="shared" si="5"/>
        <v>0</v>
      </c>
      <c r="I51" s="43">
        <f t="shared" si="5"/>
        <v>0</v>
      </c>
      <c r="J51" s="58">
        <f t="shared" si="6"/>
        <v>0</v>
      </c>
      <c r="K51" s="58">
        <f t="shared" si="6"/>
        <v>0</v>
      </c>
      <c r="L51" s="58">
        <f t="shared" si="6"/>
        <v>0</v>
      </c>
      <c r="M51" s="58">
        <f t="shared" si="6"/>
        <v>0</v>
      </c>
      <c r="N51" s="58">
        <f t="shared" si="6"/>
        <v>0</v>
      </c>
      <c r="O51" s="58">
        <f t="shared" si="6"/>
        <v>0</v>
      </c>
      <c r="P51" s="58">
        <f t="shared" si="6"/>
        <v>0</v>
      </c>
      <c r="Q51" s="52"/>
    </row>
    <row r="52" spans="1:34" outlineLevel="1" x14ac:dyDescent="0.25">
      <c r="A52" s="7"/>
      <c r="B52" s="38" t="s">
        <v>152</v>
      </c>
      <c r="C52" s="38" t="s">
        <v>128</v>
      </c>
      <c r="D52" s="38" t="s">
        <v>120</v>
      </c>
      <c r="E52" s="40" t="s">
        <v>121</v>
      </c>
      <c r="F52" s="43">
        <f t="shared" ref="F52:I67" si="7">INDEX($R52:$BZ52,MATCH(F$1,$R$1:$BZ$1,0))</f>
        <v>0</v>
      </c>
      <c r="G52" s="43">
        <f t="shared" si="7"/>
        <v>0</v>
      </c>
      <c r="H52" s="43">
        <f t="shared" si="7"/>
        <v>0</v>
      </c>
      <c r="I52" s="43">
        <f t="shared" si="7"/>
        <v>0</v>
      </c>
      <c r="J52" s="58">
        <f t="shared" si="6"/>
        <v>0</v>
      </c>
      <c r="K52" s="58">
        <f t="shared" si="6"/>
        <v>0</v>
      </c>
      <c r="L52" s="58">
        <f t="shared" si="6"/>
        <v>0</v>
      </c>
      <c r="M52" s="58">
        <f t="shared" si="6"/>
        <v>0</v>
      </c>
      <c r="N52" s="58">
        <f t="shared" si="6"/>
        <v>0</v>
      </c>
      <c r="O52" s="58">
        <f t="shared" si="6"/>
        <v>0</v>
      </c>
      <c r="P52" s="58">
        <f t="shared" si="6"/>
        <v>0</v>
      </c>
      <c r="Q52" s="52"/>
    </row>
    <row r="53" spans="1:34" outlineLevel="1" x14ac:dyDescent="0.25">
      <c r="A53" s="7"/>
      <c r="B53" s="38" t="s">
        <v>152</v>
      </c>
      <c r="C53" s="38" t="s">
        <v>129</v>
      </c>
      <c r="D53" s="38" t="s">
        <v>120</v>
      </c>
      <c r="E53" s="40" t="s">
        <v>121</v>
      </c>
      <c r="F53" s="43">
        <f t="shared" si="7"/>
        <v>0</v>
      </c>
      <c r="G53" s="43">
        <f t="shared" si="7"/>
        <v>0</v>
      </c>
      <c r="H53" s="43">
        <f t="shared" si="7"/>
        <v>0</v>
      </c>
      <c r="I53" s="43">
        <f t="shared" si="7"/>
        <v>0</v>
      </c>
      <c r="J53" s="58">
        <f t="shared" si="6"/>
        <v>0</v>
      </c>
      <c r="K53" s="58">
        <f t="shared" si="6"/>
        <v>0</v>
      </c>
      <c r="L53" s="58">
        <f t="shared" si="6"/>
        <v>0</v>
      </c>
      <c r="M53" s="58">
        <f t="shared" si="6"/>
        <v>0</v>
      </c>
      <c r="N53" s="58">
        <f t="shared" si="6"/>
        <v>0</v>
      </c>
      <c r="O53" s="58">
        <f t="shared" si="6"/>
        <v>0</v>
      </c>
      <c r="P53" s="58">
        <f t="shared" si="6"/>
        <v>0</v>
      </c>
      <c r="Q53" s="52"/>
    </row>
    <row r="54" spans="1:34" outlineLevel="1" x14ac:dyDescent="0.25">
      <c r="A54" s="7"/>
      <c r="B54" s="38" t="s">
        <v>152</v>
      </c>
      <c r="C54" s="38" t="s">
        <v>130</v>
      </c>
      <c r="D54" s="38" t="s">
        <v>120</v>
      </c>
      <c r="E54" s="40" t="s">
        <v>121</v>
      </c>
      <c r="F54" s="43">
        <f t="shared" si="7"/>
        <v>0</v>
      </c>
      <c r="G54" s="43">
        <f t="shared" si="7"/>
        <v>0</v>
      </c>
      <c r="H54" s="43">
        <f t="shared" si="7"/>
        <v>0</v>
      </c>
      <c r="I54" s="43">
        <f t="shared" si="7"/>
        <v>0</v>
      </c>
      <c r="J54" s="58">
        <f t="shared" si="6"/>
        <v>0</v>
      </c>
      <c r="K54" s="58">
        <f t="shared" si="6"/>
        <v>0</v>
      </c>
      <c r="L54" s="58">
        <f t="shared" si="6"/>
        <v>0</v>
      </c>
      <c r="M54" s="58">
        <f t="shared" si="6"/>
        <v>0</v>
      </c>
      <c r="N54" s="58">
        <f t="shared" si="6"/>
        <v>0</v>
      </c>
      <c r="O54" s="58">
        <f t="shared" si="6"/>
        <v>0</v>
      </c>
      <c r="P54" s="58">
        <f t="shared" si="6"/>
        <v>0</v>
      </c>
      <c r="Q54" s="52"/>
    </row>
    <row r="55" spans="1:34" outlineLevel="1" x14ac:dyDescent="0.25">
      <c r="A55" s="7"/>
      <c r="B55" s="38" t="s">
        <v>152</v>
      </c>
      <c r="C55" s="38" t="s">
        <v>131</v>
      </c>
      <c r="D55" s="38" t="s">
        <v>120</v>
      </c>
      <c r="E55" s="40" t="s">
        <v>121</v>
      </c>
      <c r="F55" s="43">
        <f t="shared" si="7"/>
        <v>0</v>
      </c>
      <c r="G55" s="43">
        <f t="shared" si="7"/>
        <v>0</v>
      </c>
      <c r="H55" s="43">
        <f t="shared" si="7"/>
        <v>0</v>
      </c>
      <c r="I55" s="43">
        <f t="shared" si="7"/>
        <v>0</v>
      </c>
      <c r="J55" s="58">
        <f t="shared" si="6"/>
        <v>0</v>
      </c>
      <c r="K55" s="58">
        <f t="shared" si="6"/>
        <v>0</v>
      </c>
      <c r="L55" s="58">
        <f t="shared" si="6"/>
        <v>0</v>
      </c>
      <c r="M55" s="58">
        <f t="shared" si="6"/>
        <v>0</v>
      </c>
      <c r="N55" s="58">
        <f t="shared" si="6"/>
        <v>0</v>
      </c>
      <c r="O55" s="58">
        <f t="shared" si="6"/>
        <v>0</v>
      </c>
      <c r="P55" s="58">
        <f t="shared" si="6"/>
        <v>0</v>
      </c>
      <c r="Q55" s="52"/>
    </row>
    <row r="56" spans="1:34" outlineLevel="1" x14ac:dyDescent="0.25">
      <c r="A56" s="7"/>
      <c r="B56" s="38" t="s">
        <v>152</v>
      </c>
      <c r="C56" s="38" t="s">
        <v>132</v>
      </c>
      <c r="D56" s="38" t="s">
        <v>120</v>
      </c>
      <c r="E56" s="40" t="s">
        <v>121</v>
      </c>
      <c r="F56" s="43">
        <f t="shared" si="7"/>
        <v>0</v>
      </c>
      <c r="G56" s="43">
        <f t="shared" si="7"/>
        <v>0</v>
      </c>
      <c r="H56" s="43">
        <f t="shared" si="7"/>
        <v>0</v>
      </c>
      <c r="I56" s="43">
        <f t="shared" si="7"/>
        <v>0</v>
      </c>
      <c r="J56" s="58">
        <f t="shared" si="6"/>
        <v>0</v>
      </c>
      <c r="K56" s="58">
        <f t="shared" si="6"/>
        <v>0</v>
      </c>
      <c r="L56" s="58">
        <f t="shared" si="6"/>
        <v>0</v>
      </c>
      <c r="M56" s="58">
        <f t="shared" si="6"/>
        <v>0</v>
      </c>
      <c r="N56" s="58">
        <f t="shared" si="6"/>
        <v>0</v>
      </c>
      <c r="O56" s="58">
        <f t="shared" si="6"/>
        <v>0</v>
      </c>
      <c r="P56" s="58">
        <f t="shared" si="6"/>
        <v>0</v>
      </c>
      <c r="Q56" s="52"/>
    </row>
    <row r="57" spans="1:34" outlineLevel="1" x14ac:dyDescent="0.25">
      <c r="A57" s="7"/>
      <c r="B57" s="38" t="s">
        <v>152</v>
      </c>
      <c r="C57" s="38" t="s">
        <v>133</v>
      </c>
      <c r="D57" s="38" t="s">
        <v>120</v>
      </c>
      <c r="E57" s="40" t="s">
        <v>121</v>
      </c>
      <c r="F57" s="43">
        <f t="shared" si="7"/>
        <v>0</v>
      </c>
      <c r="G57" s="43">
        <f t="shared" si="7"/>
        <v>0</v>
      </c>
      <c r="H57" s="43">
        <f t="shared" si="7"/>
        <v>0</v>
      </c>
      <c r="I57" s="43">
        <f t="shared" si="7"/>
        <v>0</v>
      </c>
      <c r="J57" s="58">
        <f t="shared" si="6"/>
        <v>0</v>
      </c>
      <c r="K57" s="58">
        <f t="shared" si="6"/>
        <v>0</v>
      </c>
      <c r="L57" s="58">
        <f t="shared" si="6"/>
        <v>0</v>
      </c>
      <c r="M57" s="58">
        <f t="shared" si="6"/>
        <v>0</v>
      </c>
      <c r="N57" s="58">
        <f t="shared" si="6"/>
        <v>0</v>
      </c>
      <c r="O57" s="58">
        <f t="shared" si="6"/>
        <v>0</v>
      </c>
      <c r="P57" s="58">
        <f t="shared" si="6"/>
        <v>0</v>
      </c>
      <c r="Q57" s="52"/>
    </row>
    <row r="58" spans="1:34" outlineLevel="1" x14ac:dyDescent="0.25">
      <c r="A58" s="7"/>
      <c r="B58" s="38" t="s">
        <v>152</v>
      </c>
      <c r="C58" s="38" t="s">
        <v>134</v>
      </c>
      <c r="D58" s="38" t="s">
        <v>120</v>
      </c>
      <c r="E58" s="40" t="s">
        <v>121</v>
      </c>
      <c r="F58" s="43">
        <f t="shared" si="7"/>
        <v>0</v>
      </c>
      <c r="G58" s="43">
        <f t="shared" si="7"/>
        <v>0</v>
      </c>
      <c r="H58" s="43">
        <f t="shared" si="7"/>
        <v>0</v>
      </c>
      <c r="I58" s="43">
        <f t="shared" si="7"/>
        <v>0</v>
      </c>
      <c r="J58" s="58">
        <f t="shared" si="6"/>
        <v>0</v>
      </c>
      <c r="K58" s="58">
        <f t="shared" si="6"/>
        <v>0</v>
      </c>
      <c r="L58" s="58">
        <f t="shared" si="6"/>
        <v>0</v>
      </c>
      <c r="M58" s="58">
        <f t="shared" si="6"/>
        <v>0</v>
      </c>
      <c r="N58" s="58">
        <f t="shared" si="6"/>
        <v>0</v>
      </c>
      <c r="O58" s="58">
        <f t="shared" si="6"/>
        <v>0</v>
      </c>
      <c r="P58" s="58">
        <f t="shared" si="6"/>
        <v>0</v>
      </c>
      <c r="Q58" s="52"/>
    </row>
    <row r="59" spans="1:34" outlineLevel="1" x14ac:dyDescent="0.25">
      <c r="A59" s="7"/>
      <c r="B59" s="38" t="s">
        <v>152</v>
      </c>
      <c r="C59" s="38" t="s">
        <v>5</v>
      </c>
      <c r="D59" s="38" t="s">
        <v>120</v>
      </c>
      <c r="E59" s="40" t="s">
        <v>121</v>
      </c>
      <c r="F59" s="43">
        <f t="shared" si="7"/>
        <v>14.111000000000001</v>
      </c>
      <c r="G59" s="43">
        <f t="shared" si="7"/>
        <v>17.201000000000001</v>
      </c>
      <c r="H59" s="43">
        <f t="shared" si="7"/>
        <v>21.187999999999999</v>
      </c>
      <c r="I59" s="43">
        <f t="shared" si="7"/>
        <v>26.67</v>
      </c>
      <c r="J59" s="58">
        <f t="shared" si="6"/>
        <v>27.663</v>
      </c>
      <c r="K59" s="58">
        <f t="shared" si="6"/>
        <v>27.663</v>
      </c>
      <c r="L59" s="58">
        <f t="shared" si="6"/>
        <v>27.663</v>
      </c>
      <c r="M59" s="58">
        <f t="shared" si="6"/>
        <v>27.663</v>
      </c>
      <c r="N59" s="58">
        <f t="shared" si="6"/>
        <v>27.663</v>
      </c>
      <c r="O59" s="58">
        <f t="shared" si="6"/>
        <v>27.663</v>
      </c>
      <c r="P59" s="58">
        <f t="shared" si="6"/>
        <v>27.663</v>
      </c>
      <c r="Q59" s="52"/>
      <c r="R59" s="54">
        <v>14.111000000000001</v>
      </c>
      <c r="S59" s="54">
        <v>14.555999999999999</v>
      </c>
      <c r="T59" s="54">
        <v>15.145</v>
      </c>
      <c r="U59" s="54">
        <v>15.792</v>
      </c>
      <c r="V59" s="54">
        <v>16.510999999999999</v>
      </c>
      <c r="W59" s="54">
        <v>17.201000000000001</v>
      </c>
      <c r="X59" s="54">
        <v>17.952000000000002</v>
      </c>
      <c r="Y59" s="54">
        <v>18.838999999999999</v>
      </c>
      <c r="Z59" s="54">
        <v>19.792999999999999</v>
      </c>
      <c r="AA59" s="54">
        <v>20.452999999999999</v>
      </c>
      <c r="AB59" s="54">
        <v>21.187999999999999</v>
      </c>
      <c r="AC59" s="54">
        <v>21.949000000000002</v>
      </c>
      <c r="AD59" s="54">
        <v>22.815999999999999</v>
      </c>
      <c r="AE59" s="54">
        <v>24.007000000000001</v>
      </c>
      <c r="AF59" s="54">
        <v>25.396999999999998</v>
      </c>
      <c r="AG59" s="54">
        <v>26.67</v>
      </c>
      <c r="AH59" s="54">
        <v>27.663</v>
      </c>
    </row>
    <row r="60" spans="1:34" outlineLevel="1" x14ac:dyDescent="0.25">
      <c r="A60" s="7"/>
      <c r="B60" s="38" t="s">
        <v>152</v>
      </c>
      <c r="C60" s="38" t="s">
        <v>81</v>
      </c>
      <c r="D60" s="38" t="s">
        <v>120</v>
      </c>
      <c r="E60" s="40" t="s">
        <v>121</v>
      </c>
      <c r="F60" s="43">
        <f t="shared" si="7"/>
        <v>0</v>
      </c>
      <c r="G60" s="43">
        <f t="shared" si="7"/>
        <v>0</v>
      </c>
      <c r="H60" s="43">
        <f t="shared" si="7"/>
        <v>0</v>
      </c>
      <c r="I60" s="43">
        <f t="shared" si="7"/>
        <v>0</v>
      </c>
      <c r="J60" s="58">
        <f t="shared" si="6"/>
        <v>0</v>
      </c>
      <c r="K60" s="58">
        <f t="shared" si="6"/>
        <v>0</v>
      </c>
      <c r="L60" s="58">
        <f t="shared" si="6"/>
        <v>0</v>
      </c>
      <c r="M60" s="58">
        <f t="shared" si="6"/>
        <v>0</v>
      </c>
      <c r="N60" s="58">
        <f t="shared" si="6"/>
        <v>0</v>
      </c>
      <c r="O60" s="58">
        <f t="shared" si="6"/>
        <v>0</v>
      </c>
      <c r="P60" s="58">
        <f t="shared" si="6"/>
        <v>0</v>
      </c>
      <c r="Q60" s="52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</row>
    <row r="61" spans="1:34" outlineLevel="1" x14ac:dyDescent="0.25">
      <c r="A61" s="7"/>
      <c r="B61" s="38" t="s">
        <v>152</v>
      </c>
      <c r="C61" s="38" t="s">
        <v>135</v>
      </c>
      <c r="D61" s="38" t="s">
        <v>120</v>
      </c>
      <c r="E61" s="40" t="s">
        <v>121</v>
      </c>
      <c r="F61" s="43">
        <f t="shared" si="7"/>
        <v>0</v>
      </c>
      <c r="G61" s="43">
        <f t="shared" si="7"/>
        <v>0</v>
      </c>
      <c r="H61" s="43">
        <f t="shared" si="7"/>
        <v>0</v>
      </c>
      <c r="I61" s="43">
        <f t="shared" si="7"/>
        <v>0</v>
      </c>
      <c r="J61" s="58">
        <f t="shared" si="6"/>
        <v>0</v>
      </c>
      <c r="K61" s="58">
        <f t="shared" si="6"/>
        <v>0</v>
      </c>
      <c r="L61" s="58">
        <f t="shared" si="6"/>
        <v>0</v>
      </c>
      <c r="M61" s="58">
        <f t="shared" si="6"/>
        <v>0</v>
      </c>
      <c r="N61" s="58">
        <f t="shared" si="6"/>
        <v>0</v>
      </c>
      <c r="O61" s="58">
        <f t="shared" si="6"/>
        <v>0</v>
      </c>
      <c r="P61" s="58">
        <f t="shared" si="6"/>
        <v>0</v>
      </c>
      <c r="Q61" s="52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</row>
    <row r="62" spans="1:34" outlineLevel="1" x14ac:dyDescent="0.25">
      <c r="A62" s="7"/>
      <c r="B62" s="38" t="s">
        <v>152</v>
      </c>
      <c r="C62" s="38" t="s">
        <v>137</v>
      </c>
      <c r="D62" s="38" t="s">
        <v>120</v>
      </c>
      <c r="E62" s="40" t="s">
        <v>121</v>
      </c>
      <c r="F62" s="43">
        <f t="shared" si="7"/>
        <v>0</v>
      </c>
      <c r="G62" s="43">
        <f t="shared" si="7"/>
        <v>0</v>
      </c>
      <c r="H62" s="43">
        <f t="shared" si="7"/>
        <v>0</v>
      </c>
      <c r="I62" s="43">
        <f t="shared" si="7"/>
        <v>0</v>
      </c>
      <c r="J62" s="58">
        <f t="shared" si="6"/>
        <v>0</v>
      </c>
      <c r="K62" s="58">
        <f t="shared" si="6"/>
        <v>0</v>
      </c>
      <c r="L62" s="58">
        <f t="shared" si="6"/>
        <v>0</v>
      </c>
      <c r="M62" s="58">
        <f t="shared" si="6"/>
        <v>0</v>
      </c>
      <c r="N62" s="58">
        <f t="shared" si="6"/>
        <v>0</v>
      </c>
      <c r="O62" s="58">
        <f t="shared" si="6"/>
        <v>0</v>
      </c>
      <c r="P62" s="58">
        <f t="shared" si="6"/>
        <v>0</v>
      </c>
      <c r="Q62" s="52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</row>
    <row r="63" spans="1:34" outlineLevel="1" x14ac:dyDescent="0.25">
      <c r="A63" s="7"/>
      <c r="B63" s="38" t="s">
        <v>152</v>
      </c>
      <c r="C63" s="38" t="s">
        <v>136</v>
      </c>
      <c r="D63" s="38" t="s">
        <v>120</v>
      </c>
      <c r="E63" s="40" t="s">
        <v>121</v>
      </c>
      <c r="F63" s="43">
        <f t="shared" si="7"/>
        <v>0</v>
      </c>
      <c r="G63" s="43">
        <f t="shared" si="7"/>
        <v>0</v>
      </c>
      <c r="H63" s="43">
        <f t="shared" si="7"/>
        <v>0</v>
      </c>
      <c r="I63" s="43">
        <f t="shared" si="7"/>
        <v>0</v>
      </c>
      <c r="J63" s="58">
        <f t="shared" si="6"/>
        <v>0</v>
      </c>
      <c r="K63" s="58">
        <f t="shared" si="6"/>
        <v>0</v>
      </c>
      <c r="L63" s="58">
        <f t="shared" si="6"/>
        <v>0</v>
      </c>
      <c r="M63" s="58">
        <f t="shared" si="6"/>
        <v>0</v>
      </c>
      <c r="N63" s="58">
        <f t="shared" si="6"/>
        <v>0</v>
      </c>
      <c r="O63" s="58">
        <f t="shared" si="6"/>
        <v>0</v>
      </c>
      <c r="P63" s="58">
        <f t="shared" si="6"/>
        <v>0</v>
      </c>
      <c r="Q63" s="52"/>
    </row>
    <row r="64" spans="1:34" outlineLevel="1" x14ac:dyDescent="0.25">
      <c r="A64" s="7"/>
      <c r="B64" s="38" t="s">
        <v>29</v>
      </c>
      <c r="C64" s="38" t="s">
        <v>64</v>
      </c>
      <c r="D64" s="38" t="s">
        <v>120</v>
      </c>
      <c r="E64" s="40" t="s">
        <v>121</v>
      </c>
      <c r="F64" s="43">
        <f t="shared" si="7"/>
        <v>0</v>
      </c>
      <c r="G64" s="43">
        <f t="shared" si="7"/>
        <v>0</v>
      </c>
      <c r="H64" s="43">
        <f t="shared" si="7"/>
        <v>0</v>
      </c>
      <c r="I64" s="43">
        <f t="shared" si="7"/>
        <v>0</v>
      </c>
      <c r="J64" s="58">
        <f t="shared" si="6"/>
        <v>0</v>
      </c>
      <c r="K64" s="58">
        <f t="shared" si="6"/>
        <v>0</v>
      </c>
      <c r="L64" s="58">
        <f t="shared" si="6"/>
        <v>0</v>
      </c>
      <c r="M64" s="58">
        <f t="shared" si="6"/>
        <v>0</v>
      </c>
      <c r="N64" s="58">
        <f t="shared" si="6"/>
        <v>0</v>
      </c>
      <c r="O64" s="58">
        <f t="shared" si="6"/>
        <v>0</v>
      </c>
      <c r="P64" s="58">
        <f t="shared" si="6"/>
        <v>0</v>
      </c>
      <c r="Q64" s="52"/>
    </row>
    <row r="65" spans="1:34" outlineLevel="1" x14ac:dyDescent="0.25">
      <c r="A65" s="7"/>
      <c r="B65" s="38" t="s">
        <v>29</v>
      </c>
      <c r="C65" s="15" t="s">
        <v>127</v>
      </c>
      <c r="D65" s="38" t="s">
        <v>120</v>
      </c>
      <c r="E65" s="40" t="s">
        <v>121</v>
      </c>
      <c r="F65" s="43">
        <f t="shared" si="7"/>
        <v>0</v>
      </c>
      <c r="G65" s="43">
        <f t="shared" si="7"/>
        <v>0</v>
      </c>
      <c r="H65" s="43">
        <f t="shared" si="7"/>
        <v>0</v>
      </c>
      <c r="I65" s="43">
        <f t="shared" si="7"/>
        <v>0</v>
      </c>
      <c r="J65" s="58">
        <f t="shared" si="6"/>
        <v>0</v>
      </c>
      <c r="K65" s="58">
        <f t="shared" si="6"/>
        <v>0</v>
      </c>
      <c r="L65" s="58">
        <f t="shared" si="6"/>
        <v>0</v>
      </c>
      <c r="M65" s="58">
        <f t="shared" si="6"/>
        <v>0</v>
      </c>
      <c r="N65" s="58">
        <f t="shared" si="6"/>
        <v>0</v>
      </c>
      <c r="O65" s="58">
        <f t="shared" si="6"/>
        <v>0</v>
      </c>
      <c r="P65" s="58">
        <f t="shared" si="6"/>
        <v>0</v>
      </c>
      <c r="Q65" s="52"/>
    </row>
    <row r="66" spans="1:34" outlineLevel="1" x14ac:dyDescent="0.25">
      <c r="A66" s="7"/>
      <c r="B66" s="38" t="s">
        <v>29</v>
      </c>
      <c r="C66" s="38" t="s">
        <v>128</v>
      </c>
      <c r="D66" s="38" t="s">
        <v>120</v>
      </c>
      <c r="E66" s="40" t="s">
        <v>121</v>
      </c>
      <c r="F66" s="43">
        <f t="shared" si="7"/>
        <v>0</v>
      </c>
      <c r="G66" s="43">
        <f t="shared" si="7"/>
        <v>0</v>
      </c>
      <c r="H66" s="43">
        <f t="shared" si="7"/>
        <v>0</v>
      </c>
      <c r="I66" s="43">
        <f t="shared" si="7"/>
        <v>0</v>
      </c>
      <c r="J66" s="58">
        <f t="shared" si="6"/>
        <v>0</v>
      </c>
      <c r="K66" s="58">
        <f t="shared" si="6"/>
        <v>0</v>
      </c>
      <c r="L66" s="58">
        <f t="shared" si="6"/>
        <v>0</v>
      </c>
      <c r="M66" s="58">
        <f t="shared" si="6"/>
        <v>0</v>
      </c>
      <c r="N66" s="58">
        <f t="shared" si="6"/>
        <v>0</v>
      </c>
      <c r="O66" s="58">
        <f t="shared" si="6"/>
        <v>0</v>
      </c>
      <c r="P66" s="58">
        <f t="shared" si="6"/>
        <v>0</v>
      </c>
      <c r="Q66" s="52"/>
    </row>
    <row r="67" spans="1:34" outlineLevel="1" x14ac:dyDescent="0.25">
      <c r="A67" s="7"/>
      <c r="B67" s="38" t="s">
        <v>29</v>
      </c>
      <c r="C67" s="38" t="s">
        <v>129</v>
      </c>
      <c r="D67" s="38" t="s">
        <v>120</v>
      </c>
      <c r="E67" s="40" t="s">
        <v>121</v>
      </c>
      <c r="F67" s="43">
        <f t="shared" si="7"/>
        <v>0</v>
      </c>
      <c r="G67" s="43">
        <f t="shared" si="7"/>
        <v>0</v>
      </c>
      <c r="H67" s="43">
        <f t="shared" si="7"/>
        <v>0</v>
      </c>
      <c r="I67" s="43">
        <f t="shared" si="7"/>
        <v>0</v>
      </c>
      <c r="J67" s="58">
        <f t="shared" si="6"/>
        <v>0</v>
      </c>
      <c r="K67" s="58">
        <f t="shared" si="6"/>
        <v>0</v>
      </c>
      <c r="L67" s="58">
        <f t="shared" si="6"/>
        <v>0</v>
      </c>
      <c r="M67" s="58">
        <f t="shared" si="6"/>
        <v>0</v>
      </c>
      <c r="N67" s="58">
        <f t="shared" si="6"/>
        <v>0</v>
      </c>
      <c r="O67" s="58">
        <f t="shared" si="6"/>
        <v>0</v>
      </c>
      <c r="P67" s="58">
        <f t="shared" si="6"/>
        <v>0</v>
      </c>
      <c r="Q67" s="52"/>
    </row>
    <row r="68" spans="1:34" outlineLevel="1" x14ac:dyDescent="0.25">
      <c r="A68" s="7"/>
      <c r="B68" s="38" t="s">
        <v>29</v>
      </c>
      <c r="C68" s="38" t="s">
        <v>130</v>
      </c>
      <c r="D68" s="38" t="s">
        <v>120</v>
      </c>
      <c r="E68" s="40" t="s">
        <v>121</v>
      </c>
      <c r="F68" s="43">
        <f t="shared" ref="F68:I83" si="8">INDEX($R68:$BZ68,MATCH(F$1,$R$1:$BZ$1,0))</f>
        <v>0</v>
      </c>
      <c r="G68" s="43">
        <f t="shared" si="8"/>
        <v>0</v>
      </c>
      <c r="H68" s="43">
        <f t="shared" si="8"/>
        <v>0</v>
      </c>
      <c r="I68" s="43">
        <f t="shared" si="8"/>
        <v>0</v>
      </c>
      <c r="J68" s="58">
        <f t="shared" si="6"/>
        <v>0</v>
      </c>
      <c r="K68" s="58">
        <f t="shared" si="6"/>
        <v>0</v>
      </c>
      <c r="L68" s="58">
        <f t="shared" si="6"/>
        <v>0</v>
      </c>
      <c r="M68" s="58">
        <f t="shared" si="6"/>
        <v>0</v>
      </c>
      <c r="N68" s="58">
        <f t="shared" si="6"/>
        <v>0</v>
      </c>
      <c r="O68" s="58">
        <f t="shared" si="6"/>
        <v>0</v>
      </c>
      <c r="P68" s="58">
        <f t="shared" si="6"/>
        <v>0</v>
      </c>
      <c r="Q68" s="52"/>
    </row>
    <row r="69" spans="1:34" outlineLevel="1" x14ac:dyDescent="0.25">
      <c r="A69" s="7"/>
      <c r="B69" s="38" t="s">
        <v>29</v>
      </c>
      <c r="C69" s="38" t="s">
        <v>131</v>
      </c>
      <c r="D69" s="38" t="s">
        <v>120</v>
      </c>
      <c r="E69" s="40" t="s">
        <v>121</v>
      </c>
      <c r="F69" s="43">
        <f t="shared" si="8"/>
        <v>0</v>
      </c>
      <c r="G69" s="43">
        <f t="shared" si="8"/>
        <v>0</v>
      </c>
      <c r="H69" s="43">
        <f t="shared" si="8"/>
        <v>0</v>
      </c>
      <c r="I69" s="43">
        <f t="shared" si="8"/>
        <v>0</v>
      </c>
      <c r="J69" s="58">
        <f t="shared" si="6"/>
        <v>0</v>
      </c>
      <c r="K69" s="58">
        <f t="shared" si="6"/>
        <v>0</v>
      </c>
      <c r="L69" s="58">
        <f t="shared" si="6"/>
        <v>0</v>
      </c>
      <c r="M69" s="58">
        <f t="shared" si="6"/>
        <v>0</v>
      </c>
      <c r="N69" s="58">
        <f t="shared" si="6"/>
        <v>0</v>
      </c>
      <c r="O69" s="58">
        <f t="shared" si="6"/>
        <v>0</v>
      </c>
      <c r="P69" s="58">
        <f t="shared" si="6"/>
        <v>0</v>
      </c>
      <c r="Q69" s="52"/>
    </row>
    <row r="70" spans="1:34" outlineLevel="1" x14ac:dyDescent="0.25">
      <c r="A70" s="7"/>
      <c r="B70" s="38" t="s">
        <v>29</v>
      </c>
      <c r="C70" s="38" t="s">
        <v>132</v>
      </c>
      <c r="D70" s="38" t="s">
        <v>120</v>
      </c>
      <c r="E70" s="40" t="s">
        <v>121</v>
      </c>
      <c r="F70" s="43">
        <f t="shared" si="8"/>
        <v>0</v>
      </c>
      <c r="G70" s="43">
        <f t="shared" si="8"/>
        <v>0</v>
      </c>
      <c r="H70" s="43">
        <f t="shared" si="8"/>
        <v>0</v>
      </c>
      <c r="I70" s="43">
        <f t="shared" si="8"/>
        <v>0</v>
      </c>
      <c r="J70" s="58">
        <f t="shared" si="6"/>
        <v>0</v>
      </c>
      <c r="K70" s="58">
        <f t="shared" si="6"/>
        <v>0</v>
      </c>
      <c r="L70" s="58">
        <f t="shared" si="6"/>
        <v>0</v>
      </c>
      <c r="M70" s="58">
        <f t="shared" si="6"/>
        <v>0</v>
      </c>
      <c r="N70" s="58">
        <f t="shared" si="6"/>
        <v>0</v>
      </c>
      <c r="O70" s="58">
        <f t="shared" si="6"/>
        <v>0</v>
      </c>
      <c r="P70" s="58">
        <f t="shared" si="6"/>
        <v>0</v>
      </c>
      <c r="Q70" s="52"/>
    </row>
    <row r="71" spans="1:34" outlineLevel="1" x14ac:dyDescent="0.25">
      <c r="A71" s="7"/>
      <c r="B71" s="38" t="s">
        <v>29</v>
      </c>
      <c r="C71" s="38" t="s">
        <v>133</v>
      </c>
      <c r="D71" s="38" t="s">
        <v>120</v>
      </c>
      <c r="E71" s="40" t="s">
        <v>121</v>
      </c>
      <c r="F71" s="43">
        <f t="shared" si="8"/>
        <v>0</v>
      </c>
      <c r="G71" s="43">
        <f t="shared" si="8"/>
        <v>0</v>
      </c>
      <c r="H71" s="43">
        <f t="shared" si="8"/>
        <v>0</v>
      </c>
      <c r="I71" s="43">
        <f t="shared" si="8"/>
        <v>0</v>
      </c>
      <c r="J71" s="58">
        <f t="shared" si="6"/>
        <v>0</v>
      </c>
      <c r="K71" s="58">
        <f t="shared" si="6"/>
        <v>0</v>
      </c>
      <c r="L71" s="58">
        <f t="shared" si="6"/>
        <v>0</v>
      </c>
      <c r="M71" s="58">
        <f t="shared" si="6"/>
        <v>0</v>
      </c>
      <c r="N71" s="58">
        <f t="shared" si="6"/>
        <v>0</v>
      </c>
      <c r="O71" s="58">
        <f t="shared" si="6"/>
        <v>0</v>
      </c>
      <c r="P71" s="58">
        <f t="shared" si="6"/>
        <v>0</v>
      </c>
      <c r="Q71" s="52"/>
    </row>
    <row r="72" spans="1:34" outlineLevel="1" x14ac:dyDescent="0.25">
      <c r="A72" s="7"/>
      <c r="B72" s="38" t="s">
        <v>29</v>
      </c>
      <c r="C72" s="38" t="s">
        <v>134</v>
      </c>
      <c r="D72" s="38" t="s">
        <v>120</v>
      </c>
      <c r="E72" s="40" t="s">
        <v>121</v>
      </c>
      <c r="F72" s="43">
        <f t="shared" si="8"/>
        <v>0</v>
      </c>
      <c r="G72" s="43">
        <f t="shared" si="8"/>
        <v>0</v>
      </c>
      <c r="H72" s="43">
        <f t="shared" si="8"/>
        <v>0</v>
      </c>
      <c r="I72" s="43">
        <f t="shared" si="8"/>
        <v>0</v>
      </c>
      <c r="J72" s="58">
        <f t="shared" si="6"/>
        <v>0</v>
      </c>
      <c r="K72" s="58">
        <f t="shared" si="6"/>
        <v>0</v>
      </c>
      <c r="L72" s="58">
        <f t="shared" si="6"/>
        <v>0</v>
      </c>
      <c r="M72" s="58">
        <f t="shared" ref="J72:P91" si="9">$AH72</f>
        <v>0</v>
      </c>
      <c r="N72" s="58">
        <f t="shared" si="9"/>
        <v>0</v>
      </c>
      <c r="O72" s="58">
        <f t="shared" si="9"/>
        <v>0</v>
      </c>
      <c r="P72" s="58">
        <f t="shared" si="9"/>
        <v>0</v>
      </c>
      <c r="Q72" s="52"/>
    </row>
    <row r="73" spans="1:34" outlineLevel="1" x14ac:dyDescent="0.25">
      <c r="A73" s="7"/>
      <c r="B73" s="38" t="s">
        <v>29</v>
      </c>
      <c r="C73" s="38" t="s">
        <v>5</v>
      </c>
      <c r="D73" s="38" t="s">
        <v>120</v>
      </c>
      <c r="E73" s="40" t="s">
        <v>121</v>
      </c>
      <c r="F73" s="43">
        <f t="shared" si="8"/>
        <v>20.414000000000001</v>
      </c>
      <c r="G73" s="43">
        <f t="shared" si="8"/>
        <v>24.308</v>
      </c>
      <c r="H73" s="43">
        <f t="shared" si="8"/>
        <v>29.071000000000002</v>
      </c>
      <c r="I73" s="43">
        <f t="shared" si="8"/>
        <v>34.631</v>
      </c>
      <c r="J73" s="58">
        <f t="shared" si="9"/>
        <v>35.563000000000002</v>
      </c>
      <c r="K73" s="58">
        <f t="shared" si="9"/>
        <v>35.563000000000002</v>
      </c>
      <c r="L73" s="58">
        <f t="shared" si="9"/>
        <v>35.563000000000002</v>
      </c>
      <c r="M73" s="58">
        <f t="shared" si="9"/>
        <v>35.563000000000002</v>
      </c>
      <c r="N73" s="58">
        <f t="shared" si="9"/>
        <v>35.563000000000002</v>
      </c>
      <c r="O73" s="58">
        <f t="shared" si="9"/>
        <v>35.563000000000002</v>
      </c>
      <c r="P73" s="58">
        <f t="shared" si="9"/>
        <v>35.563000000000002</v>
      </c>
      <c r="Q73" s="52"/>
      <c r="R73" s="54">
        <v>20.414000000000001</v>
      </c>
      <c r="S73" s="54">
        <v>21.052</v>
      </c>
      <c r="T73" s="54">
        <v>21.728000000000002</v>
      </c>
      <c r="U73" s="54">
        <v>22.617999999999999</v>
      </c>
      <c r="V73" s="54">
        <v>23.516999999999999</v>
      </c>
      <c r="W73" s="54">
        <v>24.308</v>
      </c>
      <c r="X73" s="54">
        <v>25.233000000000001</v>
      </c>
      <c r="Y73" s="54">
        <v>26.024999999999999</v>
      </c>
      <c r="Z73" s="54">
        <v>27.22</v>
      </c>
      <c r="AA73" s="54">
        <v>28.303000000000001</v>
      </c>
      <c r="AB73" s="54">
        <v>29.071000000000002</v>
      </c>
      <c r="AC73" s="54">
        <v>29.616</v>
      </c>
      <c r="AD73" s="54">
        <v>30.26</v>
      </c>
      <c r="AE73" s="54">
        <v>31.456</v>
      </c>
      <c r="AF73" s="54">
        <v>32.889000000000003</v>
      </c>
      <c r="AG73" s="54">
        <v>34.631</v>
      </c>
      <c r="AH73" s="54">
        <v>35.563000000000002</v>
      </c>
    </row>
    <row r="74" spans="1:34" outlineLevel="1" x14ac:dyDescent="0.25">
      <c r="A74" s="7"/>
      <c r="B74" s="38" t="s">
        <v>29</v>
      </c>
      <c r="C74" s="38" t="s">
        <v>81</v>
      </c>
      <c r="D74" s="38" t="s">
        <v>120</v>
      </c>
      <c r="E74" s="40" t="s">
        <v>121</v>
      </c>
      <c r="F74" s="43">
        <f t="shared" si="8"/>
        <v>0</v>
      </c>
      <c r="G74" s="43">
        <f t="shared" si="8"/>
        <v>0</v>
      </c>
      <c r="H74" s="43">
        <f t="shared" si="8"/>
        <v>0</v>
      </c>
      <c r="I74" s="43">
        <f t="shared" si="8"/>
        <v>0</v>
      </c>
      <c r="J74" s="58">
        <f t="shared" si="9"/>
        <v>0</v>
      </c>
      <c r="K74" s="58">
        <f t="shared" si="9"/>
        <v>0</v>
      </c>
      <c r="L74" s="58">
        <f t="shared" si="9"/>
        <v>0</v>
      </c>
      <c r="M74" s="58">
        <f t="shared" si="9"/>
        <v>0</v>
      </c>
      <c r="N74" s="58">
        <f t="shared" si="9"/>
        <v>0</v>
      </c>
      <c r="O74" s="58">
        <f t="shared" si="9"/>
        <v>0</v>
      </c>
      <c r="P74" s="58">
        <f t="shared" si="9"/>
        <v>0</v>
      </c>
      <c r="Q74" s="52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</row>
    <row r="75" spans="1:34" outlineLevel="1" x14ac:dyDescent="0.25">
      <c r="A75" s="7"/>
      <c r="B75" s="38" t="s">
        <v>29</v>
      </c>
      <c r="C75" s="38" t="s">
        <v>135</v>
      </c>
      <c r="D75" s="38" t="s">
        <v>120</v>
      </c>
      <c r="E75" s="40" t="s">
        <v>121</v>
      </c>
      <c r="F75" s="43">
        <f t="shared" si="8"/>
        <v>0</v>
      </c>
      <c r="G75" s="43">
        <f t="shared" si="8"/>
        <v>0</v>
      </c>
      <c r="H75" s="43">
        <f t="shared" si="8"/>
        <v>0</v>
      </c>
      <c r="I75" s="43">
        <f t="shared" si="8"/>
        <v>0</v>
      </c>
      <c r="J75" s="58">
        <f t="shared" si="9"/>
        <v>0</v>
      </c>
      <c r="K75" s="58">
        <f t="shared" si="9"/>
        <v>0</v>
      </c>
      <c r="L75" s="58">
        <f t="shared" si="9"/>
        <v>0</v>
      </c>
      <c r="M75" s="58">
        <f t="shared" si="9"/>
        <v>0</v>
      </c>
      <c r="N75" s="58">
        <f t="shared" si="9"/>
        <v>0</v>
      </c>
      <c r="O75" s="58">
        <f t="shared" si="9"/>
        <v>0</v>
      </c>
      <c r="P75" s="58">
        <f t="shared" si="9"/>
        <v>0</v>
      </c>
      <c r="Q75" s="52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</row>
    <row r="76" spans="1:34" outlineLevel="1" x14ac:dyDescent="0.25">
      <c r="A76" s="7"/>
      <c r="B76" s="38" t="s">
        <v>29</v>
      </c>
      <c r="C76" s="38" t="s">
        <v>137</v>
      </c>
      <c r="D76" s="38" t="s">
        <v>120</v>
      </c>
      <c r="E76" s="40" t="s">
        <v>121</v>
      </c>
      <c r="F76" s="43">
        <f t="shared" si="8"/>
        <v>0</v>
      </c>
      <c r="G76" s="43">
        <f t="shared" si="8"/>
        <v>0</v>
      </c>
      <c r="H76" s="43">
        <f t="shared" si="8"/>
        <v>0</v>
      </c>
      <c r="I76" s="43">
        <f t="shared" si="8"/>
        <v>0</v>
      </c>
      <c r="J76" s="58">
        <f t="shared" si="9"/>
        <v>0</v>
      </c>
      <c r="K76" s="58">
        <f t="shared" si="9"/>
        <v>0</v>
      </c>
      <c r="L76" s="58">
        <f t="shared" si="9"/>
        <v>0</v>
      </c>
      <c r="M76" s="58">
        <f t="shared" si="9"/>
        <v>0</v>
      </c>
      <c r="N76" s="58">
        <f t="shared" si="9"/>
        <v>0</v>
      </c>
      <c r="O76" s="58">
        <f t="shared" si="9"/>
        <v>0</v>
      </c>
      <c r="P76" s="58">
        <f t="shared" si="9"/>
        <v>0</v>
      </c>
      <c r="Q76" s="52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</row>
    <row r="77" spans="1:34" outlineLevel="1" x14ac:dyDescent="0.25">
      <c r="A77" s="7"/>
      <c r="B77" s="38" t="s">
        <v>29</v>
      </c>
      <c r="C77" s="38" t="s">
        <v>136</v>
      </c>
      <c r="D77" s="38" t="s">
        <v>120</v>
      </c>
      <c r="E77" s="40" t="s">
        <v>121</v>
      </c>
      <c r="F77" s="43">
        <f t="shared" si="8"/>
        <v>0</v>
      </c>
      <c r="G77" s="43">
        <f t="shared" si="8"/>
        <v>0</v>
      </c>
      <c r="H77" s="43">
        <f t="shared" si="8"/>
        <v>0</v>
      </c>
      <c r="I77" s="43">
        <f t="shared" si="8"/>
        <v>0</v>
      </c>
      <c r="J77" s="58">
        <f t="shared" si="9"/>
        <v>0</v>
      </c>
      <c r="K77" s="58">
        <f t="shared" si="9"/>
        <v>0</v>
      </c>
      <c r="L77" s="58">
        <f t="shared" si="9"/>
        <v>0</v>
      </c>
      <c r="M77" s="58">
        <f t="shared" si="9"/>
        <v>0</v>
      </c>
      <c r="N77" s="58">
        <f t="shared" si="9"/>
        <v>0</v>
      </c>
      <c r="O77" s="58">
        <f t="shared" si="9"/>
        <v>0</v>
      </c>
      <c r="P77" s="58">
        <f t="shared" si="9"/>
        <v>0</v>
      </c>
      <c r="Q77" s="52"/>
    </row>
    <row r="78" spans="1:34" outlineLevel="1" x14ac:dyDescent="0.25">
      <c r="A78" s="7"/>
      <c r="B78" s="38" t="s">
        <v>30</v>
      </c>
      <c r="C78" s="38" t="s">
        <v>64</v>
      </c>
      <c r="D78" s="38" t="s">
        <v>120</v>
      </c>
      <c r="E78" s="40" t="s">
        <v>121</v>
      </c>
      <c r="F78" s="43">
        <f t="shared" si="8"/>
        <v>0</v>
      </c>
      <c r="G78" s="43">
        <f t="shared" si="8"/>
        <v>0</v>
      </c>
      <c r="H78" s="43">
        <f t="shared" si="8"/>
        <v>0</v>
      </c>
      <c r="I78" s="43">
        <f t="shared" si="8"/>
        <v>0</v>
      </c>
      <c r="J78" s="58">
        <f t="shared" si="9"/>
        <v>0</v>
      </c>
      <c r="K78" s="58">
        <f t="shared" si="9"/>
        <v>0</v>
      </c>
      <c r="L78" s="58">
        <f t="shared" si="9"/>
        <v>0</v>
      </c>
      <c r="M78" s="58">
        <f t="shared" si="9"/>
        <v>0</v>
      </c>
      <c r="N78" s="58">
        <f t="shared" si="9"/>
        <v>0</v>
      </c>
      <c r="O78" s="58">
        <f t="shared" si="9"/>
        <v>0</v>
      </c>
      <c r="P78" s="58">
        <f t="shared" si="9"/>
        <v>0</v>
      </c>
      <c r="Q78" s="52"/>
    </row>
    <row r="79" spans="1:34" outlineLevel="1" x14ac:dyDescent="0.25">
      <c r="A79" s="7"/>
      <c r="B79" s="38" t="s">
        <v>30</v>
      </c>
      <c r="C79" s="15" t="s">
        <v>127</v>
      </c>
      <c r="D79" s="38" t="s">
        <v>120</v>
      </c>
      <c r="E79" s="40" t="s">
        <v>121</v>
      </c>
      <c r="F79" s="43">
        <f t="shared" si="8"/>
        <v>0</v>
      </c>
      <c r="G79" s="43">
        <f t="shared" si="8"/>
        <v>0</v>
      </c>
      <c r="H79" s="43">
        <f t="shared" si="8"/>
        <v>0</v>
      </c>
      <c r="I79" s="43">
        <f t="shared" si="8"/>
        <v>0</v>
      </c>
      <c r="J79" s="58">
        <f t="shared" si="9"/>
        <v>0</v>
      </c>
      <c r="K79" s="58">
        <f t="shared" si="9"/>
        <v>0</v>
      </c>
      <c r="L79" s="58">
        <f t="shared" si="9"/>
        <v>0</v>
      </c>
      <c r="M79" s="58">
        <f t="shared" si="9"/>
        <v>0</v>
      </c>
      <c r="N79" s="58">
        <f t="shared" si="9"/>
        <v>0</v>
      </c>
      <c r="O79" s="58">
        <f t="shared" si="9"/>
        <v>0</v>
      </c>
      <c r="P79" s="58">
        <f t="shared" si="9"/>
        <v>0</v>
      </c>
      <c r="Q79" s="52"/>
    </row>
    <row r="80" spans="1:34" outlineLevel="1" x14ac:dyDescent="0.25">
      <c r="A80" s="7"/>
      <c r="B80" s="38" t="s">
        <v>30</v>
      </c>
      <c r="C80" s="38" t="s">
        <v>128</v>
      </c>
      <c r="D80" s="38" t="s">
        <v>120</v>
      </c>
      <c r="E80" s="40" t="s">
        <v>121</v>
      </c>
      <c r="F80" s="43">
        <f t="shared" si="8"/>
        <v>0</v>
      </c>
      <c r="G80" s="43">
        <f t="shared" si="8"/>
        <v>0</v>
      </c>
      <c r="H80" s="43">
        <f t="shared" si="8"/>
        <v>0</v>
      </c>
      <c r="I80" s="43">
        <f t="shared" si="8"/>
        <v>0</v>
      </c>
      <c r="J80" s="58">
        <f t="shared" si="9"/>
        <v>0</v>
      </c>
      <c r="K80" s="58">
        <f t="shared" si="9"/>
        <v>0</v>
      </c>
      <c r="L80" s="58">
        <f t="shared" si="9"/>
        <v>0</v>
      </c>
      <c r="M80" s="58">
        <f t="shared" si="9"/>
        <v>0</v>
      </c>
      <c r="N80" s="58">
        <f t="shared" si="9"/>
        <v>0</v>
      </c>
      <c r="O80" s="58">
        <f t="shared" si="9"/>
        <v>0</v>
      </c>
      <c r="P80" s="58">
        <f t="shared" si="9"/>
        <v>0</v>
      </c>
      <c r="Q80" s="52"/>
    </row>
    <row r="81" spans="1:34" outlineLevel="1" x14ac:dyDescent="0.25">
      <c r="A81" s="7"/>
      <c r="B81" s="38" t="s">
        <v>30</v>
      </c>
      <c r="C81" s="38" t="s">
        <v>129</v>
      </c>
      <c r="D81" s="38" t="s">
        <v>120</v>
      </c>
      <c r="E81" s="40" t="s">
        <v>121</v>
      </c>
      <c r="F81" s="43">
        <f t="shared" si="8"/>
        <v>0</v>
      </c>
      <c r="G81" s="43">
        <f t="shared" si="8"/>
        <v>0</v>
      </c>
      <c r="H81" s="43">
        <f t="shared" si="8"/>
        <v>0</v>
      </c>
      <c r="I81" s="43">
        <f t="shared" si="8"/>
        <v>0</v>
      </c>
      <c r="J81" s="58">
        <f t="shared" si="9"/>
        <v>0</v>
      </c>
      <c r="K81" s="58">
        <f t="shared" si="9"/>
        <v>0</v>
      </c>
      <c r="L81" s="58">
        <f t="shared" si="9"/>
        <v>0</v>
      </c>
      <c r="M81" s="58">
        <f t="shared" si="9"/>
        <v>0</v>
      </c>
      <c r="N81" s="58">
        <f t="shared" si="9"/>
        <v>0</v>
      </c>
      <c r="O81" s="58">
        <f t="shared" si="9"/>
        <v>0</v>
      </c>
      <c r="P81" s="58">
        <f t="shared" si="9"/>
        <v>0</v>
      </c>
      <c r="Q81" s="52"/>
    </row>
    <row r="82" spans="1:34" outlineLevel="1" x14ac:dyDescent="0.25">
      <c r="A82" s="7"/>
      <c r="B82" s="38" t="s">
        <v>30</v>
      </c>
      <c r="C82" s="38" t="s">
        <v>130</v>
      </c>
      <c r="D82" s="38" t="s">
        <v>120</v>
      </c>
      <c r="E82" s="40" t="s">
        <v>121</v>
      </c>
      <c r="F82" s="43">
        <f t="shared" si="8"/>
        <v>0</v>
      </c>
      <c r="G82" s="43">
        <f t="shared" si="8"/>
        <v>0</v>
      </c>
      <c r="H82" s="43">
        <f t="shared" si="8"/>
        <v>0</v>
      </c>
      <c r="I82" s="43">
        <f t="shared" si="8"/>
        <v>0</v>
      </c>
      <c r="J82" s="58">
        <f t="shared" si="9"/>
        <v>0</v>
      </c>
      <c r="K82" s="58">
        <f t="shared" si="9"/>
        <v>0</v>
      </c>
      <c r="L82" s="58">
        <f t="shared" si="9"/>
        <v>0</v>
      </c>
      <c r="M82" s="58">
        <f t="shared" si="9"/>
        <v>0</v>
      </c>
      <c r="N82" s="58">
        <f t="shared" si="9"/>
        <v>0</v>
      </c>
      <c r="O82" s="58">
        <f t="shared" si="9"/>
        <v>0</v>
      </c>
      <c r="P82" s="58">
        <f t="shared" si="9"/>
        <v>0</v>
      </c>
      <c r="Q82" s="52"/>
    </row>
    <row r="83" spans="1:34" outlineLevel="1" x14ac:dyDescent="0.25">
      <c r="A83" s="7"/>
      <c r="B83" s="38" t="s">
        <v>30</v>
      </c>
      <c r="C83" s="38" t="s">
        <v>131</v>
      </c>
      <c r="D83" s="38" t="s">
        <v>120</v>
      </c>
      <c r="E83" s="40" t="s">
        <v>121</v>
      </c>
      <c r="F83" s="43">
        <f t="shared" si="8"/>
        <v>0</v>
      </c>
      <c r="G83" s="43">
        <f t="shared" si="8"/>
        <v>0</v>
      </c>
      <c r="H83" s="43">
        <f t="shared" si="8"/>
        <v>0</v>
      </c>
      <c r="I83" s="43">
        <f t="shared" si="8"/>
        <v>0</v>
      </c>
      <c r="J83" s="58">
        <f t="shared" si="9"/>
        <v>0</v>
      </c>
      <c r="K83" s="58">
        <f t="shared" si="9"/>
        <v>0</v>
      </c>
      <c r="L83" s="58">
        <f t="shared" si="9"/>
        <v>0</v>
      </c>
      <c r="M83" s="58">
        <f t="shared" si="9"/>
        <v>0</v>
      </c>
      <c r="N83" s="58">
        <f t="shared" si="9"/>
        <v>0</v>
      </c>
      <c r="O83" s="58">
        <f t="shared" si="9"/>
        <v>0</v>
      </c>
      <c r="P83" s="58">
        <f t="shared" si="9"/>
        <v>0</v>
      </c>
      <c r="Q83" s="52"/>
    </row>
    <row r="84" spans="1:34" outlineLevel="1" x14ac:dyDescent="0.25">
      <c r="A84" s="7"/>
      <c r="B84" s="38" t="s">
        <v>30</v>
      </c>
      <c r="C84" s="38" t="s">
        <v>132</v>
      </c>
      <c r="D84" s="38" t="s">
        <v>120</v>
      </c>
      <c r="E84" s="40" t="s">
        <v>121</v>
      </c>
      <c r="F84" s="43">
        <f t="shared" ref="F84:I91" si="10">INDEX($R84:$BZ84,MATCH(F$1,$R$1:$BZ$1,0))</f>
        <v>0</v>
      </c>
      <c r="G84" s="43">
        <f t="shared" si="10"/>
        <v>0</v>
      </c>
      <c r="H84" s="43">
        <f t="shared" si="10"/>
        <v>0</v>
      </c>
      <c r="I84" s="43">
        <f t="shared" si="10"/>
        <v>0</v>
      </c>
      <c r="J84" s="58">
        <f t="shared" si="9"/>
        <v>0</v>
      </c>
      <c r="K84" s="58">
        <f t="shared" si="9"/>
        <v>0</v>
      </c>
      <c r="L84" s="58">
        <f t="shared" si="9"/>
        <v>0</v>
      </c>
      <c r="M84" s="58">
        <f t="shared" si="9"/>
        <v>0</v>
      </c>
      <c r="N84" s="58">
        <f t="shared" si="9"/>
        <v>0</v>
      </c>
      <c r="O84" s="58">
        <f t="shared" si="9"/>
        <v>0</v>
      </c>
      <c r="P84" s="58">
        <f t="shared" si="9"/>
        <v>0</v>
      </c>
      <c r="Q84" s="52"/>
    </row>
    <row r="85" spans="1:34" outlineLevel="1" x14ac:dyDescent="0.25">
      <c r="A85" s="7"/>
      <c r="B85" s="38" t="s">
        <v>30</v>
      </c>
      <c r="C85" s="38" t="s">
        <v>133</v>
      </c>
      <c r="D85" s="38" t="s">
        <v>120</v>
      </c>
      <c r="E85" s="40" t="s">
        <v>121</v>
      </c>
      <c r="F85" s="43">
        <f t="shared" si="10"/>
        <v>0</v>
      </c>
      <c r="G85" s="43">
        <f t="shared" si="10"/>
        <v>0</v>
      </c>
      <c r="H85" s="43">
        <f t="shared" si="10"/>
        <v>0</v>
      </c>
      <c r="I85" s="43">
        <f t="shared" si="10"/>
        <v>0</v>
      </c>
      <c r="J85" s="58">
        <f t="shared" si="9"/>
        <v>0</v>
      </c>
      <c r="K85" s="58">
        <f t="shared" si="9"/>
        <v>0</v>
      </c>
      <c r="L85" s="58">
        <f t="shared" si="9"/>
        <v>0</v>
      </c>
      <c r="M85" s="58">
        <f t="shared" si="9"/>
        <v>0</v>
      </c>
      <c r="N85" s="58">
        <f t="shared" si="9"/>
        <v>0</v>
      </c>
      <c r="O85" s="58">
        <f t="shared" si="9"/>
        <v>0</v>
      </c>
      <c r="P85" s="58">
        <f t="shared" si="9"/>
        <v>0</v>
      </c>
      <c r="Q85" s="52"/>
    </row>
    <row r="86" spans="1:34" outlineLevel="1" x14ac:dyDescent="0.25">
      <c r="A86" s="7"/>
      <c r="B86" s="38" t="s">
        <v>30</v>
      </c>
      <c r="C86" s="38" t="s">
        <v>134</v>
      </c>
      <c r="D86" s="38" t="s">
        <v>120</v>
      </c>
      <c r="E86" s="40" t="s">
        <v>121</v>
      </c>
      <c r="F86" s="43">
        <f t="shared" si="10"/>
        <v>0</v>
      </c>
      <c r="G86" s="43">
        <f t="shared" si="10"/>
        <v>0</v>
      </c>
      <c r="H86" s="43">
        <f t="shared" si="10"/>
        <v>0</v>
      </c>
      <c r="I86" s="43">
        <f t="shared" si="10"/>
        <v>0</v>
      </c>
      <c r="J86" s="58">
        <f t="shared" si="9"/>
        <v>0</v>
      </c>
      <c r="K86" s="58">
        <f t="shared" si="9"/>
        <v>0</v>
      </c>
      <c r="L86" s="58">
        <f t="shared" si="9"/>
        <v>0</v>
      </c>
      <c r="M86" s="58">
        <f t="shared" si="9"/>
        <v>0</v>
      </c>
      <c r="N86" s="58">
        <f t="shared" si="9"/>
        <v>0</v>
      </c>
      <c r="O86" s="58">
        <f t="shared" si="9"/>
        <v>0</v>
      </c>
      <c r="P86" s="58">
        <f t="shared" si="9"/>
        <v>0</v>
      </c>
      <c r="Q86" s="52"/>
    </row>
    <row r="87" spans="1:34" outlineLevel="1" x14ac:dyDescent="0.25">
      <c r="A87" s="7"/>
      <c r="B87" s="38" t="s">
        <v>30</v>
      </c>
      <c r="C87" s="38" t="s">
        <v>5</v>
      </c>
      <c r="D87" s="38" t="s">
        <v>120</v>
      </c>
      <c r="E87" s="40" t="s">
        <v>121</v>
      </c>
      <c r="F87" s="43">
        <f t="shared" si="10"/>
        <v>4.6909999999999998</v>
      </c>
      <c r="G87" s="43">
        <f t="shared" si="10"/>
        <v>5.3550000000000004</v>
      </c>
      <c r="H87" s="43">
        <f t="shared" si="10"/>
        <v>6.0590000000000002</v>
      </c>
      <c r="I87" s="43">
        <f t="shared" si="10"/>
        <v>6.6749999999999998</v>
      </c>
      <c r="J87" s="58">
        <f t="shared" si="9"/>
        <v>6.8070000000000004</v>
      </c>
      <c r="K87" s="58">
        <f t="shared" si="9"/>
        <v>6.8070000000000004</v>
      </c>
      <c r="L87" s="58">
        <f t="shared" si="9"/>
        <v>6.8070000000000004</v>
      </c>
      <c r="M87" s="58">
        <f t="shared" si="9"/>
        <v>6.8070000000000004</v>
      </c>
      <c r="N87" s="58">
        <f t="shared" si="9"/>
        <v>6.8070000000000004</v>
      </c>
      <c r="O87" s="58">
        <f t="shared" si="9"/>
        <v>6.8070000000000004</v>
      </c>
      <c r="P87" s="58">
        <f t="shared" si="9"/>
        <v>6.8070000000000004</v>
      </c>
      <c r="Q87" s="52"/>
      <c r="R87" s="54">
        <v>4.6909999999999998</v>
      </c>
      <c r="S87" s="54">
        <v>4.8019999999999996</v>
      </c>
      <c r="T87" s="54">
        <v>4.9349999999999996</v>
      </c>
      <c r="U87" s="54">
        <v>5.0750000000000002</v>
      </c>
      <c r="V87" s="54">
        <v>5.2069999999999999</v>
      </c>
      <c r="W87" s="54">
        <v>5.3550000000000004</v>
      </c>
      <c r="X87" s="54">
        <v>5.5220000000000002</v>
      </c>
      <c r="Y87" s="54">
        <v>5.7069999999999999</v>
      </c>
      <c r="Z87" s="54">
        <v>5.851</v>
      </c>
      <c r="AA87" s="54">
        <v>5.9429999999999996</v>
      </c>
      <c r="AB87" s="54">
        <v>6.0590000000000002</v>
      </c>
      <c r="AC87" s="54">
        <v>6.2050000000000001</v>
      </c>
      <c r="AD87" s="54">
        <v>6.3079999999999998</v>
      </c>
      <c r="AE87" s="54">
        <v>6.43</v>
      </c>
      <c r="AF87" s="54">
        <v>6.5590000000000002</v>
      </c>
      <c r="AG87" s="54">
        <v>6.6749999999999998</v>
      </c>
      <c r="AH87" s="54">
        <v>6.8070000000000004</v>
      </c>
    </row>
    <row r="88" spans="1:34" outlineLevel="1" x14ac:dyDescent="0.25">
      <c r="A88" s="7"/>
      <c r="B88" s="38" t="s">
        <v>30</v>
      </c>
      <c r="C88" s="38" t="s">
        <v>81</v>
      </c>
      <c r="D88" s="38" t="s">
        <v>120</v>
      </c>
      <c r="E88" s="40" t="s">
        <v>121</v>
      </c>
      <c r="F88" s="43">
        <f t="shared" si="10"/>
        <v>0</v>
      </c>
      <c r="G88" s="43">
        <f t="shared" si="10"/>
        <v>0</v>
      </c>
      <c r="H88" s="43">
        <f t="shared" si="10"/>
        <v>0</v>
      </c>
      <c r="I88" s="43">
        <f t="shared" si="10"/>
        <v>0</v>
      </c>
      <c r="J88" s="58">
        <f t="shared" si="9"/>
        <v>0</v>
      </c>
      <c r="K88" s="58">
        <f t="shared" si="9"/>
        <v>0</v>
      </c>
      <c r="L88" s="58">
        <f t="shared" si="9"/>
        <v>0</v>
      </c>
      <c r="M88" s="58">
        <f t="shared" si="9"/>
        <v>0</v>
      </c>
      <c r="N88" s="58">
        <f t="shared" si="9"/>
        <v>0</v>
      </c>
      <c r="O88" s="58">
        <f t="shared" si="9"/>
        <v>0</v>
      </c>
      <c r="P88" s="58">
        <f t="shared" si="9"/>
        <v>0</v>
      </c>
      <c r="Q88" s="52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</row>
    <row r="89" spans="1:34" outlineLevel="1" x14ac:dyDescent="0.25">
      <c r="A89" s="7"/>
      <c r="B89" s="38" t="s">
        <v>30</v>
      </c>
      <c r="C89" s="38" t="s">
        <v>135</v>
      </c>
      <c r="D89" s="38" t="s">
        <v>120</v>
      </c>
      <c r="E89" s="40" t="s">
        <v>121</v>
      </c>
      <c r="F89" s="43">
        <f t="shared" si="10"/>
        <v>0</v>
      </c>
      <c r="G89" s="43">
        <f t="shared" si="10"/>
        <v>0</v>
      </c>
      <c r="H89" s="43">
        <f t="shared" si="10"/>
        <v>0</v>
      </c>
      <c r="I89" s="43">
        <f t="shared" si="10"/>
        <v>0</v>
      </c>
      <c r="J89" s="58">
        <f t="shared" si="9"/>
        <v>0</v>
      </c>
      <c r="K89" s="58">
        <f t="shared" si="9"/>
        <v>0</v>
      </c>
      <c r="L89" s="58">
        <f t="shared" si="9"/>
        <v>0</v>
      </c>
      <c r="M89" s="58">
        <f t="shared" si="9"/>
        <v>0</v>
      </c>
      <c r="N89" s="58">
        <f t="shared" si="9"/>
        <v>0</v>
      </c>
      <c r="O89" s="58">
        <f t="shared" si="9"/>
        <v>0</v>
      </c>
      <c r="P89" s="58">
        <f t="shared" si="9"/>
        <v>0</v>
      </c>
      <c r="Q89" s="52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</row>
    <row r="90" spans="1:34" outlineLevel="1" x14ac:dyDescent="0.25">
      <c r="A90" s="7"/>
      <c r="B90" s="38" t="s">
        <v>30</v>
      </c>
      <c r="C90" s="38" t="s">
        <v>137</v>
      </c>
      <c r="D90" s="38" t="s">
        <v>120</v>
      </c>
      <c r="E90" s="40" t="s">
        <v>121</v>
      </c>
      <c r="F90" s="43">
        <f t="shared" si="10"/>
        <v>0</v>
      </c>
      <c r="G90" s="43">
        <f t="shared" si="10"/>
        <v>0</v>
      </c>
      <c r="H90" s="43">
        <f t="shared" si="10"/>
        <v>0</v>
      </c>
      <c r="I90" s="43">
        <f t="shared" si="10"/>
        <v>0</v>
      </c>
      <c r="J90" s="58">
        <f t="shared" si="9"/>
        <v>0</v>
      </c>
      <c r="K90" s="58">
        <f t="shared" si="9"/>
        <v>0</v>
      </c>
      <c r="L90" s="58">
        <f t="shared" si="9"/>
        <v>0</v>
      </c>
      <c r="M90" s="58">
        <f t="shared" si="9"/>
        <v>0</v>
      </c>
      <c r="N90" s="58">
        <f t="shared" si="9"/>
        <v>0</v>
      </c>
      <c r="O90" s="58">
        <f t="shared" si="9"/>
        <v>0</v>
      </c>
      <c r="P90" s="58">
        <f t="shared" si="9"/>
        <v>0</v>
      </c>
      <c r="Q90" s="52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</row>
    <row r="91" spans="1:34" outlineLevel="1" x14ac:dyDescent="0.25">
      <c r="A91" s="7"/>
      <c r="B91" s="38" t="s">
        <v>30</v>
      </c>
      <c r="C91" s="38" t="s">
        <v>136</v>
      </c>
      <c r="D91" s="38" t="s">
        <v>120</v>
      </c>
      <c r="E91" s="40" t="s">
        <v>121</v>
      </c>
      <c r="F91" s="43">
        <f t="shared" si="10"/>
        <v>0</v>
      </c>
      <c r="G91" s="43">
        <f t="shared" si="10"/>
        <v>0</v>
      </c>
      <c r="H91" s="43">
        <f t="shared" si="10"/>
        <v>0</v>
      </c>
      <c r="I91" s="43">
        <f t="shared" si="10"/>
        <v>0</v>
      </c>
      <c r="J91" s="58">
        <f t="shared" si="9"/>
        <v>0</v>
      </c>
      <c r="K91" s="58">
        <f t="shared" si="9"/>
        <v>0</v>
      </c>
      <c r="L91" s="58">
        <f t="shared" si="9"/>
        <v>0</v>
      </c>
      <c r="M91" s="58">
        <f t="shared" si="9"/>
        <v>0</v>
      </c>
      <c r="N91" s="58">
        <f t="shared" si="9"/>
        <v>0</v>
      </c>
      <c r="O91" s="58">
        <f t="shared" si="9"/>
        <v>0</v>
      </c>
      <c r="P91" s="58">
        <f t="shared" si="9"/>
        <v>0</v>
      </c>
      <c r="Q91" s="52"/>
    </row>
    <row r="92" spans="1:34" x14ac:dyDescent="0.25">
      <c r="A92" s="7"/>
      <c r="B92" s="38"/>
      <c r="C92" s="38"/>
      <c r="D92" s="38"/>
      <c r="E92" s="18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52"/>
    </row>
    <row r="93" spans="1:34" x14ac:dyDescent="0.25">
      <c r="A93" s="7"/>
      <c r="B93" s="38"/>
      <c r="C93" s="38"/>
      <c r="D93" s="38"/>
      <c r="E93" s="18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52"/>
    </row>
    <row r="94" spans="1:34" x14ac:dyDescent="0.25">
      <c r="A94" s="7"/>
      <c r="B94" s="38"/>
      <c r="C94" s="38"/>
      <c r="D94" s="38"/>
      <c r="E94" s="18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52"/>
    </row>
    <row r="95" spans="1:34" x14ac:dyDescent="0.25">
      <c r="A95" s="7"/>
      <c r="B95" s="38"/>
      <c r="C95" s="38"/>
      <c r="D95" s="38"/>
      <c r="E95" s="18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52"/>
    </row>
    <row r="96" spans="1:34" x14ac:dyDescent="0.25">
      <c r="A96" s="7"/>
      <c r="B96" s="38"/>
      <c r="C96" s="38"/>
      <c r="D96" s="38"/>
      <c r="E96" s="18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52"/>
    </row>
    <row r="97" spans="1:17" x14ac:dyDescent="0.25">
      <c r="A97" s="7"/>
      <c r="B97" s="38"/>
      <c r="C97" s="38"/>
      <c r="D97" s="38"/>
      <c r="E97" s="18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52"/>
    </row>
    <row r="98" spans="1:17" x14ac:dyDescent="0.25">
      <c r="A98" s="7"/>
      <c r="B98" s="38"/>
      <c r="C98" s="38"/>
      <c r="D98" s="38"/>
      <c r="E98" s="18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52"/>
    </row>
    <row r="99" spans="1:17" x14ac:dyDescent="0.25">
      <c r="A99" s="7"/>
      <c r="B99" s="38"/>
      <c r="C99" s="38"/>
      <c r="D99" s="38"/>
      <c r="E99" s="18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52"/>
    </row>
    <row r="100" spans="1:17" x14ac:dyDescent="0.25">
      <c r="A100" s="7"/>
      <c r="B100" s="38"/>
      <c r="C100" s="38"/>
      <c r="D100" s="38"/>
      <c r="E100" s="18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52"/>
    </row>
    <row r="101" spans="1:17" x14ac:dyDescent="0.25">
      <c r="A101" s="7"/>
      <c r="B101" s="38"/>
      <c r="C101" s="38"/>
      <c r="D101" s="38"/>
      <c r="E101" s="18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52"/>
    </row>
    <row r="102" spans="1:17" x14ac:dyDescent="0.25">
      <c r="A102" s="7"/>
      <c r="B102" s="38"/>
      <c r="C102" s="38"/>
      <c r="D102" s="38"/>
      <c r="E102" s="18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52"/>
    </row>
    <row r="103" spans="1:17" x14ac:dyDescent="0.25">
      <c r="A103" s="7"/>
      <c r="B103" s="38"/>
      <c r="C103" s="38"/>
      <c r="D103" s="38"/>
      <c r="E103" s="18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52"/>
    </row>
    <row r="104" spans="1:17" x14ac:dyDescent="0.25">
      <c r="A104" s="7"/>
      <c r="B104" s="38"/>
      <c r="C104" s="38"/>
      <c r="D104" s="38"/>
      <c r="E104" s="18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52"/>
    </row>
    <row r="105" spans="1:17" x14ac:dyDescent="0.25">
      <c r="A105" s="7"/>
      <c r="B105" s="38"/>
      <c r="C105" s="38"/>
      <c r="D105" s="38"/>
      <c r="E105" s="18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52"/>
    </row>
    <row r="106" spans="1:17" x14ac:dyDescent="0.25">
      <c r="A106" s="7"/>
      <c r="B106" s="38"/>
      <c r="C106" s="38"/>
      <c r="D106" s="38"/>
      <c r="E106" s="18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52"/>
    </row>
    <row r="107" spans="1:17" x14ac:dyDescent="0.25">
      <c r="A107" s="7"/>
      <c r="B107" s="38"/>
      <c r="C107" s="38"/>
      <c r="D107" s="38"/>
      <c r="E107" s="18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52"/>
    </row>
    <row r="108" spans="1:17" x14ac:dyDescent="0.25">
      <c r="A108" s="7"/>
      <c r="B108" s="38"/>
      <c r="C108" s="38"/>
      <c r="D108" s="38"/>
      <c r="E108" s="18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52"/>
    </row>
    <row r="109" spans="1:17" x14ac:dyDescent="0.25">
      <c r="A109" s="7"/>
      <c r="B109" s="38"/>
      <c r="C109" s="38"/>
      <c r="D109" s="38"/>
      <c r="E109" s="18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52"/>
    </row>
    <row r="110" spans="1:17" x14ac:dyDescent="0.25">
      <c r="A110" s="7"/>
      <c r="B110" s="38"/>
      <c r="C110" s="38"/>
      <c r="D110" s="38"/>
      <c r="E110" s="18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52"/>
    </row>
    <row r="111" spans="1:17" x14ac:dyDescent="0.25">
      <c r="A111" s="7"/>
      <c r="B111" s="38"/>
      <c r="C111" s="38"/>
      <c r="D111" s="38"/>
      <c r="E111" s="18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52"/>
    </row>
    <row r="112" spans="1:17" x14ac:dyDescent="0.25">
      <c r="A112" s="7"/>
      <c r="B112" s="38"/>
      <c r="C112" s="38"/>
      <c r="D112" s="38"/>
      <c r="E112" s="18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52"/>
    </row>
    <row r="113" spans="1:17" x14ac:dyDescent="0.25">
      <c r="A113" s="7"/>
      <c r="B113" s="38"/>
      <c r="C113" s="38"/>
      <c r="D113" s="38"/>
      <c r="E113" s="18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52"/>
    </row>
    <row r="114" spans="1:17" x14ac:dyDescent="0.25">
      <c r="A114" s="7"/>
      <c r="B114" s="38"/>
      <c r="C114" s="38"/>
      <c r="D114" s="38"/>
      <c r="E114" s="18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52"/>
    </row>
    <row r="115" spans="1:17" x14ac:dyDescent="0.25">
      <c r="A115" s="7"/>
      <c r="B115" s="38"/>
      <c r="C115" s="38"/>
      <c r="D115" s="38"/>
      <c r="E115" s="18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52"/>
    </row>
    <row r="116" spans="1:17" x14ac:dyDescent="0.25">
      <c r="A116" s="7"/>
      <c r="B116" s="38"/>
      <c r="C116" s="38"/>
      <c r="D116" s="38"/>
      <c r="E116" s="18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52"/>
    </row>
    <row r="117" spans="1:17" x14ac:dyDescent="0.25">
      <c r="A117" s="7"/>
      <c r="B117" s="38"/>
      <c r="C117" s="38"/>
      <c r="D117" s="38"/>
      <c r="E117" s="18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52"/>
    </row>
    <row r="118" spans="1:17" x14ac:dyDescent="0.25">
      <c r="A118" s="7"/>
      <c r="B118" s="38"/>
      <c r="C118" s="38"/>
      <c r="D118" s="38"/>
      <c r="E118" s="18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52"/>
    </row>
    <row r="119" spans="1:17" x14ac:dyDescent="0.25">
      <c r="A119" s="7"/>
      <c r="B119" s="38"/>
      <c r="C119" s="38"/>
      <c r="D119" s="38"/>
      <c r="E119" s="18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52"/>
    </row>
    <row r="120" spans="1:17" x14ac:dyDescent="0.25">
      <c r="A120" s="7"/>
      <c r="B120" s="15"/>
      <c r="C120" s="15"/>
      <c r="D120" s="15"/>
      <c r="E120" s="11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52"/>
    </row>
    <row r="121" spans="1:17" x14ac:dyDescent="0.25">
      <c r="A121" s="7"/>
      <c r="B121" s="15"/>
      <c r="C121" s="15"/>
      <c r="D121" s="15"/>
      <c r="E121" s="11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52"/>
    </row>
    <row r="122" spans="1:17" x14ac:dyDescent="0.25">
      <c r="A122" s="7"/>
      <c r="B122" s="38"/>
      <c r="C122" s="38"/>
      <c r="D122" s="38"/>
      <c r="E122" s="18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52"/>
    </row>
    <row r="123" spans="1:17" x14ac:dyDescent="0.25">
      <c r="A123" s="7"/>
      <c r="B123" s="38"/>
      <c r="C123" s="38"/>
      <c r="D123" s="38"/>
      <c r="E123" s="18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52"/>
    </row>
    <row r="124" spans="1:17" x14ac:dyDescent="0.25">
      <c r="A124" s="7"/>
      <c r="B124" s="38"/>
      <c r="C124" s="38"/>
      <c r="D124" s="38"/>
      <c r="E124" s="18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52"/>
    </row>
    <row r="125" spans="1:17" x14ac:dyDescent="0.25">
      <c r="A125" s="7"/>
      <c r="B125" s="38"/>
      <c r="C125" s="38"/>
      <c r="D125" s="38"/>
      <c r="E125" s="18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52"/>
    </row>
    <row r="126" spans="1:17" x14ac:dyDescent="0.25">
      <c r="A126" s="7"/>
      <c r="B126" s="38"/>
      <c r="C126" s="38"/>
      <c r="D126" s="38"/>
      <c r="E126" s="18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52"/>
    </row>
    <row r="127" spans="1:17" x14ac:dyDescent="0.25">
      <c r="A127" s="7"/>
      <c r="B127" s="38"/>
      <c r="C127" s="38"/>
      <c r="D127" s="38"/>
      <c r="E127" s="18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52"/>
    </row>
    <row r="128" spans="1:17" x14ac:dyDescent="0.25">
      <c r="A128" s="7"/>
      <c r="B128" s="38"/>
      <c r="C128" s="38"/>
      <c r="D128" s="38"/>
      <c r="E128" s="18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52"/>
    </row>
    <row r="129" spans="1:17" x14ac:dyDescent="0.25">
      <c r="A129" s="7"/>
      <c r="B129" s="38"/>
      <c r="C129" s="38"/>
      <c r="D129" s="38"/>
      <c r="E129" s="18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52"/>
    </row>
    <row r="130" spans="1:17" x14ac:dyDescent="0.25">
      <c r="A130" s="7"/>
      <c r="B130" s="38"/>
      <c r="C130" s="38"/>
      <c r="D130" s="38"/>
      <c r="E130" s="18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52"/>
    </row>
    <row r="131" spans="1:17" x14ac:dyDescent="0.25">
      <c r="A131" s="7"/>
      <c r="B131" s="38"/>
      <c r="C131" s="38"/>
      <c r="D131" s="38"/>
      <c r="E131" s="18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52"/>
    </row>
    <row r="132" spans="1:17" x14ac:dyDescent="0.25">
      <c r="A132" s="7"/>
      <c r="B132" s="38"/>
      <c r="C132" s="38"/>
      <c r="D132" s="38"/>
      <c r="E132" s="18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52"/>
    </row>
    <row r="133" spans="1:17" x14ac:dyDescent="0.25">
      <c r="A133" s="7"/>
      <c r="B133" s="38"/>
      <c r="C133" s="38"/>
      <c r="D133" s="38"/>
      <c r="E133" s="18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52"/>
    </row>
    <row r="134" spans="1:17" x14ac:dyDescent="0.25">
      <c r="A134" s="7"/>
      <c r="B134" s="38"/>
      <c r="C134" s="38"/>
      <c r="D134" s="38"/>
      <c r="E134" s="18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52"/>
    </row>
    <row r="135" spans="1:17" x14ac:dyDescent="0.25">
      <c r="A135" s="7"/>
      <c r="B135" s="38"/>
      <c r="C135" s="38"/>
      <c r="D135" s="38"/>
      <c r="E135" s="18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52"/>
    </row>
    <row r="136" spans="1:17" x14ac:dyDescent="0.25">
      <c r="A136" s="7"/>
      <c r="B136" s="38"/>
      <c r="C136" s="38"/>
      <c r="D136" s="38"/>
      <c r="E136" s="18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52"/>
    </row>
    <row r="137" spans="1:17" x14ac:dyDescent="0.25">
      <c r="A137" s="7"/>
      <c r="B137" s="38"/>
      <c r="C137" s="38"/>
      <c r="D137" s="38"/>
      <c r="E137" s="18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52"/>
    </row>
    <row r="138" spans="1:17" x14ac:dyDescent="0.25">
      <c r="A138" s="7"/>
      <c r="B138" s="38"/>
      <c r="C138" s="38"/>
      <c r="D138" s="38"/>
      <c r="E138" s="18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52"/>
    </row>
    <row r="139" spans="1:17" x14ac:dyDescent="0.25">
      <c r="A139" s="7"/>
      <c r="B139" s="38"/>
      <c r="C139" s="38"/>
      <c r="D139" s="38"/>
      <c r="E139" s="18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52"/>
    </row>
    <row r="140" spans="1:17" x14ac:dyDescent="0.25">
      <c r="A140" s="7"/>
      <c r="B140" s="38"/>
      <c r="C140" s="38"/>
      <c r="D140" s="38"/>
      <c r="E140" s="18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52"/>
    </row>
    <row r="141" spans="1:17" x14ac:dyDescent="0.25">
      <c r="A141" s="7"/>
      <c r="B141" s="38"/>
      <c r="C141" s="38"/>
      <c r="D141" s="38"/>
      <c r="E141" s="18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52"/>
    </row>
    <row r="142" spans="1:17" x14ac:dyDescent="0.25">
      <c r="A142" s="7"/>
      <c r="B142" s="38"/>
      <c r="C142" s="38"/>
      <c r="D142" s="38"/>
      <c r="E142" s="18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52"/>
    </row>
    <row r="143" spans="1:17" x14ac:dyDescent="0.25">
      <c r="A143" s="7"/>
      <c r="B143" s="38"/>
      <c r="C143" s="38"/>
      <c r="D143" s="38"/>
      <c r="E143" s="18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52"/>
    </row>
    <row r="144" spans="1:17" x14ac:dyDescent="0.25">
      <c r="A144" s="7"/>
      <c r="B144" s="38"/>
      <c r="C144" s="38"/>
      <c r="D144" s="38"/>
      <c r="E144" s="18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52"/>
    </row>
    <row r="145" spans="1:17" x14ac:dyDescent="0.25">
      <c r="A145" s="7"/>
      <c r="B145" s="38"/>
      <c r="C145" s="38"/>
      <c r="D145" s="38"/>
      <c r="E145" s="18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52"/>
    </row>
    <row r="146" spans="1:17" x14ac:dyDescent="0.25">
      <c r="A146" s="7"/>
      <c r="B146" s="38"/>
      <c r="C146" s="38"/>
      <c r="D146" s="38"/>
      <c r="E146" s="18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52"/>
    </row>
    <row r="147" spans="1:17" x14ac:dyDescent="0.25">
      <c r="A147" s="7"/>
      <c r="B147" s="38"/>
      <c r="C147" s="38"/>
      <c r="D147" s="38"/>
      <c r="E147" s="18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52"/>
    </row>
    <row r="148" spans="1:17" x14ac:dyDescent="0.25">
      <c r="A148" s="7"/>
      <c r="B148" s="15"/>
      <c r="C148" s="15"/>
      <c r="D148" s="15"/>
      <c r="E148" s="11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52"/>
    </row>
    <row r="149" spans="1:17" x14ac:dyDescent="0.25">
      <c r="A149" s="7"/>
      <c r="B149" s="15"/>
      <c r="C149" s="15"/>
      <c r="D149" s="15"/>
      <c r="E149" s="11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52"/>
    </row>
    <row r="150" spans="1:17" x14ac:dyDescent="0.25">
      <c r="A150" s="7"/>
      <c r="B150" s="38"/>
      <c r="C150" s="38"/>
      <c r="D150" s="38"/>
      <c r="E150" s="18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52"/>
    </row>
    <row r="151" spans="1:17" x14ac:dyDescent="0.25">
      <c r="A151" s="7"/>
      <c r="B151" s="38"/>
      <c r="C151" s="38"/>
      <c r="D151" s="38"/>
      <c r="E151" s="18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52"/>
    </row>
    <row r="152" spans="1:17" x14ac:dyDescent="0.25">
      <c r="A152" s="7"/>
      <c r="B152" s="38"/>
      <c r="C152" s="38"/>
      <c r="D152" s="38"/>
      <c r="E152" s="18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52"/>
    </row>
    <row r="153" spans="1:17" x14ac:dyDescent="0.25">
      <c r="A153" s="7"/>
      <c r="B153" s="38"/>
      <c r="C153" s="38"/>
      <c r="D153" s="38"/>
      <c r="E153" s="18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52"/>
    </row>
    <row r="154" spans="1:17" x14ac:dyDescent="0.25">
      <c r="A154" s="7"/>
      <c r="B154" s="38"/>
      <c r="C154" s="38"/>
      <c r="D154" s="38"/>
      <c r="E154" s="18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52"/>
    </row>
    <row r="155" spans="1:17" x14ac:dyDescent="0.25">
      <c r="A155" s="7"/>
      <c r="B155" s="38"/>
      <c r="C155" s="38"/>
      <c r="D155" s="38"/>
      <c r="E155" s="18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52"/>
    </row>
    <row r="156" spans="1:17" x14ac:dyDescent="0.25">
      <c r="A156" s="7"/>
      <c r="B156" s="38"/>
      <c r="C156" s="38"/>
      <c r="D156" s="38"/>
      <c r="E156" s="18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52"/>
    </row>
    <row r="157" spans="1:17" x14ac:dyDescent="0.25">
      <c r="A157" s="7"/>
      <c r="B157" s="38"/>
      <c r="C157" s="38"/>
      <c r="D157" s="38"/>
      <c r="E157" s="18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52"/>
    </row>
    <row r="158" spans="1:17" x14ac:dyDescent="0.25">
      <c r="A158" s="7"/>
      <c r="B158" s="38"/>
      <c r="C158" s="38"/>
      <c r="D158" s="38"/>
      <c r="E158" s="18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52"/>
    </row>
    <row r="159" spans="1:17" x14ac:dyDescent="0.25">
      <c r="A159" s="7"/>
      <c r="B159" s="38"/>
      <c r="C159" s="38"/>
      <c r="D159" s="38"/>
      <c r="E159" s="18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52"/>
    </row>
    <row r="160" spans="1:17" x14ac:dyDescent="0.25">
      <c r="A160" s="7"/>
      <c r="B160" s="38"/>
      <c r="C160" s="38"/>
      <c r="D160" s="38"/>
      <c r="E160" s="18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52"/>
    </row>
    <row r="161" spans="1:17" x14ac:dyDescent="0.25">
      <c r="A161" s="7"/>
      <c r="B161" s="38"/>
      <c r="C161" s="38"/>
      <c r="D161" s="38"/>
      <c r="E161" s="18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52"/>
    </row>
    <row r="162" spans="1:17" x14ac:dyDescent="0.25">
      <c r="A162" s="7"/>
      <c r="B162" s="38"/>
      <c r="C162" s="38"/>
      <c r="D162" s="38"/>
      <c r="E162" s="18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52"/>
    </row>
    <row r="163" spans="1:17" x14ac:dyDescent="0.25">
      <c r="A163" s="7"/>
      <c r="B163" s="38"/>
      <c r="C163" s="38"/>
      <c r="D163" s="38"/>
      <c r="E163" s="18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52"/>
    </row>
    <row r="164" spans="1:17" x14ac:dyDescent="0.25">
      <c r="A164" s="7"/>
      <c r="B164" s="38"/>
      <c r="C164" s="38"/>
      <c r="D164" s="38"/>
      <c r="E164" s="18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52"/>
    </row>
    <row r="165" spans="1:17" x14ac:dyDescent="0.25">
      <c r="A165" s="7"/>
      <c r="B165" s="38"/>
      <c r="C165" s="38"/>
      <c r="D165" s="38"/>
      <c r="E165" s="18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52"/>
    </row>
    <row r="166" spans="1:17" x14ac:dyDescent="0.25">
      <c r="A166" s="7"/>
      <c r="B166" s="38"/>
      <c r="C166" s="38"/>
      <c r="D166" s="38"/>
      <c r="E166" s="18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52"/>
    </row>
    <row r="167" spans="1:17" x14ac:dyDescent="0.25">
      <c r="A167" s="7"/>
      <c r="B167" s="38"/>
      <c r="C167" s="38"/>
      <c r="D167" s="38"/>
      <c r="E167" s="18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52"/>
    </row>
    <row r="168" spans="1:17" x14ac:dyDescent="0.25">
      <c r="A168" s="7"/>
      <c r="B168" s="38"/>
      <c r="C168" s="38"/>
      <c r="D168" s="38"/>
      <c r="E168" s="18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52"/>
    </row>
    <row r="169" spans="1:17" x14ac:dyDescent="0.25">
      <c r="A169" s="7"/>
      <c r="B169" s="38"/>
      <c r="C169" s="38"/>
      <c r="D169" s="38"/>
      <c r="E169" s="18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52"/>
    </row>
    <row r="170" spans="1:17" x14ac:dyDescent="0.25">
      <c r="A170" s="7"/>
      <c r="B170" s="38"/>
      <c r="C170" s="38"/>
      <c r="D170" s="38"/>
      <c r="E170" s="18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52"/>
    </row>
    <row r="171" spans="1:17" x14ac:dyDescent="0.25">
      <c r="A171" s="7"/>
      <c r="B171" s="38"/>
      <c r="C171" s="38"/>
      <c r="D171" s="38"/>
      <c r="E171" s="18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52"/>
    </row>
    <row r="172" spans="1:17" x14ac:dyDescent="0.25">
      <c r="A172" s="7"/>
      <c r="B172" s="38"/>
      <c r="C172" s="38"/>
      <c r="D172" s="38"/>
      <c r="E172" s="18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52"/>
    </row>
    <row r="173" spans="1:17" x14ac:dyDescent="0.25">
      <c r="A173" s="7"/>
      <c r="B173" s="38"/>
      <c r="C173" s="38"/>
      <c r="D173" s="38"/>
      <c r="E173" s="18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52"/>
    </row>
    <row r="174" spans="1:17" x14ac:dyDescent="0.25">
      <c r="A174" s="7"/>
      <c r="B174" s="38"/>
      <c r="C174" s="38"/>
      <c r="D174" s="38"/>
      <c r="E174" s="18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52"/>
    </row>
    <row r="175" spans="1:17" x14ac:dyDescent="0.25">
      <c r="A175" s="7"/>
      <c r="B175" s="38"/>
      <c r="C175" s="38"/>
      <c r="D175" s="38"/>
      <c r="E175" s="18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52"/>
    </row>
    <row r="176" spans="1:17" x14ac:dyDescent="0.25">
      <c r="A176" s="7"/>
      <c r="B176" s="38"/>
      <c r="C176" s="38"/>
      <c r="D176" s="38"/>
      <c r="E176" s="18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52"/>
    </row>
    <row r="177" spans="1:17" x14ac:dyDescent="0.25">
      <c r="A177" s="7"/>
      <c r="B177" s="38"/>
      <c r="C177" s="38"/>
      <c r="D177" s="38"/>
      <c r="E177" s="18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52"/>
    </row>
    <row r="178" spans="1:17" x14ac:dyDescent="0.25">
      <c r="A178" s="7"/>
      <c r="B178" s="38"/>
      <c r="C178" s="38"/>
      <c r="D178" s="38"/>
      <c r="E178" s="18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52"/>
    </row>
    <row r="179" spans="1:17" x14ac:dyDescent="0.25">
      <c r="A179" s="7"/>
      <c r="B179" s="38"/>
      <c r="C179" s="38"/>
      <c r="D179" s="38"/>
      <c r="E179" s="18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52"/>
    </row>
    <row r="180" spans="1:17" x14ac:dyDescent="0.25">
      <c r="A180" s="7"/>
      <c r="B180" s="38"/>
      <c r="C180" s="38"/>
      <c r="D180" s="38"/>
      <c r="E180" s="18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52"/>
    </row>
    <row r="181" spans="1:17" x14ac:dyDescent="0.25">
      <c r="A181" s="7"/>
      <c r="B181" s="38"/>
      <c r="C181" s="38"/>
      <c r="D181" s="38"/>
      <c r="E181" s="18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52"/>
    </row>
    <row r="182" spans="1:17" x14ac:dyDescent="0.25">
      <c r="A182" s="7"/>
      <c r="B182" s="38"/>
      <c r="C182" s="38"/>
      <c r="D182" s="38"/>
      <c r="E182" s="18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52"/>
    </row>
    <row r="183" spans="1:17" x14ac:dyDescent="0.25">
      <c r="A183" s="7"/>
      <c r="B183" s="38"/>
      <c r="C183" s="38"/>
      <c r="D183" s="38"/>
      <c r="E183" s="18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52"/>
    </row>
    <row r="184" spans="1:17" x14ac:dyDescent="0.25">
      <c r="A184" s="7"/>
      <c r="B184" s="38"/>
      <c r="C184" s="38"/>
      <c r="D184" s="38"/>
      <c r="E184" s="18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52"/>
    </row>
    <row r="185" spans="1:17" x14ac:dyDescent="0.25">
      <c r="A185" s="7"/>
      <c r="B185" s="38"/>
      <c r="C185" s="38"/>
      <c r="D185" s="38"/>
      <c r="E185" s="18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52"/>
    </row>
    <row r="186" spans="1:17" x14ac:dyDescent="0.25">
      <c r="A186" s="7"/>
      <c r="B186" s="38"/>
      <c r="C186" s="38"/>
      <c r="D186" s="38"/>
      <c r="E186" s="18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52"/>
    </row>
    <row r="187" spans="1:17" x14ac:dyDescent="0.25">
      <c r="A187" s="7"/>
      <c r="B187" s="38"/>
      <c r="C187" s="38"/>
      <c r="D187" s="38"/>
      <c r="E187" s="18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52"/>
    </row>
    <row r="188" spans="1:17" x14ac:dyDescent="0.25">
      <c r="A188" s="7"/>
      <c r="B188" s="38"/>
      <c r="C188" s="38"/>
      <c r="D188" s="38"/>
      <c r="E188" s="18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52"/>
    </row>
    <row r="189" spans="1:17" x14ac:dyDescent="0.25">
      <c r="A189" s="7"/>
      <c r="B189" s="38"/>
      <c r="C189" s="38"/>
      <c r="D189" s="38"/>
      <c r="E189" s="18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52"/>
    </row>
    <row r="190" spans="1:17" x14ac:dyDescent="0.25">
      <c r="A190" s="7"/>
      <c r="B190" s="38"/>
      <c r="C190" s="38"/>
      <c r="D190" s="38"/>
      <c r="E190" s="18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52"/>
    </row>
    <row r="191" spans="1:17" x14ac:dyDescent="0.25">
      <c r="A191" s="7"/>
      <c r="B191" s="38"/>
      <c r="C191" s="38"/>
      <c r="D191" s="38"/>
      <c r="E191" s="18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52"/>
    </row>
    <row r="192" spans="1:17" x14ac:dyDescent="0.25">
      <c r="A192" s="7"/>
      <c r="B192" s="38"/>
      <c r="C192" s="38"/>
      <c r="D192" s="38"/>
      <c r="E192" s="18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52"/>
    </row>
    <row r="193" spans="1:17" x14ac:dyDescent="0.25">
      <c r="A193" s="7"/>
      <c r="B193" s="38"/>
      <c r="C193" s="38"/>
      <c r="D193" s="38"/>
      <c r="E193" s="18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52"/>
    </row>
    <row r="194" spans="1:17" x14ac:dyDescent="0.25">
      <c r="A194" s="7"/>
      <c r="B194" s="38"/>
      <c r="C194" s="38"/>
      <c r="D194" s="38"/>
      <c r="E194" s="18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52"/>
    </row>
    <row r="195" spans="1:17" x14ac:dyDescent="0.25">
      <c r="A195" s="7"/>
      <c r="B195" s="38"/>
      <c r="C195" s="38"/>
      <c r="D195" s="38"/>
      <c r="E195" s="18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52"/>
    </row>
    <row r="196" spans="1:17" x14ac:dyDescent="0.25">
      <c r="A196" s="7"/>
      <c r="B196" s="38"/>
      <c r="C196" s="38"/>
      <c r="D196" s="38"/>
      <c r="E196" s="18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52"/>
    </row>
    <row r="197" spans="1:17" x14ac:dyDescent="0.25">
      <c r="A197" s="7"/>
      <c r="B197" s="38"/>
      <c r="C197" s="38"/>
      <c r="D197" s="38"/>
      <c r="E197" s="18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52"/>
    </row>
    <row r="198" spans="1:17" x14ac:dyDescent="0.25">
      <c r="A198" s="7"/>
      <c r="B198" s="38"/>
      <c r="C198" s="38"/>
      <c r="D198" s="38"/>
      <c r="E198" s="18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52"/>
    </row>
    <row r="199" spans="1:17" x14ac:dyDescent="0.25">
      <c r="A199" s="7"/>
      <c r="B199" s="38"/>
      <c r="C199" s="38"/>
      <c r="D199" s="38"/>
      <c r="E199" s="18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52"/>
    </row>
    <row r="200" spans="1:17" x14ac:dyDescent="0.25">
      <c r="A200" s="7"/>
      <c r="B200" s="38"/>
      <c r="C200" s="38"/>
      <c r="D200" s="38"/>
      <c r="E200" s="18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52"/>
    </row>
    <row r="201" spans="1:17" x14ac:dyDescent="0.25">
      <c r="A201" s="7"/>
      <c r="B201" s="38"/>
      <c r="C201" s="38"/>
      <c r="D201" s="38"/>
      <c r="E201" s="18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52"/>
    </row>
    <row r="202" spans="1:17" x14ac:dyDescent="0.25">
      <c r="A202" s="7"/>
      <c r="B202" s="38"/>
      <c r="C202" s="38"/>
      <c r="D202" s="38"/>
      <c r="E202" s="18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52"/>
    </row>
    <row r="203" spans="1:17" x14ac:dyDescent="0.25">
      <c r="A203" s="7"/>
      <c r="B203" s="38"/>
      <c r="C203" s="38"/>
      <c r="D203" s="38"/>
      <c r="E203" s="18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52"/>
    </row>
    <row r="204" spans="1:17" x14ac:dyDescent="0.25">
      <c r="A204" s="7"/>
      <c r="B204" s="38"/>
      <c r="C204" s="38"/>
      <c r="D204" s="38"/>
      <c r="E204" s="18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52"/>
    </row>
    <row r="205" spans="1:17" x14ac:dyDescent="0.25">
      <c r="A205" s="7"/>
      <c r="B205" s="38"/>
      <c r="C205" s="38"/>
      <c r="D205" s="38"/>
      <c r="E205" s="18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52"/>
    </row>
    <row r="206" spans="1:17" x14ac:dyDescent="0.25">
      <c r="A206" s="7"/>
      <c r="B206" s="15"/>
      <c r="C206" s="15"/>
      <c r="D206" s="15"/>
      <c r="E206" s="11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52"/>
    </row>
    <row r="207" spans="1:17" x14ac:dyDescent="0.25">
      <c r="A207" s="7"/>
      <c r="B207" s="15"/>
      <c r="C207" s="15"/>
      <c r="D207" s="15"/>
      <c r="E207" s="11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52"/>
    </row>
    <row r="208" spans="1:17" x14ac:dyDescent="0.25">
      <c r="A208" s="7"/>
      <c r="B208" s="15"/>
      <c r="C208" s="15"/>
      <c r="D208" s="15"/>
      <c r="E208" s="11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52"/>
    </row>
    <row r="209" spans="1:17" x14ac:dyDescent="0.25">
      <c r="A209" s="7"/>
      <c r="B209" s="15"/>
      <c r="C209" s="15"/>
      <c r="D209" s="15"/>
      <c r="E209" s="11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52"/>
    </row>
    <row r="210" spans="1:17" x14ac:dyDescent="0.25">
      <c r="A210" s="7"/>
      <c r="B210" s="15"/>
      <c r="C210" s="15"/>
      <c r="D210" s="15"/>
      <c r="E210" s="11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52"/>
    </row>
    <row r="211" spans="1:17" x14ac:dyDescent="0.25">
      <c r="A211" s="7"/>
      <c r="B211" s="15"/>
      <c r="C211" s="15"/>
      <c r="D211" s="15"/>
      <c r="E211" s="11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52"/>
    </row>
    <row r="212" spans="1:17" x14ac:dyDescent="0.25">
      <c r="A212" s="7"/>
      <c r="B212" s="15"/>
      <c r="C212" s="15"/>
      <c r="D212" s="15"/>
      <c r="E212" s="11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52"/>
    </row>
    <row r="213" spans="1:17" x14ac:dyDescent="0.25">
      <c r="A213" s="7"/>
      <c r="B213" s="15"/>
      <c r="C213" s="15"/>
      <c r="D213" s="15"/>
      <c r="E213" s="11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52"/>
    </row>
    <row r="214" spans="1:17" x14ac:dyDescent="0.25">
      <c r="A214" s="7"/>
      <c r="B214" s="15"/>
      <c r="C214" s="15"/>
      <c r="D214" s="15"/>
      <c r="E214" s="11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52"/>
    </row>
    <row r="215" spans="1:17" x14ac:dyDescent="0.25">
      <c r="A215" s="7"/>
      <c r="B215" s="15"/>
      <c r="C215" s="15"/>
      <c r="D215" s="15"/>
      <c r="E215" s="11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52"/>
    </row>
    <row r="216" spans="1:17" x14ac:dyDescent="0.25">
      <c r="A216" s="7"/>
      <c r="B216" s="15"/>
      <c r="C216" s="15"/>
      <c r="D216" s="15"/>
      <c r="E216" s="11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52"/>
    </row>
    <row r="217" spans="1:17" x14ac:dyDescent="0.25">
      <c r="A217" s="7"/>
      <c r="B217" s="15"/>
      <c r="C217" s="15"/>
      <c r="D217" s="15"/>
      <c r="E217" s="11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52"/>
    </row>
    <row r="218" spans="1:17" x14ac:dyDescent="0.25">
      <c r="A218" s="7"/>
      <c r="B218" s="15"/>
      <c r="C218" s="15"/>
      <c r="D218" s="15"/>
      <c r="E218" s="11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52"/>
    </row>
    <row r="219" spans="1:17" x14ac:dyDescent="0.25">
      <c r="A219" s="7"/>
      <c r="B219" s="15"/>
      <c r="C219" s="15"/>
      <c r="D219" s="15"/>
      <c r="E219" s="11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52"/>
    </row>
    <row r="220" spans="1:17" x14ac:dyDescent="0.25">
      <c r="A220" s="7"/>
      <c r="B220" s="15"/>
      <c r="C220" s="15"/>
      <c r="D220" s="15"/>
      <c r="E220" s="11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52"/>
    </row>
    <row r="221" spans="1:17" x14ac:dyDescent="0.25">
      <c r="A221" s="7"/>
      <c r="B221" s="15"/>
      <c r="C221" s="15"/>
      <c r="D221" s="15"/>
      <c r="E221" s="11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52"/>
    </row>
    <row r="222" spans="1:17" x14ac:dyDescent="0.25">
      <c r="A222" s="7"/>
      <c r="B222" s="15"/>
      <c r="C222" s="15"/>
      <c r="D222" s="15"/>
      <c r="E222" s="11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52"/>
    </row>
    <row r="223" spans="1:17" x14ac:dyDescent="0.25">
      <c r="A223" s="7"/>
      <c r="B223" s="15"/>
      <c r="C223" s="15"/>
      <c r="D223" s="15"/>
      <c r="E223" s="11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52"/>
    </row>
    <row r="224" spans="1:17" x14ac:dyDescent="0.25">
      <c r="A224" s="7"/>
      <c r="B224" s="15"/>
      <c r="C224" s="15"/>
      <c r="D224" s="15"/>
      <c r="E224" s="11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52"/>
    </row>
    <row r="225" spans="1:17" x14ac:dyDescent="0.25">
      <c r="A225" s="7"/>
      <c r="B225" s="15"/>
      <c r="C225" s="15"/>
      <c r="D225" s="15"/>
      <c r="E225" s="11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52"/>
    </row>
    <row r="226" spans="1:17" x14ac:dyDescent="0.25">
      <c r="A226" s="7"/>
      <c r="B226" s="15"/>
      <c r="C226" s="15"/>
      <c r="D226" s="15"/>
      <c r="E226" s="11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52"/>
    </row>
    <row r="227" spans="1:17" x14ac:dyDescent="0.25">
      <c r="A227" s="7"/>
      <c r="B227" s="15"/>
      <c r="C227" s="15"/>
      <c r="D227" s="15"/>
      <c r="E227" s="11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52"/>
    </row>
    <row r="228" spans="1:17" x14ac:dyDescent="0.25">
      <c r="A228" s="7"/>
      <c r="B228" s="15"/>
      <c r="C228" s="15"/>
      <c r="D228" s="15"/>
      <c r="E228" s="11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52"/>
    </row>
    <row r="229" spans="1:17" x14ac:dyDescent="0.25">
      <c r="A229" s="7"/>
      <c r="B229" s="15"/>
      <c r="C229" s="15"/>
      <c r="D229" s="15"/>
      <c r="E229" s="11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52"/>
    </row>
    <row r="230" spans="1:17" x14ac:dyDescent="0.25">
      <c r="A230" s="7"/>
      <c r="B230" s="15"/>
      <c r="C230" s="15"/>
      <c r="D230" s="15"/>
      <c r="E230" s="11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52"/>
    </row>
    <row r="231" spans="1:17" x14ac:dyDescent="0.25">
      <c r="A231" s="7"/>
      <c r="B231" s="15"/>
      <c r="C231" s="15"/>
      <c r="D231" s="15"/>
      <c r="E231" s="11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52"/>
    </row>
    <row r="232" spans="1:17" x14ac:dyDescent="0.25">
      <c r="A232" s="7"/>
      <c r="B232" s="15"/>
      <c r="C232" s="15"/>
      <c r="D232" s="15"/>
      <c r="E232" s="11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52"/>
    </row>
    <row r="233" spans="1:17" x14ac:dyDescent="0.25">
      <c r="A233" s="7"/>
      <c r="B233" s="15"/>
      <c r="C233" s="15"/>
      <c r="D233" s="15"/>
      <c r="E233" s="11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52"/>
    </row>
    <row r="234" spans="1:17" x14ac:dyDescent="0.25">
      <c r="A234" s="7"/>
      <c r="B234" s="15"/>
      <c r="C234" s="15"/>
      <c r="D234" s="15"/>
      <c r="E234" s="11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52"/>
    </row>
    <row r="235" spans="1:17" x14ac:dyDescent="0.25">
      <c r="A235" s="7"/>
      <c r="B235" s="15"/>
      <c r="C235" s="15"/>
      <c r="D235" s="15"/>
      <c r="E235" s="11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52"/>
    </row>
    <row r="236" spans="1:17" x14ac:dyDescent="0.25">
      <c r="A236" s="7"/>
      <c r="B236" s="15"/>
      <c r="C236" s="15"/>
      <c r="D236" s="15"/>
      <c r="E236" s="11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52"/>
    </row>
    <row r="237" spans="1:17" x14ac:dyDescent="0.25">
      <c r="A237" s="7"/>
      <c r="B237" s="15"/>
      <c r="C237" s="15"/>
      <c r="D237" s="15"/>
      <c r="E237" s="11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52"/>
    </row>
    <row r="238" spans="1:17" x14ac:dyDescent="0.25">
      <c r="A238" s="7"/>
      <c r="B238" s="15"/>
      <c r="C238" s="15"/>
      <c r="D238" s="15"/>
      <c r="E238" s="11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52"/>
    </row>
    <row r="239" spans="1:17" x14ac:dyDescent="0.25">
      <c r="A239" s="7"/>
      <c r="B239" s="15"/>
      <c r="C239" s="15"/>
      <c r="D239" s="15"/>
      <c r="E239" s="11"/>
      <c r="F239" s="45"/>
      <c r="G239" s="45"/>
      <c r="H239" s="45"/>
      <c r="I239" s="45"/>
      <c r="J239" s="42"/>
      <c r="K239" s="42"/>
      <c r="L239" s="42"/>
      <c r="M239" s="42"/>
      <c r="N239" s="42"/>
      <c r="O239" s="42"/>
      <c r="P239" s="42"/>
      <c r="Q239" s="52"/>
    </row>
    <row r="240" spans="1:17" x14ac:dyDescent="0.25">
      <c r="A240" s="7"/>
      <c r="B240" s="15"/>
      <c r="C240" s="15"/>
      <c r="D240" s="15"/>
      <c r="E240" s="11"/>
      <c r="F240" s="45"/>
      <c r="G240" s="45"/>
      <c r="H240" s="45"/>
      <c r="I240" s="45"/>
      <c r="J240" s="42"/>
      <c r="K240" s="42"/>
      <c r="L240" s="42"/>
      <c r="M240" s="42"/>
      <c r="N240" s="42"/>
      <c r="O240" s="42"/>
      <c r="P240" s="42"/>
      <c r="Q240" s="52"/>
    </row>
    <row r="241" spans="1:17" x14ac:dyDescent="0.25">
      <c r="A241" s="7"/>
      <c r="B241" s="15"/>
      <c r="C241" s="15"/>
      <c r="D241" s="15"/>
      <c r="E241" s="11"/>
      <c r="F241" s="45"/>
      <c r="G241" s="45"/>
      <c r="H241" s="45"/>
      <c r="I241" s="45"/>
      <c r="J241" s="42"/>
      <c r="K241" s="42"/>
      <c r="L241" s="42"/>
      <c r="M241" s="42"/>
      <c r="N241" s="42"/>
      <c r="O241" s="42"/>
      <c r="P241" s="42"/>
      <c r="Q241" s="52"/>
    </row>
    <row r="242" spans="1:17" x14ac:dyDescent="0.25">
      <c r="A242" s="7"/>
      <c r="B242" s="15"/>
      <c r="C242" s="15"/>
      <c r="D242" s="15"/>
      <c r="E242" s="11"/>
      <c r="F242" s="45"/>
      <c r="G242" s="45"/>
      <c r="H242" s="45"/>
      <c r="I242" s="45"/>
      <c r="J242" s="42"/>
      <c r="K242" s="42"/>
      <c r="L242" s="42"/>
      <c r="M242" s="42"/>
      <c r="N242" s="42"/>
      <c r="O242" s="42"/>
      <c r="P242" s="42"/>
      <c r="Q242" s="52"/>
    </row>
    <row r="243" spans="1:17" x14ac:dyDescent="0.25">
      <c r="A243" s="7"/>
      <c r="B243" s="15"/>
      <c r="C243" s="15"/>
      <c r="D243" s="15"/>
      <c r="E243" s="11"/>
      <c r="F243" s="45"/>
      <c r="G243" s="45"/>
      <c r="H243" s="45"/>
      <c r="I243" s="45"/>
      <c r="J243" s="42"/>
      <c r="K243" s="42"/>
      <c r="L243" s="42"/>
      <c r="M243" s="42"/>
      <c r="N243" s="42"/>
      <c r="O243" s="42"/>
      <c r="P243" s="42"/>
      <c r="Q243" s="52"/>
    </row>
    <row r="244" spans="1:17" x14ac:dyDescent="0.25">
      <c r="A244" s="7"/>
      <c r="B244" s="15"/>
      <c r="C244" s="15"/>
      <c r="D244" s="15"/>
      <c r="E244" s="11"/>
      <c r="F244" s="45"/>
      <c r="G244" s="45"/>
      <c r="H244" s="45"/>
      <c r="I244" s="45"/>
      <c r="J244" s="42"/>
      <c r="K244" s="42"/>
      <c r="L244" s="42"/>
      <c r="M244" s="42"/>
      <c r="N244" s="42"/>
      <c r="O244" s="42"/>
      <c r="P244" s="42"/>
      <c r="Q244" s="52"/>
    </row>
    <row r="245" spans="1:17" x14ac:dyDescent="0.25">
      <c r="A245" s="7"/>
      <c r="B245" s="15"/>
      <c r="C245" s="15"/>
      <c r="D245" s="15"/>
      <c r="E245" s="11"/>
      <c r="F245" s="45"/>
      <c r="G245" s="45"/>
      <c r="H245" s="45"/>
      <c r="I245" s="45"/>
      <c r="J245" s="42"/>
      <c r="K245" s="42"/>
      <c r="L245" s="42"/>
      <c r="M245" s="42"/>
      <c r="N245" s="42"/>
      <c r="O245" s="42"/>
      <c r="P245" s="42"/>
      <c r="Q245" s="52"/>
    </row>
    <row r="246" spans="1:17" x14ac:dyDescent="0.25">
      <c r="A246" s="7"/>
      <c r="B246" s="15"/>
      <c r="C246" s="15"/>
      <c r="D246" s="15"/>
      <c r="E246" s="11"/>
      <c r="F246" s="45"/>
      <c r="G246" s="45"/>
      <c r="H246" s="45"/>
      <c r="I246" s="45"/>
      <c r="J246" s="42"/>
      <c r="K246" s="42"/>
      <c r="L246" s="42"/>
      <c r="M246" s="42"/>
      <c r="N246" s="42"/>
      <c r="O246" s="42"/>
      <c r="P246" s="42"/>
      <c r="Q246" s="52"/>
    </row>
    <row r="247" spans="1:17" x14ac:dyDescent="0.25">
      <c r="A247" s="7"/>
      <c r="B247" s="15"/>
      <c r="C247" s="15"/>
      <c r="D247" s="15"/>
      <c r="E247" s="11"/>
      <c r="F247" s="45"/>
      <c r="G247" s="45"/>
      <c r="H247" s="45"/>
      <c r="I247" s="45"/>
      <c r="J247" s="42"/>
      <c r="K247" s="42"/>
      <c r="L247" s="42"/>
      <c r="M247" s="42"/>
      <c r="N247" s="42"/>
      <c r="O247" s="42"/>
      <c r="P247" s="42"/>
      <c r="Q247" s="52"/>
    </row>
    <row r="248" spans="1:17" x14ac:dyDescent="0.25">
      <c r="A248" s="7"/>
      <c r="B248" s="15"/>
      <c r="C248" s="15"/>
      <c r="D248" s="15"/>
      <c r="E248" s="11"/>
      <c r="F248" s="45"/>
      <c r="G248" s="45"/>
      <c r="H248" s="45"/>
      <c r="I248" s="45"/>
      <c r="J248" s="42"/>
      <c r="K248" s="42"/>
      <c r="L248" s="42"/>
      <c r="M248" s="42"/>
      <c r="N248" s="42"/>
      <c r="O248" s="42"/>
      <c r="P248" s="42"/>
      <c r="Q248" s="52"/>
    </row>
    <row r="249" spans="1:17" x14ac:dyDescent="0.25">
      <c r="A249" s="7"/>
      <c r="B249" s="15"/>
      <c r="C249" s="15"/>
      <c r="D249" s="15"/>
      <c r="E249" s="11"/>
      <c r="F249" s="45"/>
      <c r="G249" s="45"/>
      <c r="H249" s="45"/>
      <c r="I249" s="45"/>
      <c r="J249" s="42"/>
      <c r="K249" s="42"/>
      <c r="L249" s="42"/>
      <c r="M249" s="42"/>
      <c r="N249" s="42"/>
      <c r="O249" s="42"/>
      <c r="P249" s="42"/>
      <c r="Q249" s="52"/>
    </row>
    <row r="250" spans="1:17" x14ac:dyDescent="0.25">
      <c r="A250" s="7"/>
      <c r="B250" s="15"/>
      <c r="C250" s="15"/>
      <c r="D250" s="15"/>
      <c r="E250" s="11"/>
      <c r="F250" s="45"/>
      <c r="G250" s="45"/>
      <c r="H250" s="45"/>
      <c r="I250" s="45"/>
      <c r="J250" s="42"/>
      <c r="K250" s="42"/>
      <c r="L250" s="42"/>
      <c r="M250" s="42"/>
      <c r="N250" s="42"/>
      <c r="O250" s="42"/>
      <c r="P250" s="42"/>
      <c r="Q250" s="52"/>
    </row>
    <row r="251" spans="1:17" x14ac:dyDescent="0.25">
      <c r="A251" s="7"/>
      <c r="B251" s="15"/>
      <c r="C251" s="15"/>
      <c r="D251" s="15"/>
      <c r="E251" s="11"/>
      <c r="F251" s="45"/>
      <c r="G251" s="45"/>
      <c r="H251" s="45"/>
      <c r="I251" s="45"/>
      <c r="J251" s="42"/>
      <c r="K251" s="42"/>
      <c r="L251" s="42"/>
      <c r="M251" s="42"/>
      <c r="N251" s="42"/>
      <c r="O251" s="42"/>
      <c r="P251" s="42"/>
      <c r="Q251" s="52"/>
    </row>
    <row r="252" spans="1:17" x14ac:dyDescent="0.25">
      <c r="A252" s="7"/>
      <c r="B252" s="15"/>
      <c r="C252" s="15"/>
      <c r="D252" s="15"/>
      <c r="E252" s="11"/>
      <c r="F252" s="45"/>
      <c r="G252" s="45"/>
      <c r="H252" s="45"/>
      <c r="I252" s="45"/>
      <c r="J252" s="42"/>
      <c r="K252" s="42"/>
      <c r="L252" s="42"/>
      <c r="M252" s="42"/>
      <c r="N252" s="42"/>
      <c r="O252" s="42"/>
      <c r="P252" s="42"/>
      <c r="Q252" s="52"/>
    </row>
    <row r="253" spans="1:17" x14ac:dyDescent="0.25">
      <c r="A253" s="7"/>
      <c r="B253" s="15"/>
      <c r="C253" s="15"/>
      <c r="D253" s="15"/>
      <c r="E253" s="11"/>
      <c r="F253" s="45"/>
      <c r="G253" s="45"/>
      <c r="H253" s="45"/>
      <c r="I253" s="45"/>
      <c r="J253" s="42"/>
      <c r="K253" s="42"/>
      <c r="L253" s="42"/>
      <c r="M253" s="42"/>
      <c r="N253" s="42"/>
      <c r="O253" s="42"/>
      <c r="P253" s="42"/>
      <c r="Q253" s="52"/>
    </row>
    <row r="254" spans="1:17" x14ac:dyDescent="0.25">
      <c r="A254" s="7"/>
      <c r="B254" s="15"/>
      <c r="C254" s="15"/>
      <c r="D254" s="15"/>
      <c r="E254" s="11"/>
      <c r="F254" s="45"/>
      <c r="G254" s="45"/>
      <c r="H254" s="45"/>
      <c r="I254" s="45"/>
      <c r="J254" s="42"/>
      <c r="K254" s="42"/>
      <c r="L254" s="42"/>
      <c r="M254" s="42"/>
      <c r="N254" s="42"/>
      <c r="O254" s="42"/>
      <c r="P254" s="42"/>
      <c r="Q254" s="52"/>
    </row>
    <row r="255" spans="1:17" x14ac:dyDescent="0.25">
      <c r="A255" s="7"/>
      <c r="B255" s="15"/>
      <c r="C255" s="15"/>
      <c r="D255" s="15"/>
      <c r="E255" s="11"/>
      <c r="F255" s="45"/>
      <c r="G255" s="45"/>
      <c r="H255" s="45"/>
      <c r="I255" s="45"/>
      <c r="J255" s="42"/>
      <c r="K255" s="42"/>
      <c r="L255" s="42"/>
      <c r="M255" s="42"/>
      <c r="N255" s="42"/>
      <c r="O255" s="42"/>
      <c r="P255" s="42"/>
      <c r="Q255" s="52"/>
    </row>
    <row r="256" spans="1:17" x14ac:dyDescent="0.25">
      <c r="A256" s="7"/>
      <c r="B256" s="15"/>
      <c r="C256" s="15"/>
      <c r="D256" s="15"/>
      <c r="E256" s="11"/>
      <c r="F256" s="45"/>
      <c r="G256" s="45"/>
      <c r="H256" s="45"/>
      <c r="I256" s="45"/>
      <c r="J256" s="42"/>
      <c r="K256" s="42"/>
      <c r="L256" s="42"/>
      <c r="M256" s="42"/>
      <c r="N256" s="42"/>
      <c r="O256" s="42"/>
      <c r="P256" s="42"/>
      <c r="Q256" s="52"/>
    </row>
    <row r="257" spans="1:17" x14ac:dyDescent="0.25">
      <c r="A257" s="7"/>
      <c r="B257" s="15"/>
      <c r="C257" s="15"/>
      <c r="D257" s="15"/>
      <c r="E257" s="11"/>
      <c r="F257" s="45"/>
      <c r="G257" s="45"/>
      <c r="H257" s="45"/>
      <c r="I257" s="45"/>
      <c r="J257" s="42"/>
      <c r="K257" s="42"/>
      <c r="L257" s="42"/>
      <c r="M257" s="42"/>
      <c r="N257" s="42"/>
      <c r="O257" s="42"/>
      <c r="P257" s="42"/>
      <c r="Q257" s="52"/>
    </row>
    <row r="258" spans="1:17" x14ac:dyDescent="0.25">
      <c r="A258" s="7"/>
      <c r="B258" s="15"/>
      <c r="C258" s="15"/>
      <c r="D258" s="15"/>
      <c r="E258" s="11"/>
      <c r="F258" s="45"/>
      <c r="G258" s="45"/>
      <c r="H258" s="45"/>
      <c r="I258" s="45"/>
      <c r="J258" s="42"/>
      <c r="K258" s="42"/>
      <c r="L258" s="42"/>
      <c r="M258" s="42"/>
      <c r="N258" s="42"/>
      <c r="O258" s="42"/>
      <c r="P258" s="42"/>
      <c r="Q258" s="52"/>
    </row>
    <row r="259" spans="1:17" x14ac:dyDescent="0.25">
      <c r="A259" s="7"/>
      <c r="B259" s="15"/>
      <c r="C259" s="15"/>
      <c r="D259" s="15"/>
      <c r="E259" s="11"/>
      <c r="F259" s="45"/>
      <c r="G259" s="45"/>
      <c r="H259" s="45"/>
      <c r="I259" s="45"/>
      <c r="J259" s="42"/>
      <c r="K259" s="42"/>
      <c r="L259" s="42"/>
      <c r="M259" s="42"/>
      <c r="N259" s="42"/>
      <c r="O259" s="42"/>
      <c r="P259" s="42"/>
      <c r="Q259" s="52"/>
    </row>
    <row r="260" spans="1:17" x14ac:dyDescent="0.25">
      <c r="A260" s="7"/>
      <c r="B260" s="15"/>
      <c r="C260" s="15"/>
      <c r="D260" s="15"/>
      <c r="E260" s="11"/>
      <c r="F260" s="45"/>
      <c r="G260" s="45"/>
      <c r="H260" s="45"/>
      <c r="I260" s="45"/>
      <c r="J260" s="42"/>
      <c r="K260" s="42"/>
      <c r="L260" s="42"/>
      <c r="M260" s="42"/>
      <c r="N260" s="42"/>
      <c r="O260" s="42"/>
      <c r="P260" s="42"/>
      <c r="Q260" s="52"/>
    </row>
    <row r="261" spans="1:17" x14ac:dyDescent="0.25">
      <c r="A261" s="7"/>
      <c r="B261" s="15"/>
      <c r="C261" s="15"/>
      <c r="D261" s="15"/>
      <c r="E261" s="11"/>
      <c r="F261" s="45"/>
      <c r="G261" s="45"/>
      <c r="H261" s="45"/>
      <c r="I261" s="45"/>
      <c r="J261" s="42"/>
      <c r="K261" s="42"/>
      <c r="L261" s="42"/>
      <c r="M261" s="42"/>
      <c r="N261" s="42"/>
      <c r="O261" s="42"/>
      <c r="P261" s="42"/>
      <c r="Q261" s="52"/>
    </row>
    <row r="262" spans="1:17" x14ac:dyDescent="0.25">
      <c r="A262" s="7"/>
      <c r="B262" s="15"/>
      <c r="C262" s="15"/>
      <c r="D262" s="15"/>
      <c r="E262" s="11"/>
      <c r="F262" s="45"/>
      <c r="G262" s="45"/>
      <c r="H262" s="45"/>
      <c r="I262" s="45"/>
      <c r="J262" s="42"/>
      <c r="K262" s="42"/>
      <c r="L262" s="42"/>
      <c r="M262" s="42"/>
      <c r="N262" s="42"/>
      <c r="O262" s="42"/>
      <c r="P262" s="42"/>
      <c r="Q262" s="52"/>
    </row>
    <row r="263" spans="1:17" x14ac:dyDescent="0.25">
      <c r="A263" s="7"/>
      <c r="B263" s="15"/>
      <c r="C263" s="15"/>
      <c r="D263" s="15"/>
      <c r="E263" s="11"/>
      <c r="F263" s="45"/>
      <c r="G263" s="45"/>
      <c r="H263" s="45"/>
      <c r="I263" s="45"/>
      <c r="J263" s="42"/>
      <c r="K263" s="42"/>
      <c r="L263" s="42"/>
      <c r="M263" s="42"/>
      <c r="N263" s="42"/>
      <c r="O263" s="42"/>
      <c r="P263" s="42"/>
      <c r="Q263" s="52"/>
    </row>
    <row r="264" spans="1:17" x14ac:dyDescent="0.25">
      <c r="A264" s="7"/>
      <c r="B264" s="15"/>
      <c r="C264" s="15"/>
      <c r="D264" s="15"/>
      <c r="E264" s="11"/>
      <c r="F264" s="45"/>
      <c r="G264" s="45"/>
      <c r="H264" s="45"/>
      <c r="I264" s="45"/>
      <c r="J264" s="42"/>
      <c r="K264" s="42"/>
      <c r="L264" s="42"/>
      <c r="M264" s="42"/>
      <c r="N264" s="42"/>
      <c r="O264" s="42"/>
      <c r="P264" s="42"/>
      <c r="Q264" s="52"/>
    </row>
    <row r="265" spans="1:17" x14ac:dyDescent="0.25">
      <c r="A265" s="7"/>
      <c r="B265" s="15"/>
      <c r="C265" s="15"/>
      <c r="D265" s="15"/>
      <c r="E265" s="11"/>
      <c r="F265" s="45"/>
      <c r="G265" s="45"/>
      <c r="H265" s="45"/>
      <c r="I265" s="45"/>
      <c r="J265" s="42"/>
      <c r="K265" s="42"/>
      <c r="L265" s="42"/>
      <c r="M265" s="42"/>
      <c r="N265" s="42"/>
      <c r="O265" s="42"/>
      <c r="P265" s="42"/>
      <c r="Q265" s="52"/>
    </row>
    <row r="266" spans="1:17" x14ac:dyDescent="0.25">
      <c r="A266" s="7"/>
      <c r="B266" s="15"/>
      <c r="C266" s="15"/>
      <c r="D266" s="15"/>
      <c r="E266" s="11"/>
      <c r="F266" s="45"/>
      <c r="G266" s="45"/>
      <c r="H266" s="45"/>
      <c r="I266" s="45"/>
      <c r="J266" s="42"/>
      <c r="K266" s="42"/>
      <c r="L266" s="42"/>
      <c r="M266" s="42"/>
      <c r="N266" s="42"/>
      <c r="O266" s="42"/>
      <c r="P266" s="42"/>
      <c r="Q266" s="52"/>
    </row>
    <row r="267" spans="1:17" x14ac:dyDescent="0.25">
      <c r="A267" s="7"/>
      <c r="B267" s="15"/>
      <c r="C267" s="15"/>
      <c r="D267" s="15"/>
      <c r="E267" s="11"/>
      <c r="F267" s="45"/>
      <c r="G267" s="45"/>
      <c r="H267" s="45"/>
      <c r="I267" s="45"/>
      <c r="J267" s="42"/>
      <c r="K267" s="42"/>
      <c r="L267" s="42"/>
      <c r="M267" s="42"/>
      <c r="N267" s="42"/>
      <c r="O267" s="42"/>
      <c r="P267" s="42"/>
      <c r="Q267" s="52"/>
    </row>
    <row r="268" spans="1:17" x14ac:dyDescent="0.25">
      <c r="A268" s="7"/>
      <c r="B268" s="15"/>
      <c r="C268" s="15"/>
      <c r="D268" s="15"/>
      <c r="E268" s="11"/>
      <c r="F268" s="45"/>
      <c r="G268" s="45"/>
      <c r="H268" s="45"/>
      <c r="I268" s="45"/>
      <c r="J268" s="42"/>
      <c r="K268" s="42"/>
      <c r="L268" s="42"/>
      <c r="M268" s="42"/>
      <c r="N268" s="42"/>
      <c r="O268" s="42"/>
      <c r="P268" s="42"/>
      <c r="Q268" s="52"/>
    </row>
    <row r="269" spans="1:17" x14ac:dyDescent="0.25">
      <c r="A269" s="7"/>
      <c r="B269" s="15"/>
      <c r="C269" s="15"/>
      <c r="D269" s="15"/>
      <c r="E269" s="11"/>
      <c r="F269" s="45"/>
      <c r="G269" s="45"/>
      <c r="H269" s="45"/>
      <c r="I269" s="45"/>
      <c r="J269" s="42"/>
      <c r="K269" s="42"/>
      <c r="L269" s="42"/>
      <c r="M269" s="42"/>
      <c r="N269" s="42"/>
      <c r="O269" s="42"/>
      <c r="P269" s="42"/>
      <c r="Q269" s="52"/>
    </row>
    <row r="270" spans="1:17" x14ac:dyDescent="0.25">
      <c r="A270" s="7"/>
      <c r="B270" s="15"/>
      <c r="C270" s="15"/>
      <c r="D270" s="15"/>
      <c r="E270" s="11"/>
      <c r="F270" s="45"/>
      <c r="G270" s="45"/>
      <c r="H270" s="45"/>
      <c r="I270" s="45"/>
      <c r="J270" s="42"/>
      <c r="K270" s="42"/>
      <c r="L270" s="42"/>
      <c r="M270" s="42"/>
      <c r="N270" s="42"/>
      <c r="O270" s="42"/>
      <c r="P270" s="42"/>
      <c r="Q270" s="52"/>
    </row>
    <row r="271" spans="1:17" x14ac:dyDescent="0.25">
      <c r="A271" s="7"/>
      <c r="B271" s="15"/>
      <c r="C271" s="15"/>
      <c r="D271" s="15"/>
      <c r="E271" s="11"/>
      <c r="F271" s="45"/>
      <c r="G271" s="45"/>
      <c r="H271" s="45"/>
      <c r="I271" s="45"/>
      <c r="J271" s="42"/>
      <c r="K271" s="42"/>
      <c r="L271" s="42"/>
      <c r="M271" s="42"/>
      <c r="N271" s="42"/>
      <c r="O271" s="42"/>
      <c r="P271" s="42"/>
      <c r="Q271" s="52"/>
    </row>
    <row r="272" spans="1:17" x14ac:dyDescent="0.25">
      <c r="A272" s="7"/>
      <c r="B272" s="15"/>
      <c r="C272" s="15"/>
      <c r="D272" s="15"/>
      <c r="E272" s="11"/>
      <c r="F272" s="45"/>
      <c r="G272" s="45"/>
      <c r="H272" s="45"/>
      <c r="I272" s="45"/>
      <c r="J272" s="42"/>
      <c r="K272" s="42"/>
      <c r="L272" s="42"/>
      <c r="M272" s="42"/>
      <c r="N272" s="42"/>
      <c r="O272" s="42"/>
      <c r="P272" s="42"/>
      <c r="Q272" s="52"/>
    </row>
    <row r="273" spans="1:17" x14ac:dyDescent="0.25">
      <c r="A273" s="7"/>
      <c r="B273" s="15"/>
      <c r="C273" s="15"/>
      <c r="D273" s="15"/>
      <c r="E273" s="11"/>
      <c r="F273" s="45"/>
      <c r="G273" s="45"/>
      <c r="H273" s="45"/>
      <c r="I273" s="45"/>
      <c r="J273" s="42"/>
      <c r="K273" s="42"/>
      <c r="L273" s="42"/>
      <c r="M273" s="42"/>
      <c r="N273" s="42"/>
      <c r="O273" s="42"/>
      <c r="P273" s="42"/>
      <c r="Q273" s="52"/>
    </row>
    <row r="274" spans="1:17" x14ac:dyDescent="0.25">
      <c r="A274" s="7"/>
      <c r="B274" s="15"/>
      <c r="C274" s="15"/>
      <c r="D274" s="15"/>
      <c r="E274" s="11"/>
      <c r="F274" s="45"/>
      <c r="G274" s="45"/>
      <c r="H274" s="45"/>
      <c r="I274" s="45"/>
      <c r="J274" s="42"/>
      <c r="K274" s="42"/>
      <c r="L274" s="42"/>
      <c r="M274" s="42"/>
      <c r="N274" s="42"/>
      <c r="O274" s="42"/>
      <c r="P274" s="42"/>
      <c r="Q274" s="52"/>
    </row>
    <row r="275" spans="1:17" x14ac:dyDescent="0.25">
      <c r="A275" s="7"/>
      <c r="B275" s="15"/>
      <c r="C275" s="15"/>
      <c r="D275" s="15"/>
      <c r="E275" s="11"/>
      <c r="F275" s="45"/>
      <c r="G275" s="45"/>
      <c r="H275" s="45"/>
      <c r="I275" s="45"/>
      <c r="J275" s="42"/>
      <c r="K275" s="42"/>
      <c r="L275" s="42"/>
      <c r="M275" s="42"/>
      <c r="N275" s="42"/>
      <c r="O275" s="42"/>
      <c r="P275" s="42"/>
      <c r="Q275" s="52"/>
    </row>
    <row r="276" spans="1:17" x14ac:dyDescent="0.25">
      <c r="A276" s="7"/>
      <c r="B276" s="15"/>
      <c r="C276" s="15"/>
      <c r="D276" s="15"/>
      <c r="E276" s="11"/>
      <c r="F276" s="45"/>
      <c r="G276" s="45"/>
      <c r="H276" s="45"/>
      <c r="I276" s="45"/>
      <c r="J276" s="42"/>
      <c r="K276" s="42"/>
      <c r="L276" s="42"/>
      <c r="M276" s="42"/>
      <c r="N276" s="42"/>
      <c r="O276" s="42"/>
      <c r="P276" s="42"/>
      <c r="Q276" s="52"/>
    </row>
    <row r="277" spans="1:17" x14ac:dyDescent="0.25">
      <c r="A277" s="7"/>
      <c r="B277" s="15"/>
      <c r="C277" s="15"/>
      <c r="D277" s="15"/>
      <c r="E277" s="11"/>
      <c r="F277" s="45"/>
      <c r="G277" s="45"/>
      <c r="H277" s="45"/>
      <c r="I277" s="45"/>
      <c r="J277" s="42"/>
      <c r="K277" s="42"/>
      <c r="L277" s="42"/>
      <c r="M277" s="42"/>
      <c r="N277" s="42"/>
      <c r="O277" s="42"/>
      <c r="P277" s="42"/>
      <c r="Q277" s="52"/>
    </row>
    <row r="278" spans="1:17" x14ac:dyDescent="0.25">
      <c r="A278" s="7"/>
      <c r="B278" s="15"/>
      <c r="C278" s="15"/>
      <c r="D278" s="15"/>
      <c r="E278" s="11"/>
      <c r="F278" s="45"/>
      <c r="G278" s="45"/>
      <c r="H278" s="45"/>
      <c r="I278" s="45"/>
      <c r="J278" s="42"/>
      <c r="K278" s="42"/>
      <c r="L278" s="42"/>
      <c r="M278" s="42"/>
      <c r="N278" s="42"/>
      <c r="O278" s="42"/>
      <c r="P278" s="42"/>
      <c r="Q278" s="52"/>
    </row>
    <row r="279" spans="1:17" x14ac:dyDescent="0.25">
      <c r="A279" s="7"/>
      <c r="B279" s="15"/>
      <c r="C279" s="15"/>
      <c r="D279" s="15"/>
      <c r="E279" s="11"/>
      <c r="F279" s="45"/>
      <c r="G279" s="45"/>
      <c r="H279" s="45"/>
      <c r="I279" s="45"/>
      <c r="J279" s="42"/>
      <c r="K279" s="42"/>
      <c r="L279" s="42"/>
      <c r="M279" s="42"/>
      <c r="N279" s="42"/>
      <c r="O279" s="42"/>
      <c r="P279" s="42"/>
      <c r="Q279" s="52"/>
    </row>
    <row r="280" spans="1:17" x14ac:dyDescent="0.25">
      <c r="A280" s="7"/>
      <c r="B280" s="15"/>
      <c r="C280" s="15"/>
      <c r="D280" s="15"/>
      <c r="E280" s="11"/>
      <c r="F280" s="45"/>
      <c r="G280" s="45"/>
      <c r="H280" s="45"/>
      <c r="I280" s="45"/>
      <c r="J280" s="42"/>
      <c r="K280" s="42"/>
      <c r="L280" s="42"/>
      <c r="M280" s="42"/>
      <c r="N280" s="42"/>
      <c r="O280" s="42"/>
      <c r="P280" s="42"/>
      <c r="Q280" s="52"/>
    </row>
    <row r="281" spans="1:17" x14ac:dyDescent="0.25">
      <c r="A281" s="7"/>
      <c r="B281" s="15"/>
      <c r="C281" s="15"/>
      <c r="D281" s="15"/>
      <c r="E281" s="11"/>
      <c r="F281" s="45"/>
      <c r="G281" s="45"/>
      <c r="H281" s="45"/>
      <c r="I281" s="45"/>
      <c r="J281" s="42"/>
      <c r="K281" s="42"/>
      <c r="L281" s="42"/>
      <c r="M281" s="42"/>
      <c r="N281" s="42"/>
      <c r="O281" s="42"/>
      <c r="P281" s="42"/>
      <c r="Q281" s="52"/>
    </row>
    <row r="282" spans="1:17" x14ac:dyDescent="0.25">
      <c r="A282" s="7"/>
      <c r="B282" s="15"/>
      <c r="C282" s="15"/>
      <c r="D282" s="15"/>
      <c r="E282" s="11"/>
      <c r="F282" s="45"/>
      <c r="G282" s="45"/>
      <c r="H282" s="45"/>
      <c r="I282" s="45"/>
      <c r="J282" s="42"/>
      <c r="K282" s="42"/>
      <c r="L282" s="42"/>
      <c r="M282" s="42"/>
      <c r="N282" s="42"/>
      <c r="O282" s="42"/>
      <c r="P282" s="42"/>
      <c r="Q282" s="52"/>
    </row>
    <row r="283" spans="1:17" x14ac:dyDescent="0.25">
      <c r="A283" s="7"/>
      <c r="B283" s="15"/>
      <c r="C283" s="15"/>
      <c r="D283" s="15"/>
      <c r="E283" s="11"/>
      <c r="F283" s="45"/>
      <c r="G283" s="45"/>
      <c r="H283" s="45"/>
      <c r="I283" s="45"/>
      <c r="J283" s="42"/>
      <c r="K283" s="42"/>
      <c r="L283" s="42"/>
      <c r="M283" s="42"/>
      <c r="N283" s="42"/>
      <c r="O283" s="42"/>
      <c r="P283" s="42"/>
      <c r="Q283" s="52"/>
    </row>
    <row r="284" spans="1:17" x14ac:dyDescent="0.25">
      <c r="A284" s="7"/>
      <c r="B284" s="15"/>
      <c r="C284" s="15"/>
      <c r="D284" s="15"/>
      <c r="E284" s="11"/>
      <c r="F284" s="45"/>
      <c r="G284" s="45"/>
      <c r="H284" s="45"/>
      <c r="I284" s="45"/>
      <c r="J284" s="42"/>
      <c r="K284" s="42"/>
      <c r="L284" s="42"/>
      <c r="M284" s="42"/>
      <c r="N284" s="42"/>
      <c r="O284" s="42"/>
      <c r="P284" s="42"/>
      <c r="Q284" s="52"/>
    </row>
    <row r="285" spans="1:17" x14ac:dyDescent="0.25">
      <c r="A285" s="7"/>
      <c r="B285" s="15"/>
      <c r="C285" s="15"/>
      <c r="D285" s="15"/>
      <c r="E285" s="11"/>
      <c r="F285" s="45"/>
      <c r="G285" s="45"/>
      <c r="H285" s="45"/>
      <c r="I285" s="45"/>
      <c r="J285" s="42"/>
      <c r="K285" s="42"/>
      <c r="L285" s="42"/>
      <c r="M285" s="42"/>
      <c r="N285" s="42"/>
      <c r="O285" s="42"/>
      <c r="P285" s="42"/>
      <c r="Q285" s="52"/>
    </row>
    <row r="286" spans="1:17" x14ac:dyDescent="0.25">
      <c r="A286" s="7"/>
      <c r="B286" s="15"/>
      <c r="C286" s="15"/>
      <c r="D286" s="15"/>
      <c r="E286" s="11"/>
      <c r="F286" s="45"/>
      <c r="G286" s="45"/>
      <c r="H286" s="45"/>
      <c r="I286" s="45"/>
      <c r="J286" s="42"/>
      <c r="K286" s="42"/>
      <c r="L286" s="42"/>
      <c r="M286" s="42"/>
      <c r="N286" s="42"/>
      <c r="O286" s="42"/>
      <c r="P286" s="42"/>
      <c r="Q286" s="52"/>
    </row>
    <row r="287" spans="1:17" x14ac:dyDescent="0.25">
      <c r="A287" s="7"/>
      <c r="B287" s="15"/>
      <c r="C287" s="15"/>
      <c r="D287" s="15"/>
      <c r="E287" s="11"/>
      <c r="F287" s="45"/>
      <c r="G287" s="45"/>
      <c r="H287" s="45"/>
      <c r="I287" s="45"/>
      <c r="J287" s="42"/>
      <c r="K287" s="42"/>
      <c r="L287" s="42"/>
      <c r="M287" s="42"/>
      <c r="N287" s="42"/>
      <c r="O287" s="42"/>
      <c r="P287" s="42"/>
      <c r="Q287" s="52"/>
    </row>
    <row r="288" spans="1:17" x14ac:dyDescent="0.25">
      <c r="A288" s="7"/>
      <c r="B288" s="15"/>
      <c r="C288" s="15"/>
      <c r="D288" s="15"/>
      <c r="E288" s="11"/>
      <c r="F288" s="45"/>
      <c r="G288" s="45"/>
      <c r="H288" s="45"/>
      <c r="I288" s="45"/>
      <c r="J288" s="42"/>
      <c r="K288" s="42"/>
      <c r="L288" s="42"/>
      <c r="M288" s="42"/>
      <c r="N288" s="42"/>
      <c r="O288" s="42"/>
      <c r="P288" s="42"/>
      <c r="Q288" s="52"/>
    </row>
    <row r="289" spans="1:17" x14ac:dyDescent="0.25">
      <c r="A289" s="7"/>
      <c r="B289" s="15"/>
      <c r="C289" s="15"/>
      <c r="D289" s="15"/>
      <c r="E289" s="11"/>
      <c r="F289" s="45"/>
      <c r="G289" s="45"/>
      <c r="H289" s="45"/>
      <c r="I289" s="45"/>
      <c r="J289" s="42"/>
      <c r="K289" s="42"/>
      <c r="L289" s="42"/>
      <c r="M289" s="42"/>
      <c r="N289" s="42"/>
      <c r="O289" s="42"/>
      <c r="P289" s="42"/>
      <c r="Q289" s="52"/>
    </row>
    <row r="290" spans="1:17" x14ac:dyDescent="0.25">
      <c r="A290" s="7"/>
      <c r="B290" s="15"/>
      <c r="C290" s="15"/>
      <c r="D290" s="15"/>
      <c r="E290" s="11"/>
      <c r="F290" s="45"/>
      <c r="G290" s="45"/>
      <c r="H290" s="45"/>
      <c r="I290" s="45"/>
      <c r="J290" s="42"/>
      <c r="K290" s="42"/>
      <c r="L290" s="42"/>
      <c r="M290" s="42"/>
      <c r="N290" s="42"/>
      <c r="O290" s="42"/>
      <c r="P290" s="42"/>
      <c r="Q290" s="52"/>
    </row>
    <row r="291" spans="1:17" x14ac:dyDescent="0.25">
      <c r="A291" s="7"/>
      <c r="B291" s="15"/>
      <c r="C291" s="15"/>
      <c r="D291" s="15"/>
      <c r="E291" s="11"/>
      <c r="F291" s="45"/>
      <c r="G291" s="45"/>
      <c r="H291" s="45"/>
      <c r="I291" s="45"/>
      <c r="J291" s="42"/>
      <c r="K291" s="42"/>
      <c r="L291" s="42"/>
      <c r="M291" s="42"/>
      <c r="N291" s="42"/>
      <c r="O291" s="42"/>
      <c r="P291" s="42"/>
      <c r="Q291" s="52"/>
    </row>
    <row r="292" spans="1:17" x14ac:dyDescent="0.25">
      <c r="A292" s="7"/>
      <c r="B292" s="15"/>
      <c r="C292" s="15"/>
      <c r="D292" s="15"/>
      <c r="E292" s="11"/>
      <c r="F292" s="45"/>
      <c r="G292" s="45"/>
      <c r="H292" s="45"/>
      <c r="I292" s="45"/>
      <c r="J292" s="42"/>
      <c r="K292" s="42"/>
      <c r="L292" s="42"/>
      <c r="M292" s="42"/>
      <c r="N292" s="42"/>
      <c r="O292" s="42"/>
      <c r="P292" s="42"/>
      <c r="Q292" s="52"/>
    </row>
    <row r="293" spans="1:17" x14ac:dyDescent="0.25">
      <c r="A293" s="7"/>
      <c r="B293" s="15"/>
      <c r="C293" s="15"/>
      <c r="D293" s="15"/>
      <c r="E293" s="11"/>
      <c r="F293" s="45"/>
      <c r="G293" s="45"/>
      <c r="H293" s="45"/>
      <c r="I293" s="45"/>
      <c r="J293" s="42"/>
      <c r="K293" s="42"/>
      <c r="L293" s="42"/>
      <c r="M293" s="42"/>
      <c r="N293" s="42"/>
      <c r="O293" s="42"/>
      <c r="P293" s="42"/>
      <c r="Q293" s="52"/>
    </row>
    <row r="294" spans="1:17" x14ac:dyDescent="0.25">
      <c r="A294" s="7"/>
      <c r="B294" s="15"/>
      <c r="C294" s="15"/>
      <c r="D294" s="15"/>
      <c r="E294" s="11"/>
      <c r="F294" s="45"/>
      <c r="G294" s="45"/>
      <c r="H294" s="45"/>
      <c r="I294" s="45"/>
      <c r="J294" s="42"/>
      <c r="K294" s="42"/>
      <c r="L294" s="42"/>
      <c r="M294" s="42"/>
      <c r="N294" s="42"/>
      <c r="O294" s="42"/>
      <c r="P294" s="42"/>
      <c r="Q294" s="52"/>
    </row>
    <row r="295" spans="1:17" x14ac:dyDescent="0.25">
      <c r="A295" s="7"/>
      <c r="B295" s="15"/>
      <c r="C295" s="15"/>
      <c r="D295" s="15"/>
      <c r="E295" s="11"/>
      <c r="F295" s="45"/>
      <c r="G295" s="45"/>
      <c r="H295" s="45"/>
      <c r="I295" s="45"/>
      <c r="J295" s="42"/>
      <c r="K295" s="42"/>
      <c r="L295" s="42"/>
      <c r="M295" s="42"/>
      <c r="N295" s="42"/>
      <c r="O295" s="42"/>
      <c r="P295" s="42"/>
      <c r="Q295" s="52"/>
    </row>
    <row r="296" spans="1:17" x14ac:dyDescent="0.25">
      <c r="A296" s="7"/>
      <c r="B296" s="15"/>
      <c r="C296" s="15"/>
      <c r="D296" s="15"/>
      <c r="E296" s="11"/>
      <c r="F296" s="45"/>
      <c r="G296" s="45"/>
      <c r="H296" s="45"/>
      <c r="I296" s="45"/>
      <c r="J296" s="42"/>
      <c r="K296" s="42"/>
      <c r="L296" s="42"/>
      <c r="M296" s="42"/>
      <c r="N296" s="42"/>
      <c r="O296" s="42"/>
      <c r="P296" s="42"/>
      <c r="Q296" s="52"/>
    </row>
    <row r="297" spans="1:17" x14ac:dyDescent="0.25">
      <c r="A297" s="7"/>
      <c r="B297" s="15"/>
      <c r="C297" s="15"/>
      <c r="D297" s="15"/>
      <c r="E297" s="11"/>
      <c r="F297" s="45"/>
      <c r="G297" s="45"/>
      <c r="H297" s="45"/>
      <c r="I297" s="45"/>
      <c r="J297" s="42"/>
      <c r="K297" s="42"/>
      <c r="L297" s="42"/>
      <c r="M297" s="42"/>
      <c r="N297" s="42"/>
      <c r="O297" s="42"/>
      <c r="P297" s="42"/>
      <c r="Q297" s="52"/>
    </row>
    <row r="298" spans="1:17" x14ac:dyDescent="0.25">
      <c r="A298" s="7"/>
      <c r="B298" s="15"/>
      <c r="C298" s="15"/>
      <c r="D298" s="15"/>
      <c r="E298" s="11"/>
      <c r="F298" s="45"/>
      <c r="G298" s="45"/>
      <c r="H298" s="45"/>
      <c r="I298" s="45"/>
      <c r="J298" s="42"/>
      <c r="K298" s="42"/>
      <c r="L298" s="42"/>
      <c r="M298" s="42"/>
      <c r="N298" s="42"/>
      <c r="O298" s="42"/>
      <c r="P298" s="42"/>
      <c r="Q298" s="52"/>
    </row>
    <row r="299" spans="1:17" x14ac:dyDescent="0.25">
      <c r="A299" s="7"/>
      <c r="B299" s="15"/>
      <c r="C299" s="15"/>
      <c r="D299" s="15"/>
      <c r="E299" s="11"/>
      <c r="F299" s="45"/>
      <c r="G299" s="45"/>
      <c r="H299" s="45"/>
      <c r="I299" s="45"/>
      <c r="J299" s="42"/>
      <c r="K299" s="42"/>
      <c r="L299" s="42"/>
      <c r="M299" s="42"/>
      <c r="N299" s="42"/>
      <c r="O299" s="42"/>
      <c r="P299" s="42"/>
      <c r="Q299" s="52"/>
    </row>
    <row r="300" spans="1:17" x14ac:dyDescent="0.25">
      <c r="A300" s="7"/>
      <c r="B300" s="15"/>
      <c r="C300" s="15"/>
      <c r="D300" s="15"/>
      <c r="E300" s="11"/>
      <c r="F300" s="45"/>
      <c r="G300" s="45"/>
      <c r="H300" s="45"/>
      <c r="I300" s="45"/>
      <c r="J300" s="42"/>
      <c r="K300" s="42"/>
      <c r="L300" s="42"/>
      <c r="M300" s="42"/>
      <c r="N300" s="42"/>
      <c r="O300" s="42"/>
      <c r="P300" s="42"/>
      <c r="Q300" s="52"/>
    </row>
    <row r="301" spans="1:17" x14ac:dyDescent="0.25">
      <c r="A301" s="7"/>
      <c r="B301" s="15"/>
      <c r="C301" s="15"/>
      <c r="D301" s="15"/>
      <c r="E301" s="11"/>
      <c r="F301" s="45"/>
      <c r="G301" s="45"/>
      <c r="H301" s="45"/>
      <c r="I301" s="45"/>
      <c r="J301" s="42"/>
      <c r="K301" s="42"/>
      <c r="L301" s="42"/>
      <c r="M301" s="42"/>
      <c r="N301" s="42"/>
      <c r="O301" s="42"/>
      <c r="P301" s="42"/>
      <c r="Q301" s="52"/>
    </row>
    <row r="302" spans="1:17" x14ac:dyDescent="0.25">
      <c r="A302" s="7"/>
      <c r="B302" s="15"/>
      <c r="C302" s="15"/>
      <c r="D302" s="15"/>
      <c r="E302" s="11"/>
      <c r="F302" s="45"/>
      <c r="G302" s="45"/>
      <c r="H302" s="45"/>
      <c r="I302" s="45"/>
      <c r="J302" s="42"/>
      <c r="K302" s="42"/>
      <c r="L302" s="42"/>
      <c r="M302" s="42"/>
      <c r="N302" s="42"/>
      <c r="O302" s="42"/>
      <c r="P302" s="42"/>
      <c r="Q302" s="52"/>
    </row>
    <row r="303" spans="1:17" x14ac:dyDescent="0.25">
      <c r="A303" s="7"/>
      <c r="B303" s="15"/>
      <c r="C303" s="15"/>
      <c r="D303" s="15"/>
      <c r="E303" s="11"/>
      <c r="F303" s="45"/>
      <c r="G303" s="45"/>
      <c r="H303" s="45"/>
      <c r="I303" s="45"/>
      <c r="J303" s="42"/>
      <c r="K303" s="42"/>
      <c r="L303" s="42"/>
      <c r="M303" s="42"/>
      <c r="N303" s="42"/>
      <c r="O303" s="42"/>
      <c r="P303" s="42"/>
      <c r="Q303" s="52"/>
    </row>
    <row r="304" spans="1:17" x14ac:dyDescent="0.25">
      <c r="A304" s="7"/>
      <c r="B304" s="15"/>
      <c r="C304" s="15"/>
      <c r="D304" s="15"/>
      <c r="E304" s="11"/>
      <c r="F304" s="45"/>
      <c r="G304" s="45"/>
      <c r="H304" s="45"/>
      <c r="I304" s="45"/>
      <c r="J304" s="42"/>
      <c r="K304" s="42"/>
      <c r="L304" s="42"/>
      <c r="M304" s="42"/>
      <c r="N304" s="42"/>
      <c r="O304" s="42"/>
      <c r="P304" s="42"/>
      <c r="Q304" s="52"/>
    </row>
    <row r="305" spans="1:17" x14ac:dyDescent="0.25">
      <c r="A305" s="7"/>
      <c r="B305" s="15"/>
      <c r="C305" s="15"/>
      <c r="D305" s="15"/>
      <c r="E305" s="11"/>
      <c r="F305" s="45"/>
      <c r="G305" s="45"/>
      <c r="H305" s="45"/>
      <c r="I305" s="45"/>
      <c r="J305" s="42"/>
      <c r="K305" s="42"/>
      <c r="L305" s="42"/>
      <c r="M305" s="42"/>
      <c r="N305" s="42"/>
      <c r="O305" s="42"/>
      <c r="P305" s="42"/>
      <c r="Q305" s="52"/>
    </row>
    <row r="306" spans="1:17" x14ac:dyDescent="0.25">
      <c r="A306" s="7"/>
      <c r="B306" s="15"/>
      <c r="C306" s="15"/>
      <c r="D306" s="15"/>
      <c r="E306" s="11"/>
      <c r="F306" s="45"/>
      <c r="G306" s="45"/>
      <c r="H306" s="45"/>
      <c r="I306" s="45"/>
      <c r="J306" s="42"/>
      <c r="K306" s="42"/>
      <c r="L306" s="42"/>
      <c r="M306" s="42"/>
      <c r="N306" s="42"/>
      <c r="O306" s="42"/>
      <c r="P306" s="42"/>
      <c r="Q306" s="52"/>
    </row>
    <row r="307" spans="1:17" x14ac:dyDescent="0.25">
      <c r="A307" s="7"/>
      <c r="B307" s="15"/>
      <c r="C307" s="15"/>
      <c r="D307" s="15"/>
      <c r="E307" s="11"/>
      <c r="F307" s="45"/>
      <c r="G307" s="45"/>
      <c r="H307" s="45"/>
      <c r="I307" s="45"/>
      <c r="J307" s="42"/>
      <c r="K307" s="42"/>
      <c r="L307" s="42"/>
      <c r="M307" s="42"/>
      <c r="N307" s="42"/>
      <c r="O307" s="42"/>
      <c r="P307" s="42"/>
      <c r="Q307" s="52"/>
    </row>
    <row r="308" spans="1:17" x14ac:dyDescent="0.25">
      <c r="A308" s="7"/>
      <c r="B308" s="15"/>
      <c r="C308" s="15"/>
      <c r="D308" s="15"/>
      <c r="E308" s="11"/>
      <c r="F308" s="45"/>
      <c r="G308" s="45"/>
      <c r="H308" s="45"/>
      <c r="I308" s="45"/>
      <c r="J308" s="42"/>
      <c r="K308" s="42"/>
      <c r="L308" s="42"/>
      <c r="M308" s="42"/>
      <c r="N308" s="42"/>
      <c r="O308" s="42"/>
      <c r="P308" s="42"/>
      <c r="Q308" s="52"/>
    </row>
    <row r="309" spans="1:17" x14ac:dyDescent="0.25">
      <c r="A309" s="7"/>
      <c r="B309" s="15"/>
      <c r="C309" s="15"/>
      <c r="D309" s="15"/>
      <c r="E309" s="11"/>
      <c r="F309" s="45"/>
      <c r="G309" s="45"/>
      <c r="H309" s="45"/>
      <c r="I309" s="45"/>
      <c r="J309" s="42"/>
      <c r="K309" s="42"/>
      <c r="L309" s="42"/>
      <c r="M309" s="42"/>
      <c r="N309" s="42"/>
      <c r="O309" s="42"/>
      <c r="P309" s="42"/>
      <c r="Q309" s="52"/>
    </row>
    <row r="310" spans="1:17" x14ac:dyDescent="0.25">
      <c r="A310" s="7"/>
      <c r="B310" s="15"/>
      <c r="C310" s="15"/>
      <c r="D310" s="15"/>
      <c r="E310" s="11"/>
      <c r="F310" s="45"/>
      <c r="G310" s="45"/>
      <c r="H310" s="45"/>
      <c r="I310" s="45"/>
      <c r="J310" s="42"/>
      <c r="K310" s="42"/>
      <c r="L310" s="42"/>
      <c r="M310" s="42"/>
      <c r="N310" s="42"/>
      <c r="O310" s="42"/>
      <c r="P310" s="42"/>
      <c r="Q310" s="52"/>
    </row>
    <row r="311" spans="1:17" x14ac:dyDescent="0.25">
      <c r="A311" s="7"/>
      <c r="B311" s="15"/>
      <c r="C311" s="15"/>
      <c r="D311" s="15"/>
      <c r="E311" s="11"/>
      <c r="F311" s="45"/>
      <c r="G311" s="45"/>
      <c r="H311" s="45"/>
      <c r="I311" s="45"/>
      <c r="J311" s="42"/>
      <c r="K311" s="42"/>
      <c r="L311" s="42"/>
      <c r="M311" s="42"/>
      <c r="N311" s="42"/>
      <c r="O311" s="42"/>
      <c r="P311" s="42"/>
      <c r="Q311" s="52"/>
    </row>
    <row r="312" spans="1:17" x14ac:dyDescent="0.25">
      <c r="A312" s="7"/>
      <c r="B312" s="15"/>
      <c r="C312" s="15"/>
      <c r="D312" s="15"/>
      <c r="E312" s="11"/>
      <c r="F312" s="45"/>
      <c r="G312" s="45"/>
      <c r="H312" s="45"/>
      <c r="I312" s="45"/>
      <c r="J312" s="42"/>
      <c r="K312" s="42"/>
      <c r="L312" s="42"/>
      <c r="M312" s="42"/>
      <c r="N312" s="42"/>
      <c r="O312" s="42"/>
      <c r="P312" s="42"/>
      <c r="Q312" s="52"/>
    </row>
    <row r="313" spans="1:17" x14ac:dyDescent="0.25">
      <c r="A313" s="7"/>
      <c r="B313" s="15"/>
      <c r="C313" s="15"/>
      <c r="D313" s="15"/>
      <c r="E313" s="11"/>
      <c r="F313" s="45"/>
      <c r="G313" s="45"/>
      <c r="H313" s="45"/>
      <c r="I313" s="45"/>
      <c r="J313" s="42"/>
      <c r="K313" s="42"/>
      <c r="L313" s="42"/>
      <c r="M313" s="42"/>
      <c r="N313" s="42"/>
      <c r="O313" s="42"/>
      <c r="P313" s="42"/>
      <c r="Q313" s="52"/>
    </row>
    <row r="314" spans="1:17" x14ac:dyDescent="0.25">
      <c r="A314" s="7"/>
      <c r="B314" s="15"/>
      <c r="C314" s="15"/>
      <c r="D314" s="15"/>
      <c r="E314" s="11"/>
      <c r="F314" s="45"/>
      <c r="G314" s="45"/>
      <c r="H314" s="45"/>
      <c r="I314" s="45"/>
      <c r="J314" s="42"/>
      <c r="K314" s="42"/>
      <c r="L314" s="42"/>
      <c r="M314" s="42"/>
      <c r="N314" s="42"/>
      <c r="O314" s="42"/>
      <c r="P314" s="42"/>
      <c r="Q314" s="52"/>
    </row>
    <row r="315" spans="1:17" x14ac:dyDescent="0.25">
      <c r="A315" s="7"/>
      <c r="B315" s="15"/>
      <c r="C315" s="15"/>
      <c r="D315" s="15"/>
      <c r="E315" s="11"/>
      <c r="F315" s="45"/>
      <c r="G315" s="45"/>
      <c r="H315" s="45"/>
      <c r="I315" s="45"/>
      <c r="J315" s="42"/>
      <c r="K315" s="42"/>
      <c r="L315" s="42"/>
      <c r="M315" s="42"/>
      <c r="N315" s="42"/>
      <c r="O315" s="42"/>
      <c r="P315" s="42"/>
      <c r="Q315" s="52"/>
    </row>
    <row r="316" spans="1:17" x14ac:dyDescent="0.25">
      <c r="A316" s="7"/>
      <c r="B316" s="15"/>
      <c r="C316" s="15"/>
      <c r="D316" s="15"/>
      <c r="E316" s="11"/>
      <c r="F316" s="45"/>
      <c r="G316" s="45"/>
      <c r="H316" s="45"/>
      <c r="I316" s="45"/>
      <c r="J316" s="42"/>
      <c r="K316" s="42"/>
      <c r="L316" s="42"/>
      <c r="M316" s="42"/>
      <c r="N316" s="42"/>
      <c r="O316" s="42"/>
      <c r="P316" s="42"/>
      <c r="Q316" s="52"/>
    </row>
    <row r="317" spans="1:17" x14ac:dyDescent="0.25">
      <c r="A317" s="7"/>
      <c r="B317" s="15"/>
      <c r="C317" s="15"/>
      <c r="D317" s="15"/>
      <c r="E317" s="11"/>
      <c r="F317" s="45"/>
      <c r="G317" s="45"/>
      <c r="H317" s="45"/>
      <c r="I317" s="45"/>
      <c r="J317" s="42"/>
      <c r="K317" s="42"/>
      <c r="L317" s="42"/>
      <c r="M317" s="42"/>
      <c r="N317" s="42"/>
      <c r="O317" s="42"/>
      <c r="P317" s="42"/>
      <c r="Q317" s="52"/>
    </row>
    <row r="318" spans="1:17" x14ac:dyDescent="0.25">
      <c r="A318" s="7"/>
      <c r="B318" s="15"/>
      <c r="C318" s="15"/>
      <c r="D318" s="15"/>
      <c r="E318" s="11"/>
      <c r="F318" s="45"/>
      <c r="G318" s="45"/>
      <c r="H318" s="45"/>
      <c r="I318" s="45"/>
      <c r="J318" s="42"/>
      <c r="K318" s="42"/>
      <c r="L318" s="42"/>
      <c r="M318" s="42"/>
      <c r="N318" s="42"/>
      <c r="O318" s="42"/>
      <c r="P318" s="42"/>
      <c r="Q318" s="52"/>
    </row>
    <row r="319" spans="1:17" x14ac:dyDescent="0.25">
      <c r="A319" s="7"/>
      <c r="B319" s="15"/>
      <c r="C319" s="15"/>
      <c r="D319" s="15"/>
      <c r="E319" s="11"/>
      <c r="F319" s="45"/>
      <c r="G319" s="45"/>
      <c r="H319" s="45"/>
      <c r="I319" s="45"/>
      <c r="J319" s="42"/>
      <c r="K319" s="42"/>
      <c r="L319" s="42"/>
      <c r="M319" s="42"/>
      <c r="N319" s="42"/>
      <c r="O319" s="42"/>
      <c r="P319" s="42"/>
      <c r="Q319" s="52"/>
    </row>
    <row r="320" spans="1:17" x14ac:dyDescent="0.25">
      <c r="A320" s="7"/>
      <c r="B320" s="15"/>
      <c r="C320" s="15"/>
      <c r="D320" s="15"/>
      <c r="E320" s="11"/>
      <c r="F320" s="45"/>
      <c r="G320" s="45"/>
      <c r="H320" s="45"/>
      <c r="I320" s="45"/>
      <c r="J320" s="42"/>
      <c r="K320" s="42"/>
      <c r="L320" s="42"/>
      <c r="M320" s="42"/>
      <c r="N320" s="42"/>
      <c r="O320" s="42"/>
      <c r="P320" s="42"/>
      <c r="Q320" s="52"/>
    </row>
    <row r="321" spans="1:17" x14ac:dyDescent="0.25">
      <c r="A321" s="7"/>
      <c r="B321" s="15"/>
      <c r="C321" s="15"/>
      <c r="D321" s="15"/>
      <c r="E321" s="11"/>
      <c r="F321" s="45"/>
      <c r="G321" s="45"/>
      <c r="H321" s="45"/>
      <c r="I321" s="45"/>
      <c r="J321" s="42"/>
      <c r="K321" s="42"/>
      <c r="L321" s="42"/>
      <c r="M321" s="42"/>
      <c r="N321" s="42"/>
      <c r="O321" s="42"/>
      <c r="P321" s="42"/>
      <c r="Q321" s="52"/>
    </row>
    <row r="322" spans="1:17" x14ac:dyDescent="0.25">
      <c r="A322" s="7"/>
      <c r="B322" s="15"/>
      <c r="C322" s="15"/>
      <c r="D322" s="15"/>
      <c r="E322" s="11"/>
      <c r="F322" s="45"/>
      <c r="G322" s="45"/>
      <c r="H322" s="45"/>
      <c r="I322" s="45"/>
      <c r="J322" s="42"/>
      <c r="K322" s="42"/>
      <c r="L322" s="42"/>
      <c r="M322" s="42"/>
      <c r="N322" s="42"/>
      <c r="O322" s="42"/>
      <c r="P322" s="42"/>
      <c r="Q322" s="52"/>
    </row>
    <row r="323" spans="1:17" x14ac:dyDescent="0.25">
      <c r="A323" s="7"/>
      <c r="B323" s="15"/>
      <c r="C323" s="15"/>
      <c r="D323" s="15"/>
      <c r="E323" s="11"/>
      <c r="F323" s="45"/>
      <c r="G323" s="45"/>
      <c r="H323" s="45"/>
      <c r="I323" s="45"/>
      <c r="J323" s="42"/>
      <c r="K323" s="42"/>
      <c r="L323" s="42"/>
      <c r="M323" s="42"/>
      <c r="N323" s="42"/>
      <c r="O323" s="42"/>
      <c r="P323" s="42"/>
      <c r="Q323" s="52"/>
    </row>
    <row r="324" spans="1:17" x14ac:dyDescent="0.25">
      <c r="A324" s="7"/>
      <c r="B324" s="15"/>
      <c r="C324" s="15"/>
      <c r="D324" s="15"/>
      <c r="E324" s="11"/>
      <c r="F324" s="45"/>
      <c r="G324" s="45"/>
      <c r="H324" s="45"/>
      <c r="I324" s="45"/>
      <c r="J324" s="42"/>
      <c r="K324" s="42"/>
      <c r="L324" s="42"/>
      <c r="M324" s="42"/>
      <c r="N324" s="42"/>
      <c r="O324" s="42"/>
      <c r="P324" s="42"/>
      <c r="Q324" s="52"/>
    </row>
    <row r="325" spans="1:17" x14ac:dyDescent="0.25">
      <c r="A325" s="7"/>
      <c r="B325" s="15"/>
      <c r="C325" s="15"/>
      <c r="D325" s="15"/>
      <c r="E325" s="11"/>
      <c r="F325" s="45"/>
      <c r="G325" s="45"/>
      <c r="H325" s="45"/>
      <c r="I325" s="45"/>
      <c r="J325" s="42"/>
      <c r="K325" s="42"/>
      <c r="L325" s="42"/>
      <c r="M325" s="42"/>
      <c r="N325" s="42"/>
      <c r="O325" s="42"/>
      <c r="P325" s="42"/>
      <c r="Q325" s="52"/>
    </row>
    <row r="326" spans="1:17" x14ac:dyDescent="0.25">
      <c r="A326" s="7"/>
      <c r="B326" s="15"/>
      <c r="C326" s="15"/>
      <c r="D326" s="15"/>
      <c r="E326" s="11"/>
      <c r="F326" s="45"/>
      <c r="G326" s="45"/>
      <c r="H326" s="45"/>
      <c r="I326" s="45"/>
      <c r="J326" s="42"/>
      <c r="K326" s="42"/>
      <c r="L326" s="42"/>
      <c r="M326" s="42"/>
      <c r="N326" s="42"/>
      <c r="O326" s="42"/>
      <c r="P326" s="42"/>
      <c r="Q326" s="52"/>
    </row>
    <row r="327" spans="1:17" x14ac:dyDescent="0.25">
      <c r="A327" s="7"/>
      <c r="B327" s="15"/>
      <c r="C327" s="15"/>
      <c r="D327" s="15"/>
      <c r="E327" s="11"/>
      <c r="F327" s="45"/>
      <c r="G327" s="45"/>
      <c r="H327" s="45"/>
      <c r="I327" s="45"/>
      <c r="J327" s="42"/>
      <c r="K327" s="42"/>
      <c r="L327" s="42"/>
      <c r="M327" s="42"/>
      <c r="N327" s="42"/>
      <c r="O327" s="42"/>
      <c r="P327" s="42"/>
      <c r="Q327" s="52"/>
    </row>
    <row r="328" spans="1:17" x14ac:dyDescent="0.25">
      <c r="A328" s="7"/>
      <c r="B328" s="15"/>
      <c r="C328" s="15"/>
      <c r="D328" s="15"/>
      <c r="E328" s="11"/>
      <c r="F328" s="45"/>
      <c r="G328" s="45"/>
      <c r="H328" s="45"/>
      <c r="I328" s="45"/>
      <c r="J328" s="42"/>
      <c r="K328" s="42"/>
      <c r="L328" s="42"/>
      <c r="M328" s="42"/>
      <c r="N328" s="42"/>
      <c r="O328" s="42"/>
      <c r="P328" s="42"/>
      <c r="Q328" s="52"/>
    </row>
    <row r="329" spans="1:17" x14ac:dyDescent="0.25">
      <c r="A329" s="7"/>
      <c r="B329" s="15"/>
      <c r="C329" s="15"/>
      <c r="D329" s="15"/>
      <c r="E329" s="11"/>
      <c r="F329" s="45"/>
      <c r="G329" s="45"/>
      <c r="H329" s="45"/>
      <c r="I329" s="45"/>
      <c r="J329" s="42"/>
      <c r="K329" s="42"/>
      <c r="L329" s="42"/>
      <c r="M329" s="42"/>
      <c r="N329" s="42"/>
      <c r="O329" s="42"/>
      <c r="P329" s="42"/>
      <c r="Q329" s="52"/>
    </row>
    <row r="330" spans="1:17" x14ac:dyDescent="0.25">
      <c r="A330" s="7"/>
      <c r="B330" s="15"/>
      <c r="C330" s="15"/>
      <c r="D330" s="15"/>
      <c r="E330" s="11"/>
      <c r="F330" s="45"/>
      <c r="G330" s="45"/>
      <c r="H330" s="45"/>
      <c r="I330" s="45"/>
      <c r="J330" s="42"/>
      <c r="K330" s="42"/>
      <c r="L330" s="42"/>
      <c r="M330" s="42"/>
      <c r="N330" s="42"/>
      <c r="O330" s="42"/>
      <c r="P330" s="42"/>
      <c r="Q330" s="52"/>
    </row>
    <row r="331" spans="1:17" x14ac:dyDescent="0.25">
      <c r="A331" s="7"/>
      <c r="B331" s="15"/>
      <c r="C331" s="15"/>
      <c r="D331" s="15"/>
      <c r="E331" s="11"/>
      <c r="F331" s="45"/>
      <c r="G331" s="45"/>
      <c r="H331" s="45"/>
      <c r="I331" s="45"/>
      <c r="J331" s="42"/>
      <c r="K331" s="42"/>
      <c r="L331" s="42"/>
      <c r="M331" s="42"/>
      <c r="N331" s="42"/>
      <c r="O331" s="42"/>
      <c r="P331" s="42"/>
      <c r="Q331" s="52"/>
    </row>
    <row r="332" spans="1:17" x14ac:dyDescent="0.25">
      <c r="A332" s="7"/>
      <c r="B332" s="15"/>
      <c r="C332" s="15"/>
      <c r="D332" s="15"/>
      <c r="E332" s="11"/>
      <c r="F332" s="45"/>
      <c r="G332" s="45"/>
      <c r="H332" s="45"/>
      <c r="I332" s="45"/>
      <c r="J332" s="42"/>
      <c r="K332" s="42"/>
      <c r="L332" s="42"/>
      <c r="M332" s="42"/>
      <c r="N332" s="42"/>
      <c r="O332" s="42"/>
      <c r="P332" s="42"/>
      <c r="Q332" s="52"/>
    </row>
    <row r="333" spans="1:17" x14ac:dyDescent="0.25">
      <c r="A333" s="7"/>
      <c r="B333" s="15"/>
      <c r="C333" s="15"/>
      <c r="D333" s="15"/>
      <c r="E333" s="11"/>
      <c r="F333" s="45"/>
      <c r="G333" s="45"/>
      <c r="H333" s="45"/>
      <c r="I333" s="45"/>
      <c r="J333" s="42"/>
      <c r="K333" s="42"/>
      <c r="L333" s="42"/>
      <c r="M333" s="42"/>
      <c r="N333" s="42"/>
      <c r="O333" s="42"/>
      <c r="P333" s="42"/>
      <c r="Q333" s="52"/>
    </row>
    <row r="334" spans="1:17" x14ac:dyDescent="0.25">
      <c r="A334" s="7"/>
      <c r="B334" s="15"/>
      <c r="C334" s="15"/>
      <c r="D334" s="15"/>
      <c r="E334" s="11"/>
      <c r="F334" s="45"/>
      <c r="G334" s="45"/>
      <c r="H334" s="45"/>
      <c r="I334" s="45"/>
      <c r="J334" s="42"/>
      <c r="K334" s="42"/>
      <c r="L334" s="42"/>
      <c r="M334" s="42"/>
      <c r="N334" s="42"/>
      <c r="O334" s="42"/>
      <c r="P334" s="42"/>
      <c r="Q334" s="52"/>
    </row>
    <row r="335" spans="1:17" x14ac:dyDescent="0.25">
      <c r="A335" s="7"/>
      <c r="B335" s="15"/>
      <c r="C335" s="15"/>
      <c r="D335" s="15"/>
      <c r="E335" s="11"/>
      <c r="F335" s="45"/>
      <c r="G335" s="45"/>
      <c r="H335" s="45"/>
      <c r="I335" s="45"/>
      <c r="J335" s="42"/>
      <c r="K335" s="42"/>
      <c r="L335" s="42"/>
      <c r="M335" s="42"/>
      <c r="N335" s="42"/>
      <c r="O335" s="42"/>
      <c r="P335" s="42"/>
      <c r="Q335" s="52"/>
    </row>
    <row r="336" spans="1:17" x14ac:dyDescent="0.25">
      <c r="A336" s="7"/>
      <c r="B336" s="15"/>
      <c r="C336" s="15"/>
      <c r="D336" s="15"/>
      <c r="E336" s="11"/>
      <c r="F336" s="45"/>
      <c r="G336" s="45"/>
      <c r="H336" s="45"/>
      <c r="I336" s="45"/>
      <c r="J336" s="42"/>
      <c r="K336" s="42"/>
      <c r="L336" s="42"/>
      <c r="M336" s="42"/>
      <c r="N336" s="42"/>
      <c r="O336" s="42"/>
      <c r="P336" s="42"/>
      <c r="Q336" s="52"/>
    </row>
    <row r="337" spans="1:17" x14ac:dyDescent="0.25">
      <c r="A337" s="7"/>
      <c r="B337" s="15"/>
      <c r="C337" s="15"/>
      <c r="D337" s="15"/>
      <c r="E337" s="11"/>
      <c r="F337" s="45"/>
      <c r="G337" s="45"/>
      <c r="H337" s="45"/>
      <c r="I337" s="45"/>
      <c r="J337" s="42"/>
      <c r="K337" s="42"/>
      <c r="L337" s="42"/>
      <c r="M337" s="42"/>
      <c r="N337" s="42"/>
      <c r="O337" s="42"/>
      <c r="P337" s="42"/>
      <c r="Q337" s="52"/>
    </row>
    <row r="338" spans="1:17" x14ac:dyDescent="0.25">
      <c r="A338" s="7"/>
      <c r="B338" s="15"/>
      <c r="C338" s="15"/>
      <c r="D338" s="15"/>
      <c r="E338" s="11"/>
      <c r="F338" s="45"/>
      <c r="G338" s="45"/>
      <c r="H338" s="45"/>
      <c r="I338" s="45"/>
      <c r="J338" s="42"/>
      <c r="K338" s="42"/>
      <c r="L338" s="42"/>
      <c r="M338" s="42"/>
      <c r="N338" s="42"/>
      <c r="O338" s="42"/>
      <c r="P338" s="42"/>
      <c r="Q338" s="52"/>
    </row>
    <row r="339" spans="1:17" x14ac:dyDescent="0.25">
      <c r="A339" s="7"/>
      <c r="B339" s="15"/>
      <c r="C339" s="15"/>
      <c r="D339" s="15"/>
      <c r="E339" s="11"/>
      <c r="F339" s="45"/>
      <c r="G339" s="45"/>
      <c r="H339" s="45"/>
      <c r="I339" s="45"/>
      <c r="J339" s="42"/>
      <c r="K339" s="42"/>
      <c r="L339" s="42"/>
      <c r="M339" s="42"/>
      <c r="N339" s="42"/>
      <c r="O339" s="42"/>
      <c r="P339" s="42"/>
      <c r="Q339" s="52"/>
    </row>
    <row r="340" spans="1:17" x14ac:dyDescent="0.25">
      <c r="A340" s="7"/>
      <c r="B340" s="15"/>
      <c r="C340" s="15"/>
      <c r="D340" s="15"/>
      <c r="E340" s="11"/>
      <c r="F340" s="45"/>
      <c r="G340" s="45"/>
      <c r="H340" s="45"/>
      <c r="I340" s="45"/>
      <c r="J340" s="42"/>
      <c r="K340" s="42"/>
      <c r="L340" s="42"/>
      <c r="M340" s="42"/>
      <c r="N340" s="42"/>
      <c r="O340" s="42"/>
      <c r="P340" s="42"/>
      <c r="Q340" s="52"/>
    </row>
    <row r="341" spans="1:17" x14ac:dyDescent="0.25">
      <c r="A341" s="7"/>
      <c r="B341" s="15"/>
      <c r="C341" s="15"/>
      <c r="D341" s="15"/>
      <c r="E341" s="11"/>
      <c r="F341" s="45"/>
      <c r="G341" s="45"/>
      <c r="H341" s="45"/>
      <c r="I341" s="45"/>
      <c r="J341" s="42"/>
      <c r="K341" s="42"/>
      <c r="L341" s="42"/>
      <c r="M341" s="42"/>
      <c r="N341" s="42"/>
      <c r="O341" s="42"/>
      <c r="P341" s="42"/>
      <c r="Q341" s="52"/>
    </row>
    <row r="342" spans="1:17" x14ac:dyDescent="0.25">
      <c r="A342" s="7"/>
      <c r="B342" s="15"/>
      <c r="C342" s="15"/>
      <c r="D342" s="15"/>
      <c r="E342" s="11"/>
      <c r="F342" s="45"/>
      <c r="G342" s="45"/>
      <c r="H342" s="45"/>
      <c r="I342" s="45"/>
      <c r="J342" s="42"/>
      <c r="K342" s="42"/>
      <c r="L342" s="42"/>
      <c r="M342" s="42"/>
      <c r="N342" s="42"/>
      <c r="O342" s="42"/>
      <c r="P342" s="42"/>
      <c r="Q342" s="52"/>
    </row>
    <row r="343" spans="1:17" x14ac:dyDescent="0.25">
      <c r="A343" s="7"/>
      <c r="B343" s="15"/>
      <c r="C343" s="15"/>
      <c r="D343" s="15"/>
      <c r="E343" s="11"/>
      <c r="F343" s="45"/>
      <c r="G343" s="45"/>
      <c r="H343" s="45"/>
      <c r="I343" s="45"/>
      <c r="J343" s="42"/>
      <c r="K343" s="42"/>
      <c r="L343" s="42"/>
      <c r="M343" s="42"/>
      <c r="N343" s="42"/>
      <c r="O343" s="42"/>
      <c r="P343" s="42"/>
      <c r="Q343" s="52"/>
    </row>
    <row r="344" spans="1:17" x14ac:dyDescent="0.25">
      <c r="A344" s="7"/>
      <c r="B344" s="15"/>
      <c r="C344" s="15"/>
      <c r="D344" s="15"/>
      <c r="E344" s="11"/>
      <c r="F344" s="45"/>
      <c r="G344" s="45"/>
      <c r="H344" s="45"/>
      <c r="I344" s="45"/>
      <c r="J344" s="42"/>
      <c r="K344" s="42"/>
      <c r="L344" s="42"/>
      <c r="M344" s="42"/>
      <c r="N344" s="42"/>
      <c r="O344" s="42"/>
      <c r="P344" s="42"/>
      <c r="Q344" s="52"/>
    </row>
    <row r="345" spans="1:17" x14ac:dyDescent="0.25">
      <c r="A345" s="7"/>
      <c r="B345" s="15"/>
      <c r="C345" s="15"/>
      <c r="D345" s="15"/>
      <c r="E345" s="11"/>
      <c r="F345" s="45"/>
      <c r="G345" s="45"/>
      <c r="H345" s="45"/>
      <c r="I345" s="45"/>
      <c r="J345" s="42"/>
      <c r="K345" s="42"/>
      <c r="L345" s="42"/>
      <c r="M345" s="42"/>
      <c r="N345" s="42"/>
      <c r="O345" s="42"/>
      <c r="P345" s="42"/>
      <c r="Q345" s="52"/>
    </row>
    <row r="346" spans="1:17" x14ac:dyDescent="0.25">
      <c r="A346" s="7"/>
      <c r="B346" s="15"/>
      <c r="C346" s="15"/>
      <c r="D346" s="15"/>
      <c r="E346" s="11"/>
      <c r="F346" s="45"/>
      <c r="G346" s="45"/>
      <c r="H346" s="45"/>
      <c r="I346" s="45"/>
      <c r="J346" s="42"/>
      <c r="K346" s="42"/>
      <c r="L346" s="42"/>
      <c r="M346" s="42"/>
      <c r="N346" s="42"/>
      <c r="O346" s="42"/>
      <c r="P346" s="42"/>
      <c r="Q346" s="52"/>
    </row>
    <row r="347" spans="1:17" x14ac:dyDescent="0.25">
      <c r="A347" s="7"/>
      <c r="B347" s="15"/>
      <c r="C347" s="15"/>
      <c r="D347" s="15"/>
      <c r="E347" s="11"/>
      <c r="F347" s="45"/>
      <c r="G347" s="45"/>
      <c r="H347" s="45"/>
      <c r="I347" s="45"/>
      <c r="J347" s="42"/>
      <c r="K347" s="42"/>
      <c r="L347" s="42"/>
      <c r="M347" s="42"/>
      <c r="N347" s="42"/>
      <c r="O347" s="42"/>
      <c r="P347" s="42"/>
      <c r="Q347" s="52"/>
    </row>
    <row r="348" spans="1:17" x14ac:dyDescent="0.25">
      <c r="A348" s="7"/>
      <c r="B348" s="15"/>
      <c r="C348" s="15"/>
      <c r="D348" s="15"/>
      <c r="E348" s="11"/>
      <c r="F348" s="45"/>
      <c r="G348" s="45"/>
      <c r="H348" s="45"/>
      <c r="I348" s="45"/>
      <c r="J348" s="42"/>
      <c r="K348" s="42"/>
      <c r="L348" s="42"/>
      <c r="M348" s="42"/>
      <c r="N348" s="42"/>
      <c r="O348" s="42"/>
      <c r="P348" s="42"/>
      <c r="Q348" s="52"/>
    </row>
    <row r="349" spans="1:17" x14ac:dyDescent="0.25">
      <c r="A349" s="7"/>
      <c r="B349" s="15"/>
      <c r="C349" s="15"/>
      <c r="D349" s="15"/>
      <c r="E349" s="11"/>
      <c r="F349" s="45"/>
      <c r="G349" s="45"/>
      <c r="H349" s="45"/>
      <c r="I349" s="45"/>
      <c r="J349" s="42"/>
      <c r="K349" s="42"/>
      <c r="L349" s="42"/>
      <c r="M349" s="42"/>
      <c r="N349" s="42"/>
      <c r="O349" s="42"/>
      <c r="P349" s="42"/>
      <c r="Q349" s="52"/>
    </row>
    <row r="350" spans="1:17" x14ac:dyDescent="0.25">
      <c r="A350" s="7"/>
      <c r="B350" s="15"/>
      <c r="C350" s="15"/>
      <c r="D350" s="15"/>
      <c r="E350" s="11"/>
      <c r="F350" s="45"/>
      <c r="G350" s="45"/>
      <c r="H350" s="45"/>
      <c r="I350" s="45"/>
      <c r="J350" s="42"/>
      <c r="K350" s="42"/>
      <c r="L350" s="42"/>
      <c r="M350" s="42"/>
      <c r="N350" s="42"/>
      <c r="O350" s="42"/>
      <c r="P350" s="42"/>
      <c r="Q350" s="52"/>
    </row>
    <row r="351" spans="1:17" x14ac:dyDescent="0.25">
      <c r="A351" s="7"/>
      <c r="B351" s="15"/>
      <c r="C351" s="15"/>
      <c r="D351" s="15"/>
      <c r="E351" s="11"/>
      <c r="F351" s="45"/>
      <c r="G351" s="45"/>
      <c r="H351" s="45"/>
      <c r="I351" s="45"/>
      <c r="J351" s="42"/>
      <c r="K351" s="42"/>
      <c r="L351" s="42"/>
      <c r="M351" s="42"/>
      <c r="N351" s="42"/>
      <c r="O351" s="42"/>
      <c r="P351" s="42"/>
      <c r="Q351" s="52"/>
    </row>
    <row r="352" spans="1:17" x14ac:dyDescent="0.25">
      <c r="A352" s="7"/>
      <c r="B352" s="15"/>
      <c r="C352" s="15"/>
      <c r="D352" s="15"/>
      <c r="E352" s="11"/>
      <c r="F352" s="45"/>
      <c r="G352" s="45"/>
      <c r="H352" s="45"/>
      <c r="I352" s="45"/>
      <c r="J352" s="42"/>
      <c r="K352" s="42"/>
      <c r="L352" s="42"/>
      <c r="M352" s="42"/>
      <c r="N352" s="42"/>
      <c r="O352" s="42"/>
      <c r="P352" s="42"/>
      <c r="Q352" s="52"/>
    </row>
    <row r="353" spans="1:17" x14ac:dyDescent="0.25">
      <c r="A353" s="7"/>
      <c r="B353" s="15"/>
      <c r="C353" s="15"/>
      <c r="D353" s="15"/>
      <c r="E353" s="11"/>
      <c r="F353" s="45"/>
      <c r="G353" s="45"/>
      <c r="H353" s="45"/>
      <c r="I353" s="45"/>
      <c r="J353" s="42"/>
      <c r="K353" s="42"/>
      <c r="L353" s="42"/>
      <c r="M353" s="42"/>
      <c r="N353" s="42"/>
      <c r="O353" s="42"/>
      <c r="P353" s="42"/>
      <c r="Q353" s="52"/>
    </row>
    <row r="354" spans="1:17" x14ac:dyDescent="0.25">
      <c r="A354" s="7"/>
      <c r="B354" s="15"/>
      <c r="C354" s="15"/>
      <c r="D354" s="15"/>
      <c r="E354" s="11"/>
      <c r="F354" s="45"/>
      <c r="G354" s="45"/>
      <c r="H354" s="45"/>
      <c r="I354" s="45"/>
      <c r="J354" s="42"/>
      <c r="K354" s="42"/>
      <c r="L354" s="42"/>
      <c r="M354" s="42"/>
      <c r="N354" s="42"/>
      <c r="O354" s="42"/>
      <c r="P354" s="42"/>
      <c r="Q354" s="52"/>
    </row>
    <row r="355" spans="1:17" x14ac:dyDescent="0.25">
      <c r="A355" s="7"/>
      <c r="B355" s="15"/>
      <c r="C355" s="15"/>
      <c r="D355" s="15"/>
      <c r="E355" s="11"/>
      <c r="F355" s="45"/>
      <c r="G355" s="45"/>
      <c r="H355" s="45"/>
      <c r="I355" s="45"/>
      <c r="J355" s="42"/>
      <c r="K355" s="42"/>
      <c r="L355" s="42"/>
      <c r="M355" s="42"/>
      <c r="N355" s="42"/>
      <c r="O355" s="42"/>
      <c r="P355" s="42"/>
      <c r="Q355" s="52"/>
    </row>
    <row r="356" spans="1:17" x14ac:dyDescent="0.25">
      <c r="A356" s="7"/>
      <c r="B356" s="15"/>
      <c r="C356" s="15"/>
      <c r="D356" s="15"/>
      <c r="E356" s="11"/>
      <c r="F356" s="45"/>
      <c r="G356" s="45"/>
      <c r="H356" s="45"/>
      <c r="I356" s="45"/>
      <c r="J356" s="42"/>
      <c r="K356" s="42"/>
      <c r="L356" s="42"/>
      <c r="M356" s="42"/>
      <c r="N356" s="42"/>
      <c r="O356" s="42"/>
      <c r="P356" s="42"/>
      <c r="Q356" s="52"/>
    </row>
    <row r="357" spans="1:17" x14ac:dyDescent="0.25">
      <c r="A357" s="7"/>
      <c r="B357" s="15"/>
      <c r="C357" s="15"/>
      <c r="D357" s="15"/>
      <c r="E357" s="11"/>
      <c r="F357" s="45"/>
      <c r="G357" s="45"/>
      <c r="H357" s="45"/>
      <c r="I357" s="45"/>
      <c r="J357" s="42"/>
      <c r="K357" s="42"/>
      <c r="L357" s="42"/>
      <c r="M357" s="42"/>
      <c r="N357" s="42"/>
      <c r="O357" s="42"/>
      <c r="P357" s="42"/>
      <c r="Q357" s="52"/>
    </row>
    <row r="358" spans="1:17" x14ac:dyDescent="0.25">
      <c r="A358" s="7"/>
      <c r="B358" s="15"/>
      <c r="C358" s="15"/>
      <c r="D358" s="15"/>
      <c r="E358" s="11"/>
      <c r="F358" s="45"/>
      <c r="G358" s="45"/>
      <c r="H358" s="45"/>
      <c r="I358" s="45"/>
      <c r="J358" s="42"/>
      <c r="K358" s="42"/>
      <c r="L358" s="42"/>
      <c r="M358" s="42"/>
      <c r="N358" s="42"/>
      <c r="O358" s="42"/>
      <c r="P358" s="42"/>
      <c r="Q358" s="52"/>
    </row>
    <row r="359" spans="1:17" x14ac:dyDescent="0.25">
      <c r="A359" s="7"/>
      <c r="B359" s="15"/>
      <c r="C359" s="15"/>
      <c r="D359" s="15"/>
      <c r="E359" s="11"/>
      <c r="F359" s="45"/>
      <c r="G359" s="45"/>
      <c r="H359" s="45"/>
      <c r="I359" s="45"/>
      <c r="J359" s="42"/>
      <c r="K359" s="42"/>
      <c r="L359" s="42"/>
      <c r="M359" s="42"/>
      <c r="N359" s="42"/>
      <c r="O359" s="42"/>
      <c r="P359" s="42"/>
      <c r="Q359" s="52"/>
    </row>
    <row r="360" spans="1:17" x14ac:dyDescent="0.25">
      <c r="A360" s="7"/>
      <c r="B360" s="15"/>
      <c r="C360" s="15"/>
      <c r="D360" s="15"/>
      <c r="E360" s="11"/>
      <c r="F360" s="45"/>
      <c r="G360" s="45"/>
      <c r="H360" s="45"/>
      <c r="I360" s="45"/>
      <c r="J360" s="42"/>
      <c r="K360" s="42"/>
      <c r="L360" s="42"/>
      <c r="M360" s="42"/>
      <c r="N360" s="42"/>
      <c r="O360" s="42"/>
      <c r="P360" s="42"/>
      <c r="Q360" s="52"/>
    </row>
    <row r="361" spans="1:17" x14ac:dyDescent="0.25">
      <c r="A361" s="7"/>
      <c r="B361" s="15"/>
      <c r="C361" s="15"/>
      <c r="D361" s="15"/>
      <c r="E361" s="11"/>
      <c r="F361" s="45"/>
      <c r="G361" s="45"/>
      <c r="H361" s="45"/>
      <c r="I361" s="45"/>
      <c r="J361" s="42"/>
      <c r="K361" s="42"/>
      <c r="L361" s="42"/>
      <c r="M361" s="42"/>
      <c r="N361" s="42"/>
      <c r="O361" s="42"/>
      <c r="P361" s="42"/>
      <c r="Q361" s="52"/>
    </row>
    <row r="362" spans="1:17" x14ac:dyDescent="0.25">
      <c r="A362" s="7"/>
      <c r="B362" s="15"/>
      <c r="C362" s="15"/>
      <c r="D362" s="15"/>
      <c r="E362" s="11"/>
      <c r="F362" s="45"/>
      <c r="G362" s="45"/>
      <c r="H362" s="45"/>
      <c r="I362" s="45"/>
      <c r="J362" s="42"/>
      <c r="K362" s="42"/>
      <c r="L362" s="42"/>
      <c r="M362" s="42"/>
      <c r="N362" s="42"/>
      <c r="O362" s="42"/>
      <c r="P362" s="42"/>
      <c r="Q362" s="52"/>
    </row>
    <row r="363" spans="1:17" x14ac:dyDescent="0.25">
      <c r="A363" s="7"/>
      <c r="B363" s="15"/>
      <c r="C363" s="15"/>
      <c r="D363" s="15"/>
      <c r="E363" s="11"/>
      <c r="F363" s="45"/>
      <c r="G363" s="45"/>
      <c r="H363" s="45"/>
      <c r="I363" s="45"/>
      <c r="J363" s="42"/>
      <c r="K363" s="42"/>
      <c r="L363" s="42"/>
      <c r="M363" s="42"/>
      <c r="N363" s="42"/>
      <c r="O363" s="42"/>
      <c r="P363" s="42"/>
      <c r="Q363" s="52"/>
    </row>
    <row r="364" spans="1:17" x14ac:dyDescent="0.25">
      <c r="A364" s="7"/>
      <c r="B364" s="15"/>
      <c r="C364" s="15"/>
      <c r="D364" s="15"/>
      <c r="E364" s="11"/>
      <c r="F364" s="45"/>
      <c r="G364" s="45"/>
      <c r="H364" s="45"/>
      <c r="I364" s="45"/>
      <c r="J364" s="42"/>
      <c r="K364" s="42"/>
      <c r="L364" s="42"/>
      <c r="M364" s="42"/>
      <c r="N364" s="42"/>
      <c r="O364" s="42"/>
      <c r="P364" s="42"/>
      <c r="Q364" s="52"/>
    </row>
    <row r="365" spans="1:17" x14ac:dyDescent="0.25">
      <c r="A365" s="7"/>
      <c r="B365" s="15"/>
      <c r="C365" s="15"/>
      <c r="D365" s="15"/>
      <c r="E365" s="11"/>
      <c r="F365" s="45"/>
      <c r="G365" s="45"/>
      <c r="H365" s="45"/>
      <c r="I365" s="45"/>
      <c r="J365" s="42"/>
      <c r="K365" s="42"/>
      <c r="L365" s="42"/>
      <c r="M365" s="42"/>
      <c r="N365" s="42"/>
      <c r="O365" s="42"/>
      <c r="P365" s="42"/>
      <c r="Q365" s="52"/>
    </row>
    <row r="366" spans="1:17" x14ac:dyDescent="0.25">
      <c r="A366" s="7"/>
      <c r="B366" s="15"/>
      <c r="C366" s="15"/>
      <c r="D366" s="15"/>
      <c r="E366" s="11"/>
      <c r="F366" s="45"/>
      <c r="G366" s="45"/>
      <c r="H366" s="45"/>
      <c r="I366" s="45"/>
      <c r="J366" s="42"/>
      <c r="K366" s="42"/>
      <c r="L366" s="42"/>
      <c r="M366" s="42"/>
      <c r="N366" s="42"/>
      <c r="O366" s="42"/>
      <c r="P366" s="42"/>
      <c r="Q366" s="52"/>
    </row>
    <row r="367" spans="1:17" x14ac:dyDescent="0.25">
      <c r="A367" s="7"/>
      <c r="B367" s="15"/>
      <c r="C367" s="15"/>
      <c r="D367" s="15"/>
      <c r="E367" s="11"/>
      <c r="F367" s="45"/>
      <c r="G367" s="45"/>
      <c r="H367" s="45"/>
      <c r="I367" s="45"/>
      <c r="J367" s="42"/>
      <c r="K367" s="42"/>
      <c r="L367" s="42"/>
      <c r="M367" s="42"/>
      <c r="N367" s="42"/>
      <c r="O367" s="42"/>
      <c r="P367" s="42"/>
      <c r="Q367" s="52"/>
    </row>
    <row r="368" spans="1:17" x14ac:dyDescent="0.25">
      <c r="A368" s="7"/>
      <c r="B368" s="15"/>
      <c r="C368" s="15"/>
      <c r="D368" s="15"/>
      <c r="E368" s="11"/>
      <c r="F368" s="45"/>
      <c r="G368" s="45"/>
      <c r="H368" s="45"/>
      <c r="I368" s="45"/>
      <c r="J368" s="42"/>
      <c r="K368" s="42"/>
      <c r="L368" s="42"/>
      <c r="M368" s="42"/>
      <c r="N368" s="42"/>
      <c r="O368" s="42"/>
      <c r="P368" s="42"/>
      <c r="Q368" s="52"/>
    </row>
    <row r="369" spans="1:17" x14ac:dyDescent="0.25">
      <c r="A369" s="7"/>
      <c r="B369" s="15"/>
      <c r="C369" s="15"/>
      <c r="D369" s="15"/>
      <c r="E369" s="11"/>
      <c r="F369" s="45"/>
      <c r="G369" s="45"/>
      <c r="H369" s="45"/>
      <c r="I369" s="45"/>
      <c r="J369" s="42"/>
      <c r="K369" s="42"/>
      <c r="L369" s="42"/>
      <c r="M369" s="42"/>
      <c r="N369" s="42"/>
      <c r="O369" s="42"/>
      <c r="P369" s="42"/>
      <c r="Q369" s="52"/>
    </row>
    <row r="370" spans="1:17" x14ac:dyDescent="0.25">
      <c r="A370" s="7"/>
      <c r="B370" s="15"/>
      <c r="C370" s="15"/>
      <c r="D370" s="15"/>
      <c r="E370" s="11"/>
      <c r="F370" s="45"/>
      <c r="G370" s="45"/>
      <c r="H370" s="45"/>
      <c r="I370" s="45"/>
      <c r="J370" s="42"/>
      <c r="K370" s="42"/>
      <c r="L370" s="42"/>
      <c r="M370" s="42"/>
      <c r="N370" s="42"/>
      <c r="O370" s="42"/>
      <c r="P370" s="42"/>
      <c r="Q370" s="52"/>
    </row>
    <row r="371" spans="1:17" x14ac:dyDescent="0.25">
      <c r="A371" s="7"/>
      <c r="B371" s="15"/>
      <c r="C371" s="15"/>
      <c r="D371" s="15"/>
      <c r="E371" s="11"/>
      <c r="F371" s="45"/>
      <c r="G371" s="45"/>
      <c r="H371" s="45"/>
      <c r="I371" s="45"/>
      <c r="J371" s="42"/>
      <c r="K371" s="42"/>
      <c r="L371" s="42"/>
      <c r="M371" s="42"/>
      <c r="N371" s="42"/>
      <c r="O371" s="42"/>
      <c r="P371" s="42"/>
      <c r="Q371" s="52"/>
    </row>
    <row r="372" spans="1:17" x14ac:dyDescent="0.25">
      <c r="A372" s="7"/>
      <c r="B372" s="15"/>
      <c r="C372" s="15"/>
      <c r="D372" s="15"/>
      <c r="E372" s="11"/>
      <c r="F372" s="45"/>
      <c r="G372" s="45"/>
      <c r="H372" s="45"/>
      <c r="I372" s="45"/>
      <c r="J372" s="42"/>
      <c r="K372" s="42"/>
      <c r="L372" s="42"/>
      <c r="M372" s="42"/>
      <c r="N372" s="42"/>
      <c r="O372" s="42"/>
      <c r="P372" s="42"/>
      <c r="Q372" s="52"/>
    </row>
    <row r="373" spans="1:17" x14ac:dyDescent="0.25">
      <c r="A373" s="7"/>
      <c r="B373" s="15"/>
      <c r="C373" s="15"/>
      <c r="D373" s="15"/>
      <c r="E373" s="11"/>
      <c r="F373" s="45"/>
      <c r="G373" s="45"/>
      <c r="H373" s="45"/>
      <c r="I373" s="45"/>
      <c r="J373" s="42"/>
      <c r="K373" s="42"/>
      <c r="L373" s="42"/>
      <c r="M373" s="42"/>
      <c r="N373" s="42"/>
      <c r="O373" s="42"/>
      <c r="P373" s="42"/>
      <c r="Q373" s="52"/>
    </row>
    <row r="374" spans="1:17" x14ac:dyDescent="0.25">
      <c r="A374" s="7"/>
      <c r="B374" s="15"/>
      <c r="C374" s="15"/>
      <c r="D374" s="15"/>
      <c r="E374" s="11"/>
      <c r="F374" s="45"/>
      <c r="G374" s="45"/>
      <c r="H374" s="45"/>
      <c r="I374" s="45"/>
      <c r="J374" s="42"/>
      <c r="K374" s="42"/>
      <c r="L374" s="42"/>
      <c r="M374" s="42"/>
      <c r="N374" s="42"/>
      <c r="O374" s="42"/>
      <c r="P374" s="42"/>
      <c r="Q374" s="52"/>
    </row>
    <row r="375" spans="1:17" x14ac:dyDescent="0.25">
      <c r="A375" s="7"/>
      <c r="B375" s="15"/>
      <c r="C375" s="15"/>
      <c r="D375" s="15"/>
      <c r="E375" s="11"/>
      <c r="F375" s="45"/>
      <c r="G375" s="45"/>
      <c r="H375" s="45"/>
      <c r="I375" s="45"/>
      <c r="J375" s="42"/>
      <c r="K375" s="42"/>
      <c r="L375" s="42"/>
      <c r="M375" s="42"/>
      <c r="N375" s="42"/>
      <c r="O375" s="42"/>
      <c r="P375" s="42"/>
      <c r="Q375" s="52"/>
    </row>
    <row r="376" spans="1:17" x14ac:dyDescent="0.25">
      <c r="A376" s="7"/>
      <c r="B376" s="15"/>
      <c r="C376" s="15"/>
      <c r="D376" s="15"/>
      <c r="E376" s="11"/>
      <c r="F376" s="45"/>
      <c r="G376" s="45"/>
      <c r="H376" s="45"/>
      <c r="I376" s="45"/>
      <c r="J376" s="42"/>
      <c r="K376" s="42"/>
      <c r="L376" s="42"/>
      <c r="M376" s="42"/>
      <c r="N376" s="42"/>
      <c r="O376" s="42"/>
      <c r="P376" s="42"/>
      <c r="Q376" s="52"/>
    </row>
    <row r="377" spans="1:17" x14ac:dyDescent="0.25">
      <c r="A377" s="7"/>
      <c r="B377" s="15"/>
      <c r="C377" s="15"/>
      <c r="D377" s="15"/>
      <c r="E377" s="11"/>
      <c r="F377" s="45"/>
      <c r="G377" s="45"/>
      <c r="H377" s="45"/>
      <c r="I377" s="45"/>
      <c r="J377" s="42"/>
      <c r="K377" s="42"/>
      <c r="L377" s="42"/>
      <c r="M377" s="42"/>
      <c r="N377" s="42"/>
      <c r="O377" s="42"/>
      <c r="P377" s="42"/>
      <c r="Q377" s="52"/>
    </row>
    <row r="378" spans="1:17" x14ac:dyDescent="0.25">
      <c r="A378" s="7"/>
      <c r="B378" s="15"/>
      <c r="C378" s="15"/>
      <c r="D378" s="15"/>
      <c r="E378" s="11"/>
      <c r="F378" s="45"/>
      <c r="G378" s="45"/>
      <c r="H378" s="45"/>
      <c r="I378" s="45"/>
      <c r="J378" s="42"/>
      <c r="K378" s="42"/>
      <c r="L378" s="42"/>
      <c r="M378" s="42"/>
      <c r="N378" s="42"/>
      <c r="O378" s="42"/>
      <c r="P378" s="42"/>
      <c r="Q378" s="52"/>
    </row>
    <row r="379" spans="1:17" x14ac:dyDescent="0.25">
      <c r="A379" s="7"/>
      <c r="B379" s="15"/>
      <c r="C379" s="15"/>
      <c r="D379" s="15"/>
      <c r="E379" s="11"/>
      <c r="F379" s="45"/>
      <c r="G379" s="45"/>
      <c r="H379" s="45"/>
      <c r="I379" s="45"/>
      <c r="J379" s="42"/>
      <c r="K379" s="42"/>
      <c r="L379" s="42"/>
      <c r="M379" s="42"/>
      <c r="N379" s="42"/>
      <c r="O379" s="42"/>
      <c r="P379" s="42"/>
      <c r="Q379" s="52"/>
    </row>
    <row r="380" spans="1:17" x14ac:dyDescent="0.25">
      <c r="A380" s="7"/>
      <c r="B380" s="15"/>
      <c r="C380" s="15"/>
      <c r="D380" s="15"/>
      <c r="E380" s="11"/>
      <c r="F380" s="45"/>
      <c r="G380" s="45"/>
      <c r="H380" s="45"/>
      <c r="I380" s="45"/>
      <c r="J380" s="42"/>
      <c r="K380" s="42"/>
      <c r="L380" s="42"/>
      <c r="M380" s="42"/>
      <c r="N380" s="42"/>
      <c r="O380" s="42"/>
      <c r="P380" s="42"/>
      <c r="Q380" s="52"/>
    </row>
    <row r="381" spans="1:17" x14ac:dyDescent="0.25">
      <c r="A381" s="7"/>
      <c r="B381" s="15"/>
      <c r="C381" s="15"/>
      <c r="D381" s="15"/>
      <c r="E381" s="11"/>
      <c r="F381" s="45"/>
      <c r="G381" s="45"/>
      <c r="H381" s="45"/>
      <c r="I381" s="45"/>
      <c r="J381" s="42"/>
      <c r="K381" s="42"/>
      <c r="L381" s="42"/>
      <c r="M381" s="42"/>
      <c r="N381" s="42"/>
      <c r="O381" s="42"/>
      <c r="P381" s="42"/>
      <c r="Q381" s="52"/>
    </row>
    <row r="382" spans="1:17" x14ac:dyDescent="0.25">
      <c r="A382" s="7"/>
      <c r="B382" s="15"/>
      <c r="C382" s="15"/>
      <c r="D382" s="15"/>
      <c r="E382" s="11"/>
      <c r="F382" s="45"/>
      <c r="G382" s="45"/>
      <c r="H382" s="45"/>
      <c r="I382" s="45"/>
      <c r="J382" s="42"/>
      <c r="K382" s="42"/>
      <c r="L382" s="42"/>
      <c r="M382" s="42"/>
      <c r="N382" s="42"/>
      <c r="O382" s="42"/>
      <c r="P382" s="42"/>
      <c r="Q382" s="52"/>
    </row>
    <row r="383" spans="1:17" x14ac:dyDescent="0.25">
      <c r="A383" s="7"/>
      <c r="B383" s="15"/>
      <c r="C383" s="15"/>
      <c r="D383" s="15"/>
      <c r="E383" s="11"/>
      <c r="F383" s="45"/>
      <c r="G383" s="45"/>
      <c r="H383" s="45"/>
      <c r="I383" s="45"/>
      <c r="J383" s="42"/>
      <c r="K383" s="42"/>
      <c r="L383" s="42"/>
      <c r="M383" s="42"/>
      <c r="N383" s="42"/>
      <c r="O383" s="42"/>
      <c r="P383" s="42"/>
      <c r="Q383" s="52"/>
    </row>
    <row r="384" spans="1:17" x14ac:dyDescent="0.25">
      <c r="A384" s="7"/>
      <c r="B384" s="15"/>
      <c r="C384" s="15"/>
      <c r="D384" s="15"/>
      <c r="E384" s="11"/>
      <c r="F384" s="45"/>
      <c r="G384" s="45"/>
      <c r="H384" s="45"/>
      <c r="I384" s="45"/>
      <c r="J384" s="42"/>
      <c r="K384" s="42"/>
      <c r="L384" s="42"/>
      <c r="M384" s="42"/>
      <c r="N384" s="42"/>
      <c r="O384" s="42"/>
      <c r="P384" s="42"/>
      <c r="Q384" s="52"/>
    </row>
    <row r="385" spans="1:17" x14ac:dyDescent="0.25">
      <c r="A385" s="7"/>
      <c r="B385" s="15"/>
      <c r="C385" s="15"/>
      <c r="D385" s="15"/>
      <c r="E385" s="11"/>
      <c r="F385" s="45"/>
      <c r="G385" s="45"/>
      <c r="H385" s="45"/>
      <c r="I385" s="45"/>
      <c r="J385" s="42"/>
      <c r="K385" s="42"/>
      <c r="L385" s="42"/>
      <c r="M385" s="42"/>
      <c r="N385" s="42"/>
      <c r="O385" s="42"/>
      <c r="P385" s="42"/>
      <c r="Q385" s="52"/>
    </row>
    <row r="386" spans="1:17" x14ac:dyDescent="0.25">
      <c r="A386" s="7"/>
      <c r="B386" s="15"/>
      <c r="C386" s="15"/>
      <c r="D386" s="15"/>
      <c r="E386" s="11"/>
      <c r="F386" s="45"/>
      <c r="G386" s="45"/>
      <c r="H386" s="45"/>
      <c r="I386" s="45"/>
      <c r="J386" s="42"/>
      <c r="K386" s="42"/>
      <c r="L386" s="42"/>
      <c r="M386" s="42"/>
      <c r="N386" s="42"/>
      <c r="O386" s="42"/>
      <c r="P386" s="42"/>
      <c r="Q386" s="52"/>
    </row>
    <row r="387" spans="1:17" x14ac:dyDescent="0.25">
      <c r="A387" s="7"/>
      <c r="B387" s="15"/>
      <c r="C387" s="15"/>
      <c r="D387" s="15"/>
      <c r="E387" s="11"/>
      <c r="F387" s="45"/>
      <c r="G387" s="45"/>
      <c r="H387" s="45"/>
      <c r="I387" s="45"/>
      <c r="J387" s="42"/>
      <c r="K387" s="42"/>
      <c r="L387" s="42"/>
      <c r="M387" s="42"/>
      <c r="N387" s="42"/>
      <c r="O387" s="42"/>
      <c r="P387" s="42"/>
      <c r="Q387" s="52"/>
    </row>
  </sheetData>
  <hyperlinks>
    <hyperlink ref="E36" r:id="rId1" xr:uid="{D4A332A1-A47F-4B48-84A2-10CBFF7DEA6A}"/>
    <hyperlink ref="E3" r:id="rId2" xr:uid="{826724A0-D31F-4E4A-BFAA-E4245CBF6C83}"/>
    <hyperlink ref="E4:E16" r:id="rId3" display="Census" xr:uid="{BAC2CAE2-C400-413C-AA75-109D9491C3FE}"/>
    <hyperlink ref="E37:E49" r:id="rId4" display="NRCan NEUD" xr:uid="{CCAE47BF-64C9-4AD2-9C4D-D1274878717F}"/>
    <hyperlink ref="E50" r:id="rId5" xr:uid="{84CAF6A8-1A2D-4D54-966F-CF5CDC4F58A9}"/>
    <hyperlink ref="E51:E63" r:id="rId6" display="NRCan NEUD" xr:uid="{6C821455-32F8-4FBB-A6CC-03A80839B471}"/>
    <hyperlink ref="E64" r:id="rId7" xr:uid="{0ACB84C8-AC4F-4542-8675-E8FF16260D27}"/>
    <hyperlink ref="E65:E77" r:id="rId8" display="NRCan NEUD" xr:uid="{7881ED2E-9B20-44FF-A5E1-F577FE860D9E}"/>
    <hyperlink ref="E78" r:id="rId9" xr:uid="{070E75ED-8DE1-47A0-94CE-3BC22D48396B}"/>
    <hyperlink ref="E79:E91" r:id="rId10" display="NRCan NEUD" xr:uid="{4149BCAF-989F-4727-BBE5-48FB1E1B49F9}"/>
    <hyperlink ref="E20:E32" r:id="rId11" display="Census" xr:uid="{003F5CDC-D7AF-4FCF-8EBE-8199ECF80BB9}"/>
  </hyperlinks>
  <pageMargins left="0.7" right="0.7" top="0.75" bottom="0.75" header="0.3" footer="0.3"/>
  <pageSetup orientation="portrait" horizontalDpi="4294967293" verticalDpi="0"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Lists</vt:lpstr>
      <vt:lpstr>Model</vt:lpstr>
      <vt:lpstr>Macro</vt:lpstr>
      <vt:lpstr>Residential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 GRIFFIN</cp:lastModifiedBy>
  <dcterms:created xsi:type="dcterms:W3CDTF">2019-06-05T23:49:53Z</dcterms:created>
  <dcterms:modified xsi:type="dcterms:W3CDTF">2019-10-22T01:21:16Z</dcterms:modified>
</cp:coreProperties>
</file>